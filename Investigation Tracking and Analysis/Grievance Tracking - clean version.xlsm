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6.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7.xml" ContentType="application/vnd.openxmlformats-officedocument.drawing+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drawings/drawing8.xml" ContentType="application/vnd.openxmlformats-officedocument.drawing+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drawings/drawing9.xml" ContentType="application/vnd.openxmlformats-officedocument.drawing+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drawings/drawing10.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1.xml" ContentType="application/vnd.openxmlformats-officedocument.drawing+xml"/>
  <Override PartName="/xl/charts/chart84.xml" ContentType="application/vnd.openxmlformats-officedocument.drawingml.chart+xml"/>
  <Override PartName="/xl/theme/themeOverride1.xml" ContentType="application/vnd.openxmlformats-officedocument.themeOverride+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pivotTables/pivotTable1.xml" ContentType="application/vnd.openxmlformats-officedocument.spreadsheetml.pivotTable+xml"/>
  <Override PartName="/xl/drawings/drawing12.xml" ContentType="application/vnd.openxmlformats-officedocument.drawing+xml"/>
  <Override PartName="/xl/pivotTables/pivotTable2.xml" ContentType="application/vnd.openxmlformats-officedocument.spreadsheetml.pivotTable+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defaultThemeVersion="124226"/>
  <mc:AlternateContent xmlns:mc="http://schemas.openxmlformats.org/markup-compatibility/2006">
    <mc:Choice Requires="x15">
      <x15ac:absPath xmlns:x15ac="http://schemas.microsoft.com/office/spreadsheetml/2010/11/ac" url="https://d.docs.live.net/d7897e9350882158/Documents/Resume/data analysis portfolio/New Hope/"/>
    </mc:Choice>
  </mc:AlternateContent>
  <xr:revisionPtr revIDLastSave="17" documentId="8_{F5A2424F-AA81-482E-AFAC-189478A82B6B}" xr6:coauthVersionLast="47" xr6:coauthVersionMax="47" xr10:uidLastSave="{2403264E-29E6-4A77-9550-C78155AFCB67}"/>
  <bookViews>
    <workbookView xWindow="-31575" yWindow="6915" windowWidth="19230" windowHeight="14280" tabRatio="714" firstSheet="8" activeTab="8" xr2:uid="{00000000-000D-0000-FFFF-FFFF00000000}"/>
  </bookViews>
  <sheets>
    <sheet name="Variables" sheetId="8" r:id="rId1"/>
    <sheet name="Tracking Template" sheetId="1" r:id="rId2"/>
    <sheet name="2015 Grievance Tracking" sheetId="10" r:id="rId3"/>
    <sheet name="Resident Names" sheetId="2" r:id="rId4"/>
    <sheet name="Staff Names" sheetId="3" r:id="rId5"/>
    <sheet name="Grievance Follow-up Form" sheetId="18" r:id="rId6"/>
    <sheet name="Issue Communication" sheetId="47" r:id="rId7"/>
    <sheet name="Investigation Debriefing" sheetId="44" r:id="rId8"/>
    <sheet name="Report w-o Names" sheetId="45" r:id="rId9"/>
    <sheet name="General Stats" sheetId="36" r:id="rId10"/>
    <sheet name="Times per unit" sheetId="46" r:id="rId11"/>
    <sheet name="Shift Breakdown" sheetId="52" r:id="rId12"/>
    <sheet name="Unit Stats" sheetId="5" r:id="rId13"/>
    <sheet name="Population %" sheetId="48" r:id="rId14"/>
    <sheet name="Quarterly &amp; Yearly Stats" sheetId="37" r:id="rId15"/>
    <sheet name="For SR Reports" sheetId="49" r:id="rId16"/>
    <sheet name="Unit Report Generator" sheetId="50" r:id="rId17"/>
    <sheet name="Grievances in Circulation" sheetId="42" r:id="rId18"/>
    <sheet name="Resident Receipt Table" sheetId="40" r:id="rId19"/>
    <sheet name="Scrap" sheetId="43" r:id="rId20"/>
  </sheets>
  <externalReferences>
    <externalReference r:id="rId21"/>
    <externalReference r:id="rId22"/>
    <externalReference r:id="rId23"/>
  </externalReferences>
  <definedNames>
    <definedName name="_xlnm.Print_Area" localSheetId="5">'Grievance Follow-up Form'!$A$1:$D$55</definedName>
    <definedName name="_xlnm.Print_Area" localSheetId="7">'Investigation Debriefing'!$A$1:$D$43</definedName>
    <definedName name="_xlnm.Print_Area" localSheetId="6">'Issue Communication'!$A$1:$D$23</definedName>
    <definedName name="_xlnm.Print_Area" localSheetId="8">'Report w-o Names'!$A$1:$D$50</definedName>
    <definedName name="_xlnm.Print_Area" localSheetId="3">'Resident Names'!$A$3:$X$40</definedName>
    <definedName name="_xlnm.Print_Area" localSheetId="18">'Resident Receipt Table'!$A$1:$B$36</definedName>
    <definedName name="_xlnm.Print_Area" localSheetId="11">'Shift Breakdown'!$A$2:$J$142</definedName>
  </definedNames>
  <calcPr calcId="191029"/>
  <pivotCaches>
    <pivotCache cacheId="18" r:id="rId24"/>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23" i="37" l="1"/>
  <c r="B20" i="37"/>
  <c r="B31" i="37" s="1"/>
  <c r="X4" i="2" l="1"/>
  <c r="W4" i="2"/>
  <c r="V4" i="2"/>
  <c r="U4" i="2"/>
  <c r="T4" i="2"/>
  <c r="S4" i="2"/>
  <c r="R4" i="2"/>
  <c r="Q4" i="2"/>
  <c r="P4" i="2"/>
  <c r="O4" i="2"/>
  <c r="N4" i="2"/>
  <c r="M4" i="2"/>
  <c r="K4" i="2"/>
  <c r="J4" i="2"/>
  <c r="I4" i="2"/>
  <c r="H4" i="2"/>
  <c r="G4" i="2"/>
  <c r="F4" i="2"/>
  <c r="E4" i="2"/>
  <c r="D16" i="52"/>
  <c r="D17" i="52"/>
  <c r="P17" i="52" s="1"/>
  <c r="D18" i="52"/>
  <c r="D19" i="52"/>
  <c r="D20" i="52"/>
  <c r="D21" i="52"/>
  <c r="D22" i="52"/>
  <c r="D26" i="52"/>
  <c r="D27" i="52"/>
  <c r="D28" i="52"/>
  <c r="D29" i="52"/>
  <c r="D30" i="52"/>
  <c r="D31" i="52"/>
  <c r="P31" i="52" s="1"/>
  <c r="D32" i="52"/>
  <c r="P32" i="52" s="1"/>
  <c r="D34" i="52"/>
  <c r="D35" i="52"/>
  <c r="D36" i="52"/>
  <c r="D37" i="52"/>
  <c r="D38" i="52"/>
  <c r="D39" i="52"/>
  <c r="D40" i="52"/>
  <c r="D43" i="52"/>
  <c r="D44" i="52"/>
  <c r="D45" i="52"/>
  <c r="D46" i="52"/>
  <c r="D47" i="52"/>
  <c r="D48" i="52"/>
  <c r="D49" i="52"/>
  <c r="D51" i="52"/>
  <c r="D52" i="52"/>
  <c r="D53" i="52"/>
  <c r="D54" i="52"/>
  <c r="D55" i="52"/>
  <c r="D56" i="52"/>
  <c r="D57" i="52"/>
  <c r="D60" i="52"/>
  <c r="D61" i="52"/>
  <c r="D62" i="52"/>
  <c r="D63" i="52"/>
  <c r="P63" i="52" s="1"/>
  <c r="D64" i="52"/>
  <c r="D65" i="52"/>
  <c r="D66" i="52"/>
  <c r="O142" i="52"/>
  <c r="N142" i="52"/>
  <c r="M142" i="52"/>
  <c r="L142" i="52"/>
  <c r="K142" i="52"/>
  <c r="J142" i="52"/>
  <c r="I142" i="52"/>
  <c r="H142" i="52"/>
  <c r="G142" i="52"/>
  <c r="F142" i="52"/>
  <c r="E142" i="52"/>
  <c r="D142" i="52"/>
  <c r="P142" i="52" s="1"/>
  <c r="B142" i="52"/>
  <c r="O141" i="52"/>
  <c r="N141" i="52"/>
  <c r="M141" i="52"/>
  <c r="L141" i="52"/>
  <c r="K141" i="52"/>
  <c r="J141" i="52"/>
  <c r="I141" i="52"/>
  <c r="H141" i="52"/>
  <c r="G141" i="52"/>
  <c r="F141" i="52"/>
  <c r="E141" i="52"/>
  <c r="D141" i="52"/>
  <c r="B141" i="52"/>
  <c r="O140" i="52"/>
  <c r="N140" i="52"/>
  <c r="M140" i="52"/>
  <c r="L140" i="52"/>
  <c r="K140" i="52"/>
  <c r="J140" i="52"/>
  <c r="I140" i="52"/>
  <c r="H140" i="52"/>
  <c r="G140" i="52"/>
  <c r="F140" i="52"/>
  <c r="E140" i="52"/>
  <c r="D140" i="52"/>
  <c r="P140" i="52" s="1"/>
  <c r="B140" i="52"/>
  <c r="O139" i="52"/>
  <c r="N139" i="52"/>
  <c r="M139" i="52"/>
  <c r="L139" i="52"/>
  <c r="K139" i="52"/>
  <c r="J139" i="52"/>
  <c r="I139" i="52"/>
  <c r="H139" i="52"/>
  <c r="G139" i="52"/>
  <c r="F139" i="52"/>
  <c r="E139" i="52"/>
  <c r="D139" i="52"/>
  <c r="P139" i="52" s="1"/>
  <c r="B139" i="52"/>
  <c r="O138" i="52"/>
  <c r="N138" i="52"/>
  <c r="M138" i="52"/>
  <c r="L138" i="52"/>
  <c r="K138" i="52"/>
  <c r="J138" i="52"/>
  <c r="I138" i="52"/>
  <c r="H138" i="52"/>
  <c r="G138" i="52"/>
  <c r="F138" i="52"/>
  <c r="E138" i="52"/>
  <c r="D138" i="52"/>
  <c r="P138" i="52" s="1"/>
  <c r="B138" i="52"/>
  <c r="O137" i="52"/>
  <c r="N137" i="52"/>
  <c r="M137" i="52"/>
  <c r="L137" i="52"/>
  <c r="K137" i="52"/>
  <c r="J137" i="52"/>
  <c r="I137" i="52"/>
  <c r="H137" i="52"/>
  <c r="G137" i="52"/>
  <c r="F137" i="52"/>
  <c r="E137" i="52"/>
  <c r="D137" i="52"/>
  <c r="B137" i="52"/>
  <c r="O136" i="52"/>
  <c r="N136" i="52"/>
  <c r="M136" i="52"/>
  <c r="L136" i="52"/>
  <c r="K136" i="52"/>
  <c r="J136" i="52"/>
  <c r="I136" i="52"/>
  <c r="H136" i="52"/>
  <c r="G136" i="52"/>
  <c r="F136" i="52"/>
  <c r="E136" i="52"/>
  <c r="D136" i="52"/>
  <c r="B136" i="52"/>
  <c r="O125" i="52"/>
  <c r="N125" i="52"/>
  <c r="M125" i="52"/>
  <c r="L125" i="52"/>
  <c r="K125" i="52"/>
  <c r="J125" i="52"/>
  <c r="I125" i="52"/>
  <c r="H125" i="52"/>
  <c r="G125" i="52"/>
  <c r="F125" i="52"/>
  <c r="E125" i="52"/>
  <c r="D125" i="52"/>
  <c r="B125" i="52"/>
  <c r="O124" i="52"/>
  <c r="N124" i="52"/>
  <c r="M124" i="52"/>
  <c r="L124" i="52"/>
  <c r="K124" i="52"/>
  <c r="J124" i="52"/>
  <c r="I124" i="52"/>
  <c r="H124" i="52"/>
  <c r="G124" i="52"/>
  <c r="F124" i="52"/>
  <c r="E124" i="52"/>
  <c r="D124" i="52"/>
  <c r="P124" i="52" s="1"/>
  <c r="B124" i="52"/>
  <c r="O123" i="52"/>
  <c r="N123" i="52"/>
  <c r="M123" i="52"/>
  <c r="L123" i="52"/>
  <c r="K123" i="52"/>
  <c r="J123" i="52"/>
  <c r="I123" i="52"/>
  <c r="H123" i="52"/>
  <c r="G123" i="52"/>
  <c r="F123" i="52"/>
  <c r="E123" i="52"/>
  <c r="D123" i="52"/>
  <c r="B123" i="52"/>
  <c r="O122" i="52"/>
  <c r="N122" i="52"/>
  <c r="M122" i="52"/>
  <c r="L122" i="52"/>
  <c r="K122" i="52"/>
  <c r="J122" i="52"/>
  <c r="I122" i="52"/>
  <c r="H122" i="52"/>
  <c r="G122" i="52"/>
  <c r="P122" i="52" s="1"/>
  <c r="F122" i="52"/>
  <c r="E122" i="52"/>
  <c r="D122" i="52"/>
  <c r="B122" i="52"/>
  <c r="O121" i="52"/>
  <c r="N121" i="52"/>
  <c r="M121" i="52"/>
  <c r="L121" i="52"/>
  <c r="K121" i="52"/>
  <c r="J121" i="52"/>
  <c r="I121" i="52"/>
  <c r="H121" i="52"/>
  <c r="G121" i="52"/>
  <c r="F121" i="52"/>
  <c r="E121" i="52"/>
  <c r="D121" i="52"/>
  <c r="P121" i="52" s="1"/>
  <c r="B121" i="52"/>
  <c r="O120" i="52"/>
  <c r="N120" i="52"/>
  <c r="M120" i="52"/>
  <c r="L120" i="52"/>
  <c r="K120" i="52"/>
  <c r="J120" i="52"/>
  <c r="I120" i="52"/>
  <c r="H120" i="52"/>
  <c r="G120" i="52"/>
  <c r="F120" i="52"/>
  <c r="E120" i="52"/>
  <c r="D120" i="52"/>
  <c r="B120" i="52"/>
  <c r="O119" i="52"/>
  <c r="N119" i="52"/>
  <c r="M119" i="52"/>
  <c r="L119" i="52"/>
  <c r="K119" i="52"/>
  <c r="J119" i="52"/>
  <c r="I119" i="52"/>
  <c r="H119" i="52"/>
  <c r="G119" i="52"/>
  <c r="F119" i="52"/>
  <c r="E119" i="52"/>
  <c r="D119" i="52"/>
  <c r="B119" i="52"/>
  <c r="O108" i="52"/>
  <c r="N108" i="52"/>
  <c r="M108" i="52"/>
  <c r="L108" i="52"/>
  <c r="K108" i="52"/>
  <c r="J108" i="52"/>
  <c r="I108" i="52"/>
  <c r="H108" i="52"/>
  <c r="G108" i="52"/>
  <c r="F108" i="52"/>
  <c r="E108" i="52"/>
  <c r="D108" i="52"/>
  <c r="P108" i="52" s="1"/>
  <c r="B108" i="52"/>
  <c r="O107" i="52"/>
  <c r="N107" i="52"/>
  <c r="M107" i="52"/>
  <c r="L107" i="52"/>
  <c r="K107" i="52"/>
  <c r="J107" i="52"/>
  <c r="I107" i="52"/>
  <c r="H107" i="52"/>
  <c r="G107" i="52"/>
  <c r="F107" i="52"/>
  <c r="E107" i="52"/>
  <c r="D107" i="52"/>
  <c r="B107" i="52"/>
  <c r="O106" i="52"/>
  <c r="N106" i="52"/>
  <c r="M106" i="52"/>
  <c r="L106" i="52"/>
  <c r="K106" i="52"/>
  <c r="J106" i="52"/>
  <c r="I106" i="52"/>
  <c r="H106" i="52"/>
  <c r="G106" i="52"/>
  <c r="F106" i="52"/>
  <c r="E106" i="52"/>
  <c r="D106" i="52"/>
  <c r="B106" i="52"/>
  <c r="O105" i="52"/>
  <c r="N105" i="52"/>
  <c r="M105" i="52"/>
  <c r="L105" i="52"/>
  <c r="K105" i="52"/>
  <c r="J105" i="52"/>
  <c r="I105" i="52"/>
  <c r="H105" i="52"/>
  <c r="G105" i="52"/>
  <c r="F105" i="52"/>
  <c r="E105" i="52"/>
  <c r="D105" i="52"/>
  <c r="B105" i="52"/>
  <c r="O104" i="52"/>
  <c r="N104" i="52"/>
  <c r="M104" i="52"/>
  <c r="L104" i="52"/>
  <c r="K104" i="52"/>
  <c r="J104" i="52"/>
  <c r="I104" i="52"/>
  <c r="H104" i="52"/>
  <c r="G104" i="52"/>
  <c r="F104" i="52"/>
  <c r="E104" i="52"/>
  <c r="D104" i="52"/>
  <c r="B104" i="52"/>
  <c r="O103" i="52"/>
  <c r="N103" i="52"/>
  <c r="M103" i="52"/>
  <c r="L103" i="52"/>
  <c r="K103" i="52"/>
  <c r="J103" i="52"/>
  <c r="I103" i="52"/>
  <c r="H103" i="52"/>
  <c r="G103" i="52"/>
  <c r="F103" i="52"/>
  <c r="E103" i="52"/>
  <c r="D103" i="52"/>
  <c r="P103" i="52" s="1"/>
  <c r="B103" i="52"/>
  <c r="O102" i="52"/>
  <c r="N102" i="52"/>
  <c r="M102" i="52"/>
  <c r="L102" i="52"/>
  <c r="K102" i="52"/>
  <c r="J102" i="52"/>
  <c r="I102" i="52"/>
  <c r="H102" i="52"/>
  <c r="G102" i="52"/>
  <c r="F102" i="52"/>
  <c r="E102" i="52"/>
  <c r="D102" i="52"/>
  <c r="B102" i="52"/>
  <c r="O91" i="52"/>
  <c r="N91" i="52"/>
  <c r="M91" i="52"/>
  <c r="L91" i="52"/>
  <c r="K91" i="52"/>
  <c r="J91" i="52"/>
  <c r="I91" i="52"/>
  <c r="H91" i="52"/>
  <c r="G91" i="52"/>
  <c r="F91" i="52"/>
  <c r="E91" i="52"/>
  <c r="D91" i="52"/>
  <c r="B91" i="52"/>
  <c r="O90" i="52"/>
  <c r="N90" i="52"/>
  <c r="M90" i="52"/>
  <c r="L90" i="52"/>
  <c r="K90" i="52"/>
  <c r="J90" i="52"/>
  <c r="I90" i="52"/>
  <c r="H90" i="52"/>
  <c r="G90" i="52"/>
  <c r="F90" i="52"/>
  <c r="E90" i="52"/>
  <c r="D90" i="52"/>
  <c r="B90" i="52"/>
  <c r="O89" i="52"/>
  <c r="N89" i="52"/>
  <c r="M89" i="52"/>
  <c r="L89" i="52"/>
  <c r="K89" i="52"/>
  <c r="J89" i="52"/>
  <c r="I89" i="52"/>
  <c r="H89" i="52"/>
  <c r="G89" i="52"/>
  <c r="F89" i="52"/>
  <c r="E89" i="52"/>
  <c r="D89" i="52"/>
  <c r="B89" i="52"/>
  <c r="O88" i="52"/>
  <c r="N88" i="52"/>
  <c r="M88" i="52"/>
  <c r="L88" i="52"/>
  <c r="K88" i="52"/>
  <c r="J88" i="52"/>
  <c r="I88" i="52"/>
  <c r="H88" i="52"/>
  <c r="G88" i="52"/>
  <c r="F88" i="52"/>
  <c r="E88" i="52"/>
  <c r="D88" i="52"/>
  <c r="B88" i="52"/>
  <c r="O87" i="52"/>
  <c r="N87" i="52"/>
  <c r="M87" i="52"/>
  <c r="L87" i="52"/>
  <c r="K87" i="52"/>
  <c r="J87" i="52"/>
  <c r="I87" i="52"/>
  <c r="H87" i="52"/>
  <c r="G87" i="52"/>
  <c r="F87" i="52"/>
  <c r="E87" i="52"/>
  <c r="D87" i="52"/>
  <c r="B87" i="52"/>
  <c r="O86" i="52"/>
  <c r="N86" i="52"/>
  <c r="M86" i="52"/>
  <c r="L86" i="52"/>
  <c r="K86" i="52"/>
  <c r="J86" i="52"/>
  <c r="I86" i="52"/>
  <c r="H86" i="52"/>
  <c r="G86" i="52"/>
  <c r="F86" i="52"/>
  <c r="E86" i="52"/>
  <c r="D86" i="52"/>
  <c r="P86" i="52" s="1"/>
  <c r="B86" i="52"/>
  <c r="O85" i="52"/>
  <c r="N85" i="52"/>
  <c r="M85" i="52"/>
  <c r="L85" i="52"/>
  <c r="K85" i="52"/>
  <c r="J85" i="52"/>
  <c r="I85" i="52"/>
  <c r="H85" i="52"/>
  <c r="G85" i="52"/>
  <c r="F85" i="52"/>
  <c r="E85" i="52"/>
  <c r="D85" i="52"/>
  <c r="P85" i="52" s="1"/>
  <c r="B85" i="52"/>
  <c r="O74" i="52"/>
  <c r="N74" i="52"/>
  <c r="M74" i="52"/>
  <c r="L74" i="52"/>
  <c r="K74" i="52"/>
  <c r="J74" i="52"/>
  <c r="I74" i="52"/>
  <c r="H74" i="52"/>
  <c r="G74" i="52"/>
  <c r="F74" i="52"/>
  <c r="E74" i="52"/>
  <c r="D74" i="52"/>
  <c r="P74" i="52" s="1"/>
  <c r="B74" i="52"/>
  <c r="O73" i="52"/>
  <c r="N73" i="52"/>
  <c r="M73" i="52"/>
  <c r="L73" i="52"/>
  <c r="K73" i="52"/>
  <c r="J73" i="52"/>
  <c r="I73" i="52"/>
  <c r="H73" i="52"/>
  <c r="G73" i="52"/>
  <c r="F73" i="52"/>
  <c r="E73" i="52"/>
  <c r="D73" i="52"/>
  <c r="B73" i="52"/>
  <c r="O72" i="52"/>
  <c r="N72" i="52"/>
  <c r="M72" i="52"/>
  <c r="L72" i="52"/>
  <c r="K72" i="52"/>
  <c r="J72" i="52"/>
  <c r="I72" i="52"/>
  <c r="H72" i="52"/>
  <c r="G72" i="52"/>
  <c r="F72" i="52"/>
  <c r="E72" i="52"/>
  <c r="D72" i="52"/>
  <c r="B72" i="52"/>
  <c r="O71" i="52"/>
  <c r="N71" i="52"/>
  <c r="M71" i="52"/>
  <c r="L71" i="52"/>
  <c r="K71" i="52"/>
  <c r="J71" i="52"/>
  <c r="I71" i="52"/>
  <c r="H71" i="52"/>
  <c r="G71" i="52"/>
  <c r="F71" i="52"/>
  <c r="E71" i="52"/>
  <c r="D71" i="52"/>
  <c r="B71" i="52"/>
  <c r="O70" i="52"/>
  <c r="N70" i="52"/>
  <c r="M70" i="52"/>
  <c r="L70" i="52"/>
  <c r="K70" i="52"/>
  <c r="J70" i="52"/>
  <c r="I70" i="52"/>
  <c r="H70" i="52"/>
  <c r="G70" i="52"/>
  <c r="F70" i="52"/>
  <c r="E70" i="52"/>
  <c r="D70" i="52"/>
  <c r="B70" i="52"/>
  <c r="O69" i="52"/>
  <c r="N69" i="52"/>
  <c r="M69" i="52"/>
  <c r="L69" i="52"/>
  <c r="K69" i="52"/>
  <c r="J69" i="52"/>
  <c r="I69" i="52"/>
  <c r="H69" i="52"/>
  <c r="G69" i="52"/>
  <c r="F69" i="52"/>
  <c r="E69" i="52"/>
  <c r="D69" i="52"/>
  <c r="B69" i="52"/>
  <c r="O68" i="52"/>
  <c r="N68" i="52"/>
  <c r="M68" i="52"/>
  <c r="L68" i="52"/>
  <c r="K68" i="52"/>
  <c r="J68" i="52"/>
  <c r="I68" i="52"/>
  <c r="H68" i="52"/>
  <c r="G68" i="52"/>
  <c r="F68" i="52"/>
  <c r="E68" i="52"/>
  <c r="P68" i="52" s="1"/>
  <c r="D68" i="52"/>
  <c r="B68" i="52"/>
  <c r="O57" i="52"/>
  <c r="N57" i="52"/>
  <c r="M57" i="52"/>
  <c r="L57" i="52"/>
  <c r="K57" i="52"/>
  <c r="J57" i="52"/>
  <c r="I57" i="52"/>
  <c r="H57" i="52"/>
  <c r="G57" i="52"/>
  <c r="F57" i="52"/>
  <c r="E57" i="52"/>
  <c r="B57" i="52"/>
  <c r="O56" i="52"/>
  <c r="N56" i="52"/>
  <c r="M56" i="52"/>
  <c r="L56" i="52"/>
  <c r="K56" i="52"/>
  <c r="J56" i="52"/>
  <c r="I56" i="52"/>
  <c r="H56" i="52"/>
  <c r="G56" i="52"/>
  <c r="F56" i="52"/>
  <c r="E56" i="52"/>
  <c r="B56" i="52"/>
  <c r="O55" i="52"/>
  <c r="N55" i="52"/>
  <c r="M55" i="52"/>
  <c r="L55" i="52"/>
  <c r="K55" i="52"/>
  <c r="J55" i="52"/>
  <c r="I55" i="52"/>
  <c r="H55" i="52"/>
  <c r="G55" i="52"/>
  <c r="F55" i="52"/>
  <c r="E55" i="52"/>
  <c r="B55" i="52"/>
  <c r="O54" i="52"/>
  <c r="N54" i="52"/>
  <c r="M54" i="52"/>
  <c r="L54" i="52"/>
  <c r="K54" i="52"/>
  <c r="J54" i="52"/>
  <c r="I54" i="52"/>
  <c r="H54" i="52"/>
  <c r="G54" i="52"/>
  <c r="F54" i="52"/>
  <c r="E54" i="52"/>
  <c r="B54" i="52"/>
  <c r="O53" i="52"/>
  <c r="N53" i="52"/>
  <c r="M53" i="52"/>
  <c r="L53" i="52"/>
  <c r="K53" i="52"/>
  <c r="J53" i="52"/>
  <c r="I53" i="52"/>
  <c r="H53" i="52"/>
  <c r="G53" i="52"/>
  <c r="F53" i="52"/>
  <c r="E53" i="52"/>
  <c r="B53" i="52"/>
  <c r="O52" i="52"/>
  <c r="N52" i="52"/>
  <c r="M52" i="52"/>
  <c r="L52" i="52"/>
  <c r="K52" i="52"/>
  <c r="J52" i="52"/>
  <c r="I52" i="52"/>
  <c r="H52" i="52"/>
  <c r="G52" i="52"/>
  <c r="F52" i="52"/>
  <c r="E52" i="52"/>
  <c r="B52" i="52"/>
  <c r="O51" i="52"/>
  <c r="N51" i="52"/>
  <c r="M51" i="52"/>
  <c r="L51" i="52"/>
  <c r="K51" i="52"/>
  <c r="J51" i="52"/>
  <c r="I51" i="52"/>
  <c r="H51" i="52"/>
  <c r="G51" i="52"/>
  <c r="F51" i="52"/>
  <c r="E51" i="52"/>
  <c r="B51" i="52"/>
  <c r="O40" i="52"/>
  <c r="N40" i="52"/>
  <c r="M40" i="52"/>
  <c r="L40" i="52"/>
  <c r="K40" i="52"/>
  <c r="J40" i="52"/>
  <c r="I40" i="52"/>
  <c r="H40" i="52"/>
  <c r="G40" i="52"/>
  <c r="F40" i="52"/>
  <c r="E40" i="52"/>
  <c r="B40" i="52"/>
  <c r="O39" i="52"/>
  <c r="N39" i="52"/>
  <c r="M39" i="52"/>
  <c r="L39" i="52"/>
  <c r="K39" i="52"/>
  <c r="J39" i="52"/>
  <c r="I39" i="52"/>
  <c r="H39" i="52"/>
  <c r="G39" i="52"/>
  <c r="F39" i="52"/>
  <c r="E39" i="52"/>
  <c r="B39" i="52"/>
  <c r="O38" i="52"/>
  <c r="N38" i="52"/>
  <c r="M38" i="52"/>
  <c r="L38" i="52"/>
  <c r="K38" i="52"/>
  <c r="J38" i="52"/>
  <c r="I38" i="52"/>
  <c r="H38" i="52"/>
  <c r="P38" i="52" s="1"/>
  <c r="G38" i="52"/>
  <c r="F38" i="52"/>
  <c r="E38" i="52"/>
  <c r="B38" i="52"/>
  <c r="O37" i="52"/>
  <c r="N37" i="52"/>
  <c r="M37" i="52"/>
  <c r="L37" i="52"/>
  <c r="K37" i="52"/>
  <c r="P37" i="52" s="1"/>
  <c r="J37" i="52"/>
  <c r="I37" i="52"/>
  <c r="H37" i="52"/>
  <c r="G37" i="52"/>
  <c r="F37" i="52"/>
  <c r="E37" i="52"/>
  <c r="B37" i="52"/>
  <c r="O36" i="52"/>
  <c r="N36" i="52"/>
  <c r="M36" i="52"/>
  <c r="L36" i="52"/>
  <c r="K36" i="52"/>
  <c r="J36" i="52"/>
  <c r="I36" i="52"/>
  <c r="H36" i="52"/>
  <c r="G36" i="52"/>
  <c r="F36" i="52"/>
  <c r="E36" i="52"/>
  <c r="B36" i="52"/>
  <c r="O35" i="52"/>
  <c r="N35" i="52"/>
  <c r="M35" i="52"/>
  <c r="L35" i="52"/>
  <c r="K35" i="52"/>
  <c r="J35" i="52"/>
  <c r="I35" i="52"/>
  <c r="H35" i="52"/>
  <c r="G35" i="52"/>
  <c r="F35" i="52"/>
  <c r="E35" i="52"/>
  <c r="B35" i="52"/>
  <c r="O34" i="52"/>
  <c r="N34" i="52"/>
  <c r="M34" i="52"/>
  <c r="L34" i="52"/>
  <c r="K34" i="52"/>
  <c r="J34" i="52"/>
  <c r="I34" i="52"/>
  <c r="H34" i="52"/>
  <c r="G34" i="52"/>
  <c r="F34" i="52"/>
  <c r="E34" i="52"/>
  <c r="B34" i="52"/>
  <c r="O134" i="52"/>
  <c r="N134" i="52"/>
  <c r="M134" i="52"/>
  <c r="L134" i="52"/>
  <c r="K134" i="52"/>
  <c r="J134" i="52"/>
  <c r="I134" i="52"/>
  <c r="H134" i="52"/>
  <c r="G134" i="52"/>
  <c r="F134" i="52"/>
  <c r="E134" i="52"/>
  <c r="D134" i="52"/>
  <c r="P134" i="52" s="1"/>
  <c r="B134" i="52"/>
  <c r="O133" i="52"/>
  <c r="N133" i="52"/>
  <c r="M133" i="52"/>
  <c r="L133" i="52"/>
  <c r="K133" i="52"/>
  <c r="J133" i="52"/>
  <c r="I133" i="52"/>
  <c r="H133" i="52"/>
  <c r="G133" i="52"/>
  <c r="F133" i="52"/>
  <c r="E133" i="52"/>
  <c r="D133" i="52"/>
  <c r="B133" i="52"/>
  <c r="O132" i="52"/>
  <c r="N132" i="52"/>
  <c r="M132" i="52"/>
  <c r="L132" i="52"/>
  <c r="K132" i="52"/>
  <c r="J132" i="52"/>
  <c r="I132" i="52"/>
  <c r="H132" i="52"/>
  <c r="G132" i="52"/>
  <c r="F132" i="52"/>
  <c r="P132" i="52" s="1"/>
  <c r="E132" i="52"/>
  <c r="D132" i="52"/>
  <c r="B132" i="52"/>
  <c r="O131" i="52"/>
  <c r="N131" i="52"/>
  <c r="M131" i="52"/>
  <c r="L131" i="52"/>
  <c r="K131" i="52"/>
  <c r="J131" i="52"/>
  <c r="I131" i="52"/>
  <c r="H131" i="52"/>
  <c r="G131" i="52"/>
  <c r="F131" i="52"/>
  <c r="E131" i="52"/>
  <c r="D131" i="52"/>
  <c r="B131" i="52"/>
  <c r="O130" i="52"/>
  <c r="N130" i="52"/>
  <c r="M130" i="52"/>
  <c r="L130" i="52"/>
  <c r="K130" i="52"/>
  <c r="J130" i="52"/>
  <c r="I130" i="52"/>
  <c r="H130" i="52"/>
  <c r="G130" i="52"/>
  <c r="F130" i="52"/>
  <c r="E130" i="52"/>
  <c r="D130" i="52"/>
  <c r="B130" i="52"/>
  <c r="O129" i="52"/>
  <c r="N129" i="52"/>
  <c r="M129" i="52"/>
  <c r="L129" i="52"/>
  <c r="K129" i="52"/>
  <c r="J129" i="52"/>
  <c r="I129" i="52"/>
  <c r="H129" i="52"/>
  <c r="G129" i="52"/>
  <c r="F129" i="52"/>
  <c r="E129" i="52"/>
  <c r="P129" i="52" s="1"/>
  <c r="D129" i="52"/>
  <c r="B129" i="52"/>
  <c r="O128" i="52"/>
  <c r="N128" i="52"/>
  <c r="M128" i="52"/>
  <c r="L128" i="52"/>
  <c r="K128" i="52"/>
  <c r="J128" i="52"/>
  <c r="I128" i="52"/>
  <c r="P128" i="52" s="1"/>
  <c r="H128" i="52"/>
  <c r="G128" i="52"/>
  <c r="F128" i="52"/>
  <c r="E128" i="52"/>
  <c r="D128" i="52"/>
  <c r="B128" i="52"/>
  <c r="O117" i="52"/>
  <c r="N117" i="52"/>
  <c r="M117" i="52"/>
  <c r="L117" i="52"/>
  <c r="K117" i="52"/>
  <c r="J117" i="52"/>
  <c r="I117" i="52"/>
  <c r="H117" i="52"/>
  <c r="G117" i="52"/>
  <c r="P117" i="52" s="1"/>
  <c r="F117" i="52"/>
  <c r="E117" i="52"/>
  <c r="D117" i="52"/>
  <c r="B117" i="52"/>
  <c r="O116" i="52"/>
  <c r="N116" i="52"/>
  <c r="M116" i="52"/>
  <c r="L116" i="52"/>
  <c r="K116" i="52"/>
  <c r="J116" i="52"/>
  <c r="I116" i="52"/>
  <c r="H116" i="52"/>
  <c r="G116" i="52"/>
  <c r="F116" i="52"/>
  <c r="E116" i="52"/>
  <c r="D116" i="52"/>
  <c r="P116" i="52" s="1"/>
  <c r="B116" i="52"/>
  <c r="O115" i="52"/>
  <c r="N115" i="52"/>
  <c r="M115" i="52"/>
  <c r="L115" i="52"/>
  <c r="K115" i="52"/>
  <c r="J115" i="52"/>
  <c r="I115" i="52"/>
  <c r="H115" i="52"/>
  <c r="G115" i="52"/>
  <c r="F115" i="52"/>
  <c r="P115" i="52" s="1"/>
  <c r="E115" i="52"/>
  <c r="D115" i="52"/>
  <c r="B115" i="52"/>
  <c r="O114" i="52"/>
  <c r="N114" i="52"/>
  <c r="M114" i="52"/>
  <c r="L114" i="52"/>
  <c r="K114" i="52"/>
  <c r="J114" i="52"/>
  <c r="I114" i="52"/>
  <c r="H114" i="52"/>
  <c r="G114" i="52"/>
  <c r="F114" i="52"/>
  <c r="E114" i="52"/>
  <c r="D114" i="52"/>
  <c r="B114" i="52"/>
  <c r="O113" i="52"/>
  <c r="N113" i="52"/>
  <c r="M113" i="52"/>
  <c r="L113" i="52"/>
  <c r="K113" i="52"/>
  <c r="J113" i="52"/>
  <c r="I113" i="52"/>
  <c r="H113" i="52"/>
  <c r="G113" i="52"/>
  <c r="F113" i="52"/>
  <c r="E113" i="52"/>
  <c r="D113" i="52"/>
  <c r="B113" i="52"/>
  <c r="O112" i="52"/>
  <c r="N112" i="52"/>
  <c r="M112" i="52"/>
  <c r="L112" i="52"/>
  <c r="K112" i="52"/>
  <c r="J112" i="52"/>
  <c r="I112" i="52"/>
  <c r="H112" i="52"/>
  <c r="G112" i="52"/>
  <c r="F112" i="52"/>
  <c r="E112" i="52"/>
  <c r="D112" i="52"/>
  <c r="B112" i="52"/>
  <c r="O111" i="52"/>
  <c r="N111" i="52"/>
  <c r="M111" i="52"/>
  <c r="L111" i="52"/>
  <c r="K111" i="52"/>
  <c r="J111" i="52"/>
  <c r="I111" i="52"/>
  <c r="H111" i="52"/>
  <c r="G111" i="52"/>
  <c r="F111" i="52"/>
  <c r="E111" i="52"/>
  <c r="P111" i="52" s="1"/>
  <c r="D111" i="52"/>
  <c r="B111" i="52"/>
  <c r="O100" i="52"/>
  <c r="N100" i="52"/>
  <c r="M100" i="52"/>
  <c r="L100" i="52"/>
  <c r="K100" i="52"/>
  <c r="J100" i="52"/>
  <c r="I100" i="52"/>
  <c r="H100" i="52"/>
  <c r="G100" i="52"/>
  <c r="F100" i="52"/>
  <c r="E100" i="52"/>
  <c r="D100" i="52"/>
  <c r="B100" i="52"/>
  <c r="O99" i="52"/>
  <c r="N99" i="52"/>
  <c r="M99" i="52"/>
  <c r="L99" i="52"/>
  <c r="K99" i="52"/>
  <c r="J99" i="52"/>
  <c r="I99" i="52"/>
  <c r="H99" i="52"/>
  <c r="G99" i="52"/>
  <c r="F99" i="52"/>
  <c r="E99" i="52"/>
  <c r="D99" i="52"/>
  <c r="B99" i="52"/>
  <c r="O98" i="52"/>
  <c r="N98" i="52"/>
  <c r="M98" i="52"/>
  <c r="L98" i="52"/>
  <c r="K98" i="52"/>
  <c r="J98" i="52"/>
  <c r="I98" i="52"/>
  <c r="H98" i="52"/>
  <c r="G98" i="52"/>
  <c r="F98" i="52"/>
  <c r="E98" i="52"/>
  <c r="D98" i="52"/>
  <c r="P98" i="52" s="1"/>
  <c r="B98" i="52"/>
  <c r="O97" i="52"/>
  <c r="N97" i="52"/>
  <c r="M97" i="52"/>
  <c r="L97" i="52"/>
  <c r="K97" i="52"/>
  <c r="J97" i="52"/>
  <c r="I97" i="52"/>
  <c r="H97" i="52"/>
  <c r="G97" i="52"/>
  <c r="F97" i="52"/>
  <c r="E97" i="52"/>
  <c r="D97" i="52"/>
  <c r="B97" i="52"/>
  <c r="O96" i="52"/>
  <c r="N96" i="52"/>
  <c r="M96" i="52"/>
  <c r="L96" i="52"/>
  <c r="K96" i="52"/>
  <c r="J96" i="52"/>
  <c r="I96" i="52"/>
  <c r="H96" i="52"/>
  <c r="G96" i="52"/>
  <c r="F96" i="52"/>
  <c r="P96" i="52" s="1"/>
  <c r="E96" i="52"/>
  <c r="D96" i="52"/>
  <c r="B96" i="52"/>
  <c r="O95" i="52"/>
  <c r="N95" i="52"/>
  <c r="M95" i="52"/>
  <c r="L95" i="52"/>
  <c r="K95" i="52"/>
  <c r="J95" i="52"/>
  <c r="I95" i="52"/>
  <c r="H95" i="52"/>
  <c r="G95" i="52"/>
  <c r="F95" i="52"/>
  <c r="E95" i="52"/>
  <c r="D95" i="52"/>
  <c r="B95" i="52"/>
  <c r="O94" i="52"/>
  <c r="N94" i="52"/>
  <c r="M94" i="52"/>
  <c r="L94" i="52"/>
  <c r="K94" i="52"/>
  <c r="J94" i="52"/>
  <c r="I94" i="52"/>
  <c r="H94" i="52"/>
  <c r="G94" i="52"/>
  <c r="F94" i="52"/>
  <c r="E94" i="52"/>
  <c r="D94" i="52"/>
  <c r="B94" i="52"/>
  <c r="O83" i="52"/>
  <c r="N83" i="52"/>
  <c r="M83" i="52"/>
  <c r="L83" i="52"/>
  <c r="K83" i="52"/>
  <c r="J83" i="52"/>
  <c r="I83" i="52"/>
  <c r="H83" i="52"/>
  <c r="G83" i="52"/>
  <c r="F83" i="52"/>
  <c r="E83" i="52"/>
  <c r="D83" i="52"/>
  <c r="B83" i="52"/>
  <c r="O82" i="52"/>
  <c r="N82" i="52"/>
  <c r="M82" i="52"/>
  <c r="L82" i="52"/>
  <c r="K82" i="52"/>
  <c r="J82" i="52"/>
  <c r="I82" i="52"/>
  <c r="H82" i="52"/>
  <c r="G82" i="52"/>
  <c r="F82" i="52"/>
  <c r="E82" i="52"/>
  <c r="D82" i="52"/>
  <c r="B82" i="52"/>
  <c r="O81" i="52"/>
  <c r="N81" i="52"/>
  <c r="M81" i="52"/>
  <c r="L81" i="52"/>
  <c r="K81" i="52"/>
  <c r="J81" i="52"/>
  <c r="I81" i="52"/>
  <c r="H81" i="52"/>
  <c r="G81" i="52"/>
  <c r="F81" i="52"/>
  <c r="E81" i="52"/>
  <c r="D81" i="52"/>
  <c r="B81" i="52"/>
  <c r="O80" i="52"/>
  <c r="N80" i="52"/>
  <c r="M80" i="52"/>
  <c r="L80" i="52"/>
  <c r="K80" i="52"/>
  <c r="J80" i="52"/>
  <c r="I80" i="52"/>
  <c r="H80" i="52"/>
  <c r="G80" i="52"/>
  <c r="F80" i="52"/>
  <c r="E80" i="52"/>
  <c r="D80" i="52"/>
  <c r="P80" i="52" s="1"/>
  <c r="B80" i="52"/>
  <c r="O79" i="52"/>
  <c r="N79" i="52"/>
  <c r="M79" i="52"/>
  <c r="L79" i="52"/>
  <c r="K79" i="52"/>
  <c r="J79" i="52"/>
  <c r="I79" i="52"/>
  <c r="H79" i="52"/>
  <c r="G79" i="52"/>
  <c r="F79" i="52"/>
  <c r="E79" i="52"/>
  <c r="D79" i="52"/>
  <c r="B79" i="52"/>
  <c r="O78" i="52"/>
  <c r="N78" i="52"/>
  <c r="M78" i="52"/>
  <c r="L78" i="52"/>
  <c r="K78" i="52"/>
  <c r="J78" i="52"/>
  <c r="I78" i="52"/>
  <c r="H78" i="52"/>
  <c r="G78" i="52"/>
  <c r="F78" i="52"/>
  <c r="P78" i="52" s="1"/>
  <c r="E78" i="52"/>
  <c r="D78" i="52"/>
  <c r="B78" i="52"/>
  <c r="O77" i="52"/>
  <c r="N77" i="52"/>
  <c r="M77" i="52"/>
  <c r="L77" i="52"/>
  <c r="K77" i="52"/>
  <c r="J77" i="52"/>
  <c r="I77" i="52"/>
  <c r="H77" i="52"/>
  <c r="G77" i="52"/>
  <c r="F77" i="52"/>
  <c r="E77" i="52"/>
  <c r="D77" i="52"/>
  <c r="B77" i="52"/>
  <c r="O66" i="52"/>
  <c r="N66" i="52"/>
  <c r="M66" i="52"/>
  <c r="L66" i="52"/>
  <c r="K66" i="52"/>
  <c r="J66" i="52"/>
  <c r="I66" i="52"/>
  <c r="H66" i="52"/>
  <c r="G66" i="52"/>
  <c r="F66" i="52"/>
  <c r="E66" i="52"/>
  <c r="B66" i="52"/>
  <c r="O65" i="52"/>
  <c r="N65" i="52"/>
  <c r="M65" i="52"/>
  <c r="L65" i="52"/>
  <c r="K65" i="52"/>
  <c r="J65" i="52"/>
  <c r="I65" i="52"/>
  <c r="H65" i="52"/>
  <c r="G65" i="52"/>
  <c r="F65" i="52"/>
  <c r="E65" i="52"/>
  <c r="B65" i="52"/>
  <c r="O64" i="52"/>
  <c r="N64" i="52"/>
  <c r="M64" i="52"/>
  <c r="L64" i="52"/>
  <c r="K64" i="52"/>
  <c r="J64" i="52"/>
  <c r="I64" i="52"/>
  <c r="H64" i="52"/>
  <c r="G64" i="52"/>
  <c r="F64" i="52"/>
  <c r="E64" i="52"/>
  <c r="B64" i="52"/>
  <c r="O63" i="52"/>
  <c r="N63" i="52"/>
  <c r="M63" i="52"/>
  <c r="L63" i="52"/>
  <c r="K63" i="52"/>
  <c r="J63" i="52"/>
  <c r="I63" i="52"/>
  <c r="H63" i="52"/>
  <c r="G63" i="52"/>
  <c r="F63" i="52"/>
  <c r="E63" i="52"/>
  <c r="B63" i="52"/>
  <c r="O62" i="52"/>
  <c r="N62" i="52"/>
  <c r="M62" i="52"/>
  <c r="L62" i="52"/>
  <c r="K62" i="52"/>
  <c r="J62" i="52"/>
  <c r="I62" i="52"/>
  <c r="H62" i="52"/>
  <c r="P62" i="52" s="1"/>
  <c r="G62" i="52"/>
  <c r="F62" i="52"/>
  <c r="E62" i="52"/>
  <c r="B62" i="52"/>
  <c r="O61" i="52"/>
  <c r="N61" i="52"/>
  <c r="M61" i="52"/>
  <c r="L61" i="52"/>
  <c r="K61" i="52"/>
  <c r="J61" i="52"/>
  <c r="I61" i="52"/>
  <c r="H61" i="52"/>
  <c r="G61" i="52"/>
  <c r="F61" i="52"/>
  <c r="E61" i="52"/>
  <c r="B61" i="52"/>
  <c r="O60" i="52"/>
  <c r="N60" i="52"/>
  <c r="M60" i="52"/>
  <c r="L60" i="52"/>
  <c r="K60" i="52"/>
  <c r="J60" i="52"/>
  <c r="I60" i="52"/>
  <c r="H60" i="52"/>
  <c r="G60" i="52"/>
  <c r="F60" i="52"/>
  <c r="E60" i="52"/>
  <c r="B60" i="52"/>
  <c r="O49" i="52"/>
  <c r="N49" i="52"/>
  <c r="M49" i="52"/>
  <c r="L49" i="52"/>
  <c r="K49" i="52"/>
  <c r="J49" i="52"/>
  <c r="I49" i="52"/>
  <c r="H49" i="52"/>
  <c r="G49" i="52"/>
  <c r="F49" i="52"/>
  <c r="E49" i="52"/>
  <c r="B49" i="52"/>
  <c r="O48" i="52"/>
  <c r="N48" i="52"/>
  <c r="M48" i="52"/>
  <c r="L48" i="52"/>
  <c r="K48" i="52"/>
  <c r="J48" i="52"/>
  <c r="I48" i="52"/>
  <c r="H48" i="52"/>
  <c r="P48" i="52" s="1"/>
  <c r="G48" i="52"/>
  <c r="F48" i="52"/>
  <c r="E48" i="52"/>
  <c r="B48" i="52"/>
  <c r="O47" i="52"/>
  <c r="N47" i="52"/>
  <c r="M47" i="52"/>
  <c r="L47" i="52"/>
  <c r="K47" i="52"/>
  <c r="J47" i="52"/>
  <c r="P47" i="52" s="1"/>
  <c r="I47" i="52"/>
  <c r="H47" i="52"/>
  <c r="G47" i="52"/>
  <c r="F47" i="52"/>
  <c r="E47" i="52"/>
  <c r="B47" i="52"/>
  <c r="O46" i="52"/>
  <c r="N46" i="52"/>
  <c r="M46" i="52"/>
  <c r="L46" i="52"/>
  <c r="K46" i="52"/>
  <c r="J46" i="52"/>
  <c r="I46" i="52"/>
  <c r="H46" i="52"/>
  <c r="G46" i="52"/>
  <c r="F46" i="52"/>
  <c r="E46" i="52"/>
  <c r="B46" i="52"/>
  <c r="O45" i="52"/>
  <c r="N45" i="52"/>
  <c r="M45" i="52"/>
  <c r="L45" i="52"/>
  <c r="K45" i="52"/>
  <c r="J45" i="52"/>
  <c r="I45" i="52"/>
  <c r="H45" i="52"/>
  <c r="G45" i="52"/>
  <c r="F45" i="52"/>
  <c r="E45" i="52"/>
  <c r="B45" i="52"/>
  <c r="O44" i="52"/>
  <c r="N44" i="52"/>
  <c r="M44" i="52"/>
  <c r="L44" i="52"/>
  <c r="K44" i="52"/>
  <c r="J44" i="52"/>
  <c r="I44" i="52"/>
  <c r="H44" i="52"/>
  <c r="G44" i="52"/>
  <c r="F44" i="52"/>
  <c r="E44" i="52"/>
  <c r="B44" i="52"/>
  <c r="O43" i="52"/>
  <c r="N43" i="52"/>
  <c r="M43" i="52"/>
  <c r="L43" i="52"/>
  <c r="K43" i="52"/>
  <c r="J43" i="52"/>
  <c r="I43" i="52"/>
  <c r="H43" i="52"/>
  <c r="G43" i="52"/>
  <c r="F43" i="52"/>
  <c r="E43" i="52"/>
  <c r="B43" i="52"/>
  <c r="O32" i="52"/>
  <c r="N32" i="52"/>
  <c r="M32" i="52"/>
  <c r="L32" i="52"/>
  <c r="K32" i="52"/>
  <c r="J32" i="52"/>
  <c r="I32" i="52"/>
  <c r="H32" i="52"/>
  <c r="G32" i="52"/>
  <c r="F32" i="52"/>
  <c r="E32" i="52"/>
  <c r="B32" i="52"/>
  <c r="O31" i="52"/>
  <c r="N31" i="52"/>
  <c r="M31" i="52"/>
  <c r="L31" i="52"/>
  <c r="K31" i="52"/>
  <c r="J31" i="52"/>
  <c r="I31" i="52"/>
  <c r="H31" i="52"/>
  <c r="G31" i="52"/>
  <c r="F31" i="52"/>
  <c r="E31" i="52"/>
  <c r="B31" i="52"/>
  <c r="O30" i="52"/>
  <c r="N30" i="52"/>
  <c r="M30" i="52"/>
  <c r="L30" i="52"/>
  <c r="K30" i="52"/>
  <c r="J30" i="52"/>
  <c r="I30" i="52"/>
  <c r="H30" i="52"/>
  <c r="G30" i="52"/>
  <c r="F30" i="52"/>
  <c r="E30" i="52"/>
  <c r="B30" i="52"/>
  <c r="O29" i="52"/>
  <c r="N29" i="52"/>
  <c r="M29" i="52"/>
  <c r="L29" i="52"/>
  <c r="K29" i="52"/>
  <c r="J29" i="52"/>
  <c r="I29" i="52"/>
  <c r="H29" i="52"/>
  <c r="G29" i="52"/>
  <c r="F29" i="52"/>
  <c r="E29" i="52"/>
  <c r="B29" i="52"/>
  <c r="O28" i="52"/>
  <c r="N28" i="52"/>
  <c r="M28" i="52"/>
  <c r="L28" i="52"/>
  <c r="K28" i="52"/>
  <c r="J28" i="52"/>
  <c r="I28" i="52"/>
  <c r="H28" i="52"/>
  <c r="G28" i="52"/>
  <c r="F28" i="52"/>
  <c r="E28" i="52"/>
  <c r="B28" i="52"/>
  <c r="O27" i="52"/>
  <c r="N27" i="52"/>
  <c r="M27" i="52"/>
  <c r="L27" i="52"/>
  <c r="K27" i="52"/>
  <c r="J27" i="52"/>
  <c r="I27" i="52"/>
  <c r="H27" i="52"/>
  <c r="G27" i="52"/>
  <c r="F27" i="52"/>
  <c r="E27" i="52"/>
  <c r="B27" i="52"/>
  <c r="O26" i="52"/>
  <c r="N26" i="52"/>
  <c r="M26" i="52"/>
  <c r="L26" i="52"/>
  <c r="K26" i="52"/>
  <c r="J26" i="52"/>
  <c r="I26" i="52"/>
  <c r="H26" i="52"/>
  <c r="G26" i="52"/>
  <c r="F26" i="52"/>
  <c r="E26" i="52"/>
  <c r="B26" i="52"/>
  <c r="O22" i="52"/>
  <c r="N22" i="52"/>
  <c r="M22" i="52"/>
  <c r="L22" i="52"/>
  <c r="K22" i="52"/>
  <c r="J22" i="52"/>
  <c r="I22" i="52"/>
  <c r="H22" i="52"/>
  <c r="G22" i="52"/>
  <c r="F22" i="52"/>
  <c r="E22" i="52"/>
  <c r="B22" i="52"/>
  <c r="O21" i="52"/>
  <c r="N21" i="52"/>
  <c r="M21" i="52"/>
  <c r="L21" i="52"/>
  <c r="K21" i="52"/>
  <c r="J21" i="52"/>
  <c r="I21" i="52"/>
  <c r="H21" i="52"/>
  <c r="G21" i="52"/>
  <c r="F21" i="52"/>
  <c r="E21" i="52"/>
  <c r="B21" i="52"/>
  <c r="O20" i="52"/>
  <c r="N20" i="52"/>
  <c r="M20" i="52"/>
  <c r="L20" i="52"/>
  <c r="K20" i="52"/>
  <c r="J20" i="52"/>
  <c r="I20" i="52"/>
  <c r="H20" i="52"/>
  <c r="G20" i="52"/>
  <c r="F20" i="52"/>
  <c r="E20" i="52"/>
  <c r="O19" i="52"/>
  <c r="N19" i="52"/>
  <c r="M19" i="52"/>
  <c r="L19" i="52"/>
  <c r="K19" i="52"/>
  <c r="J19" i="52"/>
  <c r="I19" i="52"/>
  <c r="H19" i="52"/>
  <c r="G19" i="52"/>
  <c r="F19" i="52"/>
  <c r="E19" i="52"/>
  <c r="O18" i="52"/>
  <c r="N18" i="52"/>
  <c r="M18" i="52"/>
  <c r="L18" i="52"/>
  <c r="K18" i="52"/>
  <c r="J18" i="52"/>
  <c r="I18" i="52"/>
  <c r="H18" i="52"/>
  <c r="G18" i="52"/>
  <c r="F18" i="52"/>
  <c r="E18" i="52"/>
  <c r="O17" i="52"/>
  <c r="N17" i="52"/>
  <c r="M17" i="52"/>
  <c r="L17" i="52"/>
  <c r="K17" i="52"/>
  <c r="J17" i="52"/>
  <c r="I17" i="52"/>
  <c r="H17" i="52"/>
  <c r="G17" i="52"/>
  <c r="F17" i="52"/>
  <c r="O13" i="52"/>
  <c r="N13" i="52"/>
  <c r="M13" i="52"/>
  <c r="L13" i="52"/>
  <c r="K13" i="52"/>
  <c r="J13" i="52"/>
  <c r="I13" i="52"/>
  <c r="H13" i="52"/>
  <c r="G13" i="52"/>
  <c r="P13" i="52" s="1"/>
  <c r="F13" i="52"/>
  <c r="E13" i="52"/>
  <c r="D13" i="52"/>
  <c r="B13" i="52"/>
  <c r="B9" i="52"/>
  <c r="O9" i="52"/>
  <c r="N9" i="52"/>
  <c r="M9" i="52"/>
  <c r="L9" i="52"/>
  <c r="K9" i="52"/>
  <c r="J9" i="52"/>
  <c r="I9" i="52"/>
  <c r="H9" i="52"/>
  <c r="G9" i="52"/>
  <c r="F9" i="52"/>
  <c r="E9" i="52"/>
  <c r="P9" i="52" s="1"/>
  <c r="D9" i="52"/>
  <c r="O8" i="52"/>
  <c r="N8" i="52"/>
  <c r="M8" i="52"/>
  <c r="L8" i="52"/>
  <c r="K8" i="52"/>
  <c r="J8" i="52"/>
  <c r="I8" i="52"/>
  <c r="H8" i="52"/>
  <c r="G8" i="52"/>
  <c r="F8" i="52"/>
  <c r="P8" i="52" s="1"/>
  <c r="E8" i="52"/>
  <c r="D8" i="52"/>
  <c r="B8" i="52"/>
  <c r="E17" i="52"/>
  <c r="O16" i="52"/>
  <c r="N16" i="52"/>
  <c r="M16" i="52"/>
  <c r="L16" i="52"/>
  <c r="K16" i="52"/>
  <c r="D14" i="52"/>
  <c r="D12" i="52"/>
  <c r="D11" i="52"/>
  <c r="D10" i="52"/>
  <c r="J16" i="52"/>
  <c r="I16" i="52"/>
  <c r="H16" i="52"/>
  <c r="G16" i="52"/>
  <c r="F16" i="52"/>
  <c r="E16" i="52"/>
  <c r="O14" i="52"/>
  <c r="N14" i="52"/>
  <c r="M14" i="52"/>
  <c r="L14" i="52"/>
  <c r="K14" i="52"/>
  <c r="J14" i="52"/>
  <c r="I14" i="52"/>
  <c r="H14" i="52"/>
  <c r="G14" i="52"/>
  <c r="F14" i="52"/>
  <c r="E14" i="52"/>
  <c r="O12" i="52"/>
  <c r="N12" i="52"/>
  <c r="M12" i="52"/>
  <c r="L12" i="52"/>
  <c r="K12" i="52"/>
  <c r="J12" i="52"/>
  <c r="I12" i="52"/>
  <c r="H12" i="52"/>
  <c r="G12" i="52"/>
  <c r="F12" i="52"/>
  <c r="E12" i="52"/>
  <c r="O11" i="52"/>
  <c r="N11" i="52"/>
  <c r="M11" i="52"/>
  <c r="L11" i="52"/>
  <c r="K11" i="52"/>
  <c r="J11" i="52"/>
  <c r="I11" i="52"/>
  <c r="H11" i="52"/>
  <c r="G11" i="52"/>
  <c r="F11" i="52"/>
  <c r="E11" i="52"/>
  <c r="O10" i="52"/>
  <c r="N10" i="52"/>
  <c r="M10" i="52"/>
  <c r="L10" i="52"/>
  <c r="K10" i="52"/>
  <c r="J10" i="52"/>
  <c r="I10" i="52"/>
  <c r="H10" i="52"/>
  <c r="G10" i="52"/>
  <c r="F10" i="52"/>
  <c r="E10" i="52"/>
  <c r="B20" i="52"/>
  <c r="B19" i="52"/>
  <c r="B18" i="52"/>
  <c r="B17" i="52"/>
  <c r="B16" i="52"/>
  <c r="B14" i="52"/>
  <c r="B12" i="52"/>
  <c r="B11" i="52"/>
  <c r="B10" i="52"/>
  <c r="P91" i="52"/>
  <c r="P133" i="52"/>
  <c r="P26" i="52"/>
  <c r="H146" i="5"/>
  <c r="I146" i="5"/>
  <c r="J146" i="5"/>
  <c r="K146" i="5"/>
  <c r="L146" i="5"/>
  <c r="M146" i="5"/>
  <c r="H147" i="5"/>
  <c r="I147" i="5"/>
  <c r="J147" i="5"/>
  <c r="K147" i="5"/>
  <c r="L147" i="5"/>
  <c r="M147" i="5"/>
  <c r="H148" i="5"/>
  <c r="I148" i="5"/>
  <c r="J148" i="5"/>
  <c r="K148" i="5"/>
  <c r="L148" i="5"/>
  <c r="M148" i="5"/>
  <c r="H149" i="5"/>
  <c r="I149" i="5"/>
  <c r="J149" i="5"/>
  <c r="K149" i="5"/>
  <c r="L149" i="5"/>
  <c r="M149" i="5"/>
  <c r="H150" i="5"/>
  <c r="I150" i="5"/>
  <c r="J150" i="5"/>
  <c r="K150" i="5"/>
  <c r="L150" i="5"/>
  <c r="M150" i="5"/>
  <c r="H151" i="5"/>
  <c r="I151" i="5"/>
  <c r="J151" i="5"/>
  <c r="K151" i="5"/>
  <c r="L151" i="5"/>
  <c r="M151" i="5"/>
  <c r="H152" i="5"/>
  <c r="I152" i="5"/>
  <c r="J152" i="5"/>
  <c r="K152" i="5"/>
  <c r="L152" i="5"/>
  <c r="M152" i="5"/>
  <c r="H153" i="5"/>
  <c r="I153" i="5"/>
  <c r="J153" i="5"/>
  <c r="K153" i="5"/>
  <c r="L153" i="5"/>
  <c r="M153" i="5"/>
  <c r="G126" i="5"/>
  <c r="G125" i="5"/>
  <c r="G124" i="5"/>
  <c r="G123" i="5"/>
  <c r="G122" i="5"/>
  <c r="G121" i="5"/>
  <c r="G120" i="5"/>
  <c r="G118" i="5"/>
  <c r="G117" i="5"/>
  <c r="G112" i="5"/>
  <c r="G111" i="5"/>
  <c r="G110" i="5"/>
  <c r="G109" i="5"/>
  <c r="G108" i="5"/>
  <c r="G107" i="5"/>
  <c r="G106" i="5"/>
  <c r="G104" i="5"/>
  <c r="G103" i="5"/>
  <c r="G98" i="5"/>
  <c r="G97" i="5"/>
  <c r="G96" i="5"/>
  <c r="G95" i="5"/>
  <c r="G94" i="5"/>
  <c r="G93" i="5"/>
  <c r="G92" i="5"/>
  <c r="G90" i="5"/>
  <c r="G89" i="5"/>
  <c r="G84" i="5"/>
  <c r="G83" i="5"/>
  <c r="G82" i="5"/>
  <c r="G81" i="5"/>
  <c r="G80" i="5"/>
  <c r="G79" i="5"/>
  <c r="G78" i="5"/>
  <c r="G76" i="5"/>
  <c r="G75" i="5"/>
  <c r="G70" i="5"/>
  <c r="G69" i="5"/>
  <c r="G68" i="5"/>
  <c r="G67" i="5"/>
  <c r="G66" i="5"/>
  <c r="G65" i="5"/>
  <c r="G64" i="5"/>
  <c r="G62" i="5"/>
  <c r="G61" i="5"/>
  <c r="G56" i="5"/>
  <c r="G55" i="5"/>
  <c r="G54" i="5"/>
  <c r="G53" i="5"/>
  <c r="G49" i="5" s="1"/>
  <c r="G57" i="5" s="1"/>
  <c r="G148" i="5" s="1"/>
  <c r="G52" i="5"/>
  <c r="G51" i="5"/>
  <c r="G50" i="5"/>
  <c r="G48" i="5"/>
  <c r="G47" i="5"/>
  <c r="G42" i="5"/>
  <c r="G41" i="5"/>
  <c r="G40" i="5"/>
  <c r="G39" i="5"/>
  <c r="G38" i="5"/>
  <c r="G37" i="5"/>
  <c r="G36" i="5"/>
  <c r="G34" i="5"/>
  <c r="G33" i="5"/>
  <c r="G28" i="5"/>
  <c r="G27" i="5"/>
  <c r="G26" i="5"/>
  <c r="G25" i="5"/>
  <c r="G24" i="5"/>
  <c r="G23" i="5"/>
  <c r="G22" i="5"/>
  <c r="G21" i="5" s="1"/>
  <c r="G20" i="5"/>
  <c r="G19" i="5"/>
  <c r="G119" i="5"/>
  <c r="G35" i="5"/>
  <c r="G43" i="5" s="1"/>
  <c r="G147" i="5" s="1"/>
  <c r="G60" i="5"/>
  <c r="G74" i="5"/>
  <c r="G102" i="5"/>
  <c r="G32" i="5"/>
  <c r="G88" i="5"/>
  <c r="G63" i="5"/>
  <c r="G46" i="5"/>
  <c r="G77" i="5"/>
  <c r="G91" i="5"/>
  <c r="G105" i="5"/>
  <c r="G116" i="5"/>
  <c r="G45" i="49"/>
  <c r="G44" i="49"/>
  <c r="G43" i="49"/>
  <c r="G42" i="49"/>
  <c r="G41" i="49"/>
  <c r="G40" i="49"/>
  <c r="G38" i="49"/>
  <c r="G37" i="49"/>
  <c r="G127" i="5"/>
  <c r="G153" i="5"/>
  <c r="G85" i="5"/>
  <c r="G150" i="5" s="1"/>
  <c r="G113" i="5"/>
  <c r="G152" i="5"/>
  <c r="G71" i="5"/>
  <c r="G149" i="5" s="1"/>
  <c r="G99" i="5"/>
  <c r="G151" i="5" s="1"/>
  <c r="G36" i="49"/>
  <c r="G14" i="5"/>
  <c r="G13" i="5"/>
  <c r="G12" i="5"/>
  <c r="G11" i="5"/>
  <c r="G10" i="5"/>
  <c r="G9" i="5"/>
  <c r="G8" i="5"/>
  <c r="G7" i="5" s="1"/>
  <c r="G6" i="5"/>
  <c r="G5" i="5"/>
  <c r="G4" i="5" s="1"/>
  <c r="F45" i="49"/>
  <c r="F44" i="49"/>
  <c r="F43" i="49"/>
  <c r="F42" i="49"/>
  <c r="F41" i="49"/>
  <c r="F40" i="49"/>
  <c r="F38" i="49"/>
  <c r="F37" i="49"/>
  <c r="F126" i="5"/>
  <c r="F125" i="5"/>
  <c r="F124" i="5"/>
  <c r="F123" i="5"/>
  <c r="F122" i="5"/>
  <c r="F121" i="5"/>
  <c r="F120" i="5"/>
  <c r="F118" i="5"/>
  <c r="F117" i="5"/>
  <c r="F112" i="5"/>
  <c r="F111" i="5"/>
  <c r="F110" i="5"/>
  <c r="F109" i="5"/>
  <c r="F108" i="5"/>
  <c r="F107" i="5"/>
  <c r="F106" i="5"/>
  <c r="F104" i="5"/>
  <c r="F103" i="5"/>
  <c r="F98" i="5"/>
  <c r="F97" i="5"/>
  <c r="F96" i="5"/>
  <c r="F95" i="5"/>
  <c r="F94" i="5"/>
  <c r="F93" i="5"/>
  <c r="F92" i="5"/>
  <c r="F90" i="5"/>
  <c r="F89" i="5"/>
  <c r="F84" i="5"/>
  <c r="F83" i="5"/>
  <c r="F82" i="5"/>
  <c r="F81" i="5"/>
  <c r="F80" i="5"/>
  <c r="F79" i="5"/>
  <c r="F78" i="5"/>
  <c r="F76" i="5"/>
  <c r="F75" i="5"/>
  <c r="F70" i="5"/>
  <c r="F69" i="5"/>
  <c r="F68" i="5"/>
  <c r="F67" i="5"/>
  <c r="F66" i="5"/>
  <c r="F65" i="5"/>
  <c r="F64" i="5"/>
  <c r="F62" i="5"/>
  <c r="F61" i="5"/>
  <c r="F56" i="5"/>
  <c r="F55" i="5"/>
  <c r="F54" i="5"/>
  <c r="F53" i="5"/>
  <c r="F52" i="5"/>
  <c r="F51" i="5"/>
  <c r="F50" i="5"/>
  <c r="F48" i="5"/>
  <c r="F46" i="5" s="1"/>
  <c r="F47" i="5"/>
  <c r="F42" i="5"/>
  <c r="F41" i="5"/>
  <c r="F40" i="5"/>
  <c r="F39" i="5"/>
  <c r="F38" i="5"/>
  <c r="F37" i="5"/>
  <c r="F36" i="5"/>
  <c r="F35" i="5" s="1"/>
  <c r="F34" i="5"/>
  <c r="F33" i="5"/>
  <c r="F28" i="5"/>
  <c r="F27" i="5"/>
  <c r="F26" i="5"/>
  <c r="F25" i="5"/>
  <c r="F24" i="5"/>
  <c r="F23" i="5"/>
  <c r="F21" i="5" s="1"/>
  <c r="F22" i="5"/>
  <c r="F20" i="5"/>
  <c r="F19" i="5"/>
  <c r="F14" i="5"/>
  <c r="F13" i="5"/>
  <c r="F12" i="5"/>
  <c r="F11" i="5"/>
  <c r="F10" i="5"/>
  <c r="F9" i="5"/>
  <c r="F8" i="5"/>
  <c r="F6" i="5"/>
  <c r="F5" i="5"/>
  <c r="F4" i="5" s="1"/>
  <c r="F116" i="5"/>
  <c r="F60" i="5"/>
  <c r="F71" i="5" s="1"/>
  <c r="F149" i="5" s="1"/>
  <c r="F32" i="5"/>
  <c r="F43" i="5" s="1"/>
  <c r="F147" i="5" s="1"/>
  <c r="F91" i="5"/>
  <c r="F18" i="5"/>
  <c r="F74" i="5"/>
  <c r="F36" i="49"/>
  <c r="F63" i="5"/>
  <c r="F88" i="5"/>
  <c r="F119" i="5"/>
  <c r="F77" i="5"/>
  <c r="F102" i="5"/>
  <c r="F49" i="5"/>
  <c r="F105" i="5"/>
  <c r="F113" i="5" s="1"/>
  <c r="F152" i="5" s="1"/>
  <c r="F39" i="49"/>
  <c r="F99" i="5"/>
  <c r="F151" i="5" s="1"/>
  <c r="F46" i="49"/>
  <c r="H15" i="48"/>
  <c r="L114" i="49"/>
  <c r="K114" i="49"/>
  <c r="J114" i="49"/>
  <c r="I114" i="49"/>
  <c r="H114" i="49"/>
  <c r="G114" i="49"/>
  <c r="F114" i="49"/>
  <c r="E114" i="49"/>
  <c r="D114" i="49"/>
  <c r="C114" i="49"/>
  <c r="B114" i="49"/>
  <c r="N114" i="49" s="1"/>
  <c r="A6" i="49"/>
  <c r="A5" i="49"/>
  <c r="P35" i="49"/>
  <c r="P36" i="49"/>
  <c r="E45" i="49"/>
  <c r="D45" i="49"/>
  <c r="C45" i="49"/>
  <c r="B45" i="49"/>
  <c r="E44" i="49"/>
  <c r="D44" i="49"/>
  <c r="C44" i="49"/>
  <c r="N44" i="49" s="1"/>
  <c r="Q37" i="49" s="1"/>
  <c r="B44" i="49"/>
  <c r="E43" i="49"/>
  <c r="D43" i="49"/>
  <c r="C43" i="49"/>
  <c r="B43" i="49"/>
  <c r="E42" i="49"/>
  <c r="D42" i="49"/>
  <c r="C42" i="49"/>
  <c r="B42" i="49"/>
  <c r="N42" i="49" s="1"/>
  <c r="Q45" i="49" s="1"/>
  <c r="E41" i="49"/>
  <c r="D41" i="49"/>
  <c r="C41" i="49"/>
  <c r="B41" i="49"/>
  <c r="E40" i="49"/>
  <c r="D40" i="49"/>
  <c r="C40" i="49"/>
  <c r="C39" i="49" s="1"/>
  <c r="B40" i="49"/>
  <c r="E38" i="49"/>
  <c r="D38" i="49"/>
  <c r="C38" i="49"/>
  <c r="N38" i="49" s="1"/>
  <c r="Q41" i="49" s="1"/>
  <c r="B38" i="49"/>
  <c r="E37" i="49"/>
  <c r="D37" i="49"/>
  <c r="D36" i="49" s="1"/>
  <c r="D46" i="49" s="1"/>
  <c r="C37" i="49"/>
  <c r="C36" i="49" s="1"/>
  <c r="B37" i="49"/>
  <c r="N14" i="49"/>
  <c r="M14" i="49"/>
  <c r="L14" i="49"/>
  <c r="K14" i="49"/>
  <c r="J14" i="49"/>
  <c r="I14" i="49"/>
  <c r="H14" i="49"/>
  <c r="G14" i="49"/>
  <c r="F14" i="49"/>
  <c r="E14" i="49"/>
  <c r="D14" i="49"/>
  <c r="C14" i="49"/>
  <c r="N13" i="49"/>
  <c r="M13" i="49"/>
  <c r="L13" i="49"/>
  <c r="K13" i="49"/>
  <c r="J13" i="49"/>
  <c r="I13" i="49"/>
  <c r="H13" i="49"/>
  <c r="G13" i="49"/>
  <c r="F13" i="49"/>
  <c r="E13" i="49"/>
  <c r="D13" i="49"/>
  <c r="O13" i="49" s="1"/>
  <c r="C13" i="49"/>
  <c r="N12" i="49"/>
  <c r="M12" i="49"/>
  <c r="L12" i="49"/>
  <c r="K12" i="49"/>
  <c r="J12" i="49"/>
  <c r="I12" i="49"/>
  <c r="H12" i="49"/>
  <c r="G12" i="49"/>
  <c r="F12" i="49"/>
  <c r="E12" i="49"/>
  <c r="D12" i="49"/>
  <c r="C12" i="49"/>
  <c r="N11" i="49"/>
  <c r="M11" i="49"/>
  <c r="L11" i="49"/>
  <c r="K11" i="49"/>
  <c r="J11" i="49"/>
  <c r="I11" i="49"/>
  <c r="O11" i="49" s="1"/>
  <c r="P11" i="49" s="1"/>
  <c r="H11" i="49"/>
  <c r="G11" i="49"/>
  <c r="F11" i="49"/>
  <c r="E11" i="49"/>
  <c r="D11" i="49"/>
  <c r="C11" i="49"/>
  <c r="N10" i="49"/>
  <c r="M10" i="49"/>
  <c r="L10" i="49"/>
  <c r="K10" i="49"/>
  <c r="J10" i="49"/>
  <c r="I10" i="49"/>
  <c r="H10" i="49"/>
  <c r="G10" i="49"/>
  <c r="F10" i="49"/>
  <c r="E10" i="49"/>
  <c r="D10" i="49"/>
  <c r="C10" i="49"/>
  <c r="N9" i="49"/>
  <c r="M9" i="49"/>
  <c r="L9" i="49"/>
  <c r="K9" i="49"/>
  <c r="J9" i="49"/>
  <c r="I9" i="49"/>
  <c r="H9" i="49"/>
  <c r="G9" i="49"/>
  <c r="F9" i="49"/>
  <c r="E9" i="49"/>
  <c r="D9" i="49"/>
  <c r="O9" i="49" s="1"/>
  <c r="P9" i="49" s="1"/>
  <c r="C9" i="49"/>
  <c r="N8" i="49"/>
  <c r="M8" i="49"/>
  <c r="L8" i="49"/>
  <c r="K8" i="49"/>
  <c r="J8" i="49"/>
  <c r="I8" i="49"/>
  <c r="H8" i="49"/>
  <c r="G8" i="49"/>
  <c r="F8" i="49"/>
  <c r="E8" i="49"/>
  <c r="D8" i="49"/>
  <c r="C8" i="49"/>
  <c r="N7" i="49"/>
  <c r="M7" i="49"/>
  <c r="L7" i="49"/>
  <c r="K7" i="49"/>
  <c r="J7" i="49"/>
  <c r="I7" i="49"/>
  <c r="H7" i="49"/>
  <c r="G7" i="49"/>
  <c r="F7" i="49"/>
  <c r="E7" i="49"/>
  <c r="D7" i="49"/>
  <c r="C7" i="49"/>
  <c r="O7" i="49" s="1"/>
  <c r="N6" i="49"/>
  <c r="M6" i="49"/>
  <c r="L6" i="49"/>
  <c r="K6" i="49"/>
  <c r="J6" i="49"/>
  <c r="I6" i="49"/>
  <c r="H6" i="49"/>
  <c r="G6" i="49"/>
  <c r="F6" i="49"/>
  <c r="E6" i="49"/>
  <c r="D6" i="49"/>
  <c r="O6" i="49" s="1"/>
  <c r="P6" i="49" s="1"/>
  <c r="C6" i="49"/>
  <c r="N5" i="49"/>
  <c r="M5" i="49"/>
  <c r="L5" i="49"/>
  <c r="K5" i="49"/>
  <c r="J5" i="49"/>
  <c r="I5" i="49"/>
  <c r="H5" i="49"/>
  <c r="G5" i="49"/>
  <c r="F5" i="49"/>
  <c r="E5" i="49"/>
  <c r="D5" i="49"/>
  <c r="C5" i="49"/>
  <c r="N4" i="49"/>
  <c r="M4" i="49"/>
  <c r="L4" i="49"/>
  <c r="K4" i="49"/>
  <c r="J4" i="49"/>
  <c r="I4" i="49"/>
  <c r="H4" i="49"/>
  <c r="G4" i="49"/>
  <c r="F4" i="49"/>
  <c r="E4" i="49"/>
  <c r="O4" i="49" s="1"/>
  <c r="P4" i="49" s="1"/>
  <c r="D4" i="49"/>
  <c r="C4" i="49"/>
  <c r="E36" i="49"/>
  <c r="B39" i="49"/>
  <c r="D39" i="49"/>
  <c r="E39" i="49"/>
  <c r="N41" i="49"/>
  <c r="Q44" i="49" s="1"/>
  <c r="N43" i="49"/>
  <c r="Q46" i="49" s="1"/>
  <c r="N45" i="49"/>
  <c r="Q38" i="49"/>
  <c r="AL15" i="48"/>
  <c r="AL14" i="48"/>
  <c r="AJ14" i="48"/>
  <c r="AK14" i="48" s="1"/>
  <c r="AL13" i="48"/>
  <c r="AJ13" i="48"/>
  <c r="AK13" i="48"/>
  <c r="M32" i="48" s="1"/>
  <c r="AL12" i="48"/>
  <c r="AJ12" i="48"/>
  <c r="AK12" i="48" s="1"/>
  <c r="AL11" i="48"/>
  <c r="AJ11" i="48"/>
  <c r="AK11" i="48"/>
  <c r="M30" i="48" s="1"/>
  <c r="AL10" i="48"/>
  <c r="AJ10" i="48"/>
  <c r="AK10" i="48" s="1"/>
  <c r="AL9" i="48"/>
  <c r="AJ9" i="48"/>
  <c r="AK9" i="48" s="1"/>
  <c r="AL8" i="48"/>
  <c r="AJ8" i="48"/>
  <c r="AK8" i="48" s="1"/>
  <c r="AL7" i="48"/>
  <c r="AJ7" i="48"/>
  <c r="AK7" i="48" s="1"/>
  <c r="M185" i="48"/>
  <c r="B46" i="36"/>
  <c r="B45" i="36"/>
  <c r="B44" i="36"/>
  <c r="B43" i="36"/>
  <c r="B42" i="36"/>
  <c r="B41" i="36"/>
  <c r="B40" i="36"/>
  <c r="B24" i="36"/>
  <c r="B31" i="36"/>
  <c r="B30" i="36"/>
  <c r="M2" i="3"/>
  <c r="L2" i="3"/>
  <c r="K2" i="3"/>
  <c r="J2" i="3"/>
  <c r="I2" i="3"/>
  <c r="H2" i="3"/>
  <c r="G2" i="3"/>
  <c r="E126" i="5"/>
  <c r="E125" i="5"/>
  <c r="E124" i="5"/>
  <c r="E123" i="5"/>
  <c r="E122" i="5"/>
  <c r="E119" i="5" s="1"/>
  <c r="E121" i="5"/>
  <c r="E120" i="5"/>
  <c r="E118" i="5"/>
  <c r="E117" i="5"/>
  <c r="E112" i="5"/>
  <c r="E111" i="5"/>
  <c r="E110" i="5"/>
  <c r="E109" i="5"/>
  <c r="E105" i="5" s="1"/>
  <c r="E108" i="5"/>
  <c r="E107" i="5"/>
  <c r="E106" i="5"/>
  <c r="E104" i="5"/>
  <c r="E103" i="5"/>
  <c r="E98" i="5"/>
  <c r="E97" i="5"/>
  <c r="E96" i="5"/>
  <c r="E99" i="5" s="1"/>
  <c r="E151" i="5" s="1"/>
  <c r="E95" i="5"/>
  <c r="E94" i="5"/>
  <c r="E93" i="5"/>
  <c r="E92" i="5"/>
  <c r="E90" i="5"/>
  <c r="E89" i="5"/>
  <c r="E84" i="5"/>
  <c r="E83" i="5"/>
  <c r="E82" i="5"/>
  <c r="E81" i="5"/>
  <c r="E80" i="5"/>
  <c r="E79" i="5"/>
  <c r="E78" i="5"/>
  <c r="E76" i="5"/>
  <c r="E75" i="5"/>
  <c r="E70" i="5"/>
  <c r="E69" i="5"/>
  <c r="E68" i="5"/>
  <c r="E67" i="5"/>
  <c r="E66" i="5"/>
  <c r="E65" i="5"/>
  <c r="E64" i="5"/>
  <c r="E62" i="5"/>
  <c r="E61" i="5"/>
  <c r="E56" i="5"/>
  <c r="E55" i="5"/>
  <c r="E54" i="5"/>
  <c r="E53" i="5"/>
  <c r="E52" i="5"/>
  <c r="E51" i="5"/>
  <c r="E50" i="5"/>
  <c r="E48" i="5"/>
  <c r="E46" i="5" s="1"/>
  <c r="E57" i="5" s="1"/>
  <c r="E148" i="5" s="1"/>
  <c r="E47" i="5"/>
  <c r="E42" i="5"/>
  <c r="E41" i="5"/>
  <c r="E40" i="5"/>
  <c r="E39" i="5"/>
  <c r="E38" i="5"/>
  <c r="E37" i="5"/>
  <c r="E36" i="5"/>
  <c r="E35" i="5" s="1"/>
  <c r="E43" i="5" s="1"/>
  <c r="E147" i="5" s="1"/>
  <c r="E34" i="5"/>
  <c r="E32" i="5" s="1"/>
  <c r="E33" i="5"/>
  <c r="E28" i="5"/>
  <c r="E27" i="5"/>
  <c r="E26" i="5"/>
  <c r="E25" i="5"/>
  <c r="E24" i="5"/>
  <c r="E23" i="5"/>
  <c r="E22" i="5"/>
  <c r="E21" i="5" s="1"/>
  <c r="E20" i="5"/>
  <c r="E19" i="5"/>
  <c r="E14" i="5"/>
  <c r="B44" i="37" s="1"/>
  <c r="E13" i="5"/>
  <c r="B45" i="37" s="1"/>
  <c r="E12" i="5"/>
  <c r="B43" i="37" s="1"/>
  <c r="E11" i="5"/>
  <c r="B42" i="37" s="1"/>
  <c r="E10" i="5"/>
  <c r="B41" i="37" s="1"/>
  <c r="E9" i="5"/>
  <c r="B40" i="37" s="1"/>
  <c r="E8" i="5"/>
  <c r="E6" i="5"/>
  <c r="B37" i="37" s="1"/>
  <c r="E5" i="5"/>
  <c r="B36" i="37" s="1"/>
  <c r="D22" i="47"/>
  <c r="C22" i="47"/>
  <c r="B22" i="47"/>
  <c r="A15" i="47"/>
  <c r="B13" i="47"/>
  <c r="D12" i="47"/>
  <c r="C12" i="47"/>
  <c r="B12" i="47"/>
  <c r="A7" i="47"/>
  <c r="D6" i="47"/>
  <c r="B6" i="47"/>
  <c r="D4" i="47"/>
  <c r="B4" i="47"/>
  <c r="D3" i="47"/>
  <c r="B3" i="47"/>
  <c r="E74" i="5"/>
  <c r="E102" i="5"/>
  <c r="E18" i="5"/>
  <c r="E60" i="5"/>
  <c r="E63" i="5"/>
  <c r="E88" i="5"/>
  <c r="E77" i="5"/>
  <c r="E85" i="5" s="1"/>
  <c r="E150" i="5" s="1"/>
  <c r="E116" i="5"/>
  <c r="E49" i="5"/>
  <c r="E91" i="5"/>
  <c r="D126" i="5"/>
  <c r="D125" i="5"/>
  <c r="D124" i="5"/>
  <c r="D123" i="5"/>
  <c r="D122" i="5"/>
  <c r="D121" i="5"/>
  <c r="D120" i="5"/>
  <c r="D119" i="5" s="1"/>
  <c r="D127" i="5" s="1"/>
  <c r="D153" i="5" s="1"/>
  <c r="D118" i="5"/>
  <c r="D117" i="5"/>
  <c r="D112" i="5"/>
  <c r="D111" i="5"/>
  <c r="D110" i="5"/>
  <c r="D109" i="5"/>
  <c r="D108" i="5"/>
  <c r="D107" i="5"/>
  <c r="D106" i="5"/>
  <c r="D104" i="5"/>
  <c r="D103" i="5"/>
  <c r="D102" i="5" s="1"/>
  <c r="D113" i="5" s="1"/>
  <c r="D152" i="5" s="1"/>
  <c r="D98" i="5"/>
  <c r="D97" i="5"/>
  <c r="D96" i="5"/>
  <c r="D95" i="5"/>
  <c r="D94" i="5"/>
  <c r="D93" i="5"/>
  <c r="D92" i="5"/>
  <c r="D90" i="5"/>
  <c r="D88" i="5" s="1"/>
  <c r="D99" i="5" s="1"/>
  <c r="D151" i="5" s="1"/>
  <c r="D89" i="5"/>
  <c r="D84" i="5"/>
  <c r="D83" i="5"/>
  <c r="D82" i="5"/>
  <c r="D81" i="5"/>
  <c r="D80" i="5"/>
  <c r="D79" i="5"/>
  <c r="D78" i="5"/>
  <c r="D76" i="5"/>
  <c r="D75" i="5"/>
  <c r="D70" i="5"/>
  <c r="D69" i="5"/>
  <c r="D68" i="5"/>
  <c r="D67" i="5"/>
  <c r="D66" i="5"/>
  <c r="D65" i="5"/>
  <c r="D64" i="5"/>
  <c r="D62" i="5"/>
  <c r="D61" i="5"/>
  <c r="D56" i="5"/>
  <c r="D55" i="5"/>
  <c r="D54" i="5"/>
  <c r="D53" i="5"/>
  <c r="D52" i="5"/>
  <c r="D51" i="5"/>
  <c r="D50" i="5"/>
  <c r="D48" i="5"/>
  <c r="D47" i="5"/>
  <c r="D46" i="5" s="1"/>
  <c r="D42" i="5"/>
  <c r="D41" i="5"/>
  <c r="D40" i="5"/>
  <c r="D39" i="5"/>
  <c r="D38" i="5"/>
  <c r="D37" i="5"/>
  <c r="D36" i="5"/>
  <c r="D34" i="5"/>
  <c r="D33" i="5"/>
  <c r="D32" i="5" s="1"/>
  <c r="D28" i="5"/>
  <c r="D27" i="5"/>
  <c r="D26" i="5"/>
  <c r="D25" i="5"/>
  <c r="D24" i="5"/>
  <c r="D23" i="5"/>
  <c r="D22" i="5"/>
  <c r="D20" i="5"/>
  <c r="D19" i="5"/>
  <c r="D116" i="5"/>
  <c r="D60" i="5"/>
  <c r="D74" i="5"/>
  <c r="D105" i="5"/>
  <c r="D77" i="5"/>
  <c r="D85" i="5" s="1"/>
  <c r="D150" i="5" s="1"/>
  <c r="D91" i="5"/>
  <c r="D14" i="5"/>
  <c r="D13" i="5"/>
  <c r="D12" i="5"/>
  <c r="D11" i="5"/>
  <c r="D10" i="5"/>
  <c r="D9" i="5"/>
  <c r="D8" i="5"/>
  <c r="D6" i="5"/>
  <c r="D5" i="5"/>
  <c r="B29" i="36"/>
  <c r="B28" i="36"/>
  <c r="B27" i="36"/>
  <c r="B26" i="36"/>
  <c r="B25" i="36"/>
  <c r="B4" i="37"/>
  <c r="B366" i="46"/>
  <c r="B365" i="46"/>
  <c r="B364" i="46"/>
  <c r="B363" i="46"/>
  <c r="B362" i="46"/>
  <c r="B361" i="46"/>
  <c r="B360" i="46"/>
  <c r="B359" i="46"/>
  <c r="B356" i="46"/>
  <c r="B355" i="46"/>
  <c r="B354" i="46"/>
  <c r="B353" i="46"/>
  <c r="B352" i="46"/>
  <c r="B351" i="46"/>
  <c r="B350" i="46"/>
  <c r="B349" i="46"/>
  <c r="B348" i="46"/>
  <c r="B347" i="46"/>
  <c r="B346" i="46"/>
  <c r="B345" i="46"/>
  <c r="B344" i="46"/>
  <c r="B343" i="46"/>
  <c r="B342" i="46"/>
  <c r="B341" i="46"/>
  <c r="B340" i="46"/>
  <c r="B339" i="46"/>
  <c r="B338" i="46"/>
  <c r="B337" i="46"/>
  <c r="B336" i="46"/>
  <c r="B335" i="46"/>
  <c r="B334" i="46"/>
  <c r="B333" i="46"/>
  <c r="B326" i="46"/>
  <c r="B325" i="46"/>
  <c r="B324" i="46"/>
  <c r="B323" i="46"/>
  <c r="B322" i="46"/>
  <c r="B321" i="46"/>
  <c r="B320" i="46"/>
  <c r="B319" i="46"/>
  <c r="B316" i="46"/>
  <c r="B315" i="46"/>
  <c r="B314" i="46"/>
  <c r="B313" i="46"/>
  <c r="B312" i="46"/>
  <c r="B311" i="46"/>
  <c r="B310" i="46"/>
  <c r="B309" i="46"/>
  <c r="B308" i="46"/>
  <c r="B307" i="46"/>
  <c r="B306" i="46"/>
  <c r="B305" i="46"/>
  <c r="B304" i="46"/>
  <c r="B303" i="46"/>
  <c r="B302" i="46"/>
  <c r="B301" i="46"/>
  <c r="B300" i="46"/>
  <c r="B299" i="46"/>
  <c r="B298" i="46"/>
  <c r="B297" i="46"/>
  <c r="B296" i="46"/>
  <c r="B295" i="46"/>
  <c r="B294" i="46"/>
  <c r="B293" i="46"/>
  <c r="B86" i="46"/>
  <c r="B85" i="46"/>
  <c r="B84" i="46"/>
  <c r="B83" i="46"/>
  <c r="B82" i="46"/>
  <c r="B81" i="46"/>
  <c r="B80" i="46"/>
  <c r="B79" i="46"/>
  <c r="B76" i="46"/>
  <c r="B75" i="46"/>
  <c r="B74" i="46"/>
  <c r="B73" i="46"/>
  <c r="B72" i="46"/>
  <c r="B71" i="46"/>
  <c r="B70" i="46"/>
  <c r="B69" i="46"/>
  <c r="B68" i="46"/>
  <c r="B67" i="46"/>
  <c r="B66" i="46"/>
  <c r="B65" i="46"/>
  <c r="B64" i="46"/>
  <c r="B63" i="46"/>
  <c r="B62" i="46"/>
  <c r="B61" i="46"/>
  <c r="B60" i="46"/>
  <c r="B59" i="46"/>
  <c r="B58" i="46"/>
  <c r="B57" i="46"/>
  <c r="B56" i="46"/>
  <c r="B55" i="46"/>
  <c r="B54" i="46"/>
  <c r="B53" i="46"/>
  <c r="B286" i="46"/>
  <c r="B285" i="46"/>
  <c r="B284" i="46"/>
  <c r="B283" i="46"/>
  <c r="B282" i="46"/>
  <c r="B281" i="46"/>
  <c r="B280" i="46"/>
  <c r="B279" i="46"/>
  <c r="B276" i="46"/>
  <c r="B275" i="46"/>
  <c r="B274" i="46"/>
  <c r="B273" i="46"/>
  <c r="B272" i="46"/>
  <c r="B271" i="46"/>
  <c r="B270" i="46"/>
  <c r="B269" i="46"/>
  <c r="B268" i="46"/>
  <c r="B267" i="46"/>
  <c r="B266" i="46"/>
  <c r="B265" i="46"/>
  <c r="B264" i="46"/>
  <c r="B263" i="46"/>
  <c r="B262" i="46"/>
  <c r="B261" i="46"/>
  <c r="B260" i="46"/>
  <c r="B259" i="46"/>
  <c r="B258" i="46"/>
  <c r="B257" i="46"/>
  <c r="B256" i="46"/>
  <c r="B255" i="46"/>
  <c r="B254" i="46"/>
  <c r="B253" i="46"/>
  <c r="B246" i="46"/>
  <c r="B245" i="46"/>
  <c r="B244" i="46"/>
  <c r="B243" i="46"/>
  <c r="B242" i="46"/>
  <c r="B241" i="46"/>
  <c r="B240" i="46"/>
  <c r="B239" i="46"/>
  <c r="B236" i="46"/>
  <c r="B235" i="46"/>
  <c r="B234" i="46"/>
  <c r="B233" i="46"/>
  <c r="B232" i="46"/>
  <c r="B231" i="46"/>
  <c r="B230" i="46"/>
  <c r="B229" i="46"/>
  <c r="B228" i="46"/>
  <c r="B227" i="46"/>
  <c r="B226" i="46"/>
  <c r="B225" i="46"/>
  <c r="B224" i="46"/>
  <c r="B223" i="46"/>
  <c r="B222" i="46"/>
  <c r="B221" i="46"/>
  <c r="B220" i="46"/>
  <c r="B219" i="46"/>
  <c r="B218" i="46"/>
  <c r="B217" i="46"/>
  <c r="B216" i="46"/>
  <c r="B215" i="46"/>
  <c r="B214" i="46"/>
  <c r="B213" i="46"/>
  <c r="B206" i="46"/>
  <c r="B205" i="46"/>
  <c r="B204" i="46"/>
  <c r="B203" i="46"/>
  <c r="B202" i="46"/>
  <c r="B201" i="46"/>
  <c r="B200" i="46"/>
  <c r="B199" i="46"/>
  <c r="B196" i="46"/>
  <c r="B195" i="46"/>
  <c r="B194" i="46"/>
  <c r="B193" i="46"/>
  <c r="B192" i="46"/>
  <c r="B191" i="46"/>
  <c r="B190" i="46"/>
  <c r="B189" i="46"/>
  <c r="B188" i="46"/>
  <c r="B187" i="46"/>
  <c r="B186" i="46"/>
  <c r="B185" i="46"/>
  <c r="B184" i="46"/>
  <c r="B183" i="46"/>
  <c r="B182" i="46"/>
  <c r="B181" i="46"/>
  <c r="B180" i="46"/>
  <c r="B179" i="46"/>
  <c r="B178" i="46"/>
  <c r="B177" i="46"/>
  <c r="B176" i="46"/>
  <c r="B175" i="46"/>
  <c r="B174" i="46"/>
  <c r="B173" i="46"/>
  <c r="B166" i="46"/>
  <c r="B165" i="46"/>
  <c r="B164" i="46"/>
  <c r="B163" i="46"/>
  <c r="B162" i="46"/>
  <c r="B161" i="46"/>
  <c r="B160" i="46"/>
  <c r="B159" i="46"/>
  <c r="B156" i="46"/>
  <c r="B155" i="46"/>
  <c r="B154" i="46"/>
  <c r="B153" i="46"/>
  <c r="B152" i="46"/>
  <c r="B151" i="46"/>
  <c r="B150" i="46"/>
  <c r="B149" i="46"/>
  <c r="B148" i="46"/>
  <c r="B147" i="46"/>
  <c r="B146" i="46"/>
  <c r="B145" i="46"/>
  <c r="B144" i="46"/>
  <c r="B143" i="46"/>
  <c r="B142" i="46"/>
  <c r="B141" i="46"/>
  <c r="B140" i="46"/>
  <c r="B139" i="46"/>
  <c r="B138" i="46"/>
  <c r="B137" i="46"/>
  <c r="B136" i="46"/>
  <c r="B135" i="46"/>
  <c r="B134" i="46"/>
  <c r="B133" i="46"/>
  <c r="B126" i="46"/>
  <c r="B125" i="46"/>
  <c r="B124" i="46"/>
  <c r="B123" i="46"/>
  <c r="B122" i="46"/>
  <c r="B121" i="46"/>
  <c r="B120" i="46"/>
  <c r="B119" i="46"/>
  <c r="B116" i="46"/>
  <c r="B115" i="46"/>
  <c r="B114" i="46"/>
  <c r="B113" i="46"/>
  <c r="B112" i="46"/>
  <c r="B111" i="46"/>
  <c r="B110" i="46"/>
  <c r="B109" i="46"/>
  <c r="B108" i="46"/>
  <c r="B107" i="46"/>
  <c r="B106" i="46"/>
  <c r="B105" i="46"/>
  <c r="B104" i="46"/>
  <c r="B103" i="46"/>
  <c r="B102" i="46"/>
  <c r="B101" i="46"/>
  <c r="B100" i="46"/>
  <c r="B99" i="46"/>
  <c r="B98" i="46"/>
  <c r="B97" i="46"/>
  <c r="B96" i="46"/>
  <c r="B95" i="46"/>
  <c r="B94" i="46"/>
  <c r="B93" i="46"/>
  <c r="B46" i="46"/>
  <c r="B45" i="46"/>
  <c r="B44" i="46"/>
  <c r="B43" i="46"/>
  <c r="B42" i="46"/>
  <c r="B41" i="46"/>
  <c r="B40" i="46"/>
  <c r="B39" i="46"/>
  <c r="B34" i="46"/>
  <c r="B33" i="46"/>
  <c r="B32" i="46"/>
  <c r="B31" i="46"/>
  <c r="B30" i="46"/>
  <c r="B29" i="46"/>
  <c r="B28" i="46"/>
  <c r="B27" i="46"/>
  <c r="B26" i="46"/>
  <c r="B25" i="46"/>
  <c r="B24" i="46"/>
  <c r="B23" i="46"/>
  <c r="B22" i="46"/>
  <c r="B21" i="46"/>
  <c r="B20" i="46"/>
  <c r="B19" i="46"/>
  <c r="B18" i="46"/>
  <c r="B17" i="46"/>
  <c r="B16" i="46"/>
  <c r="B15" i="46"/>
  <c r="B14" i="46"/>
  <c r="B13" i="46"/>
  <c r="B12" i="46"/>
  <c r="B11" i="46"/>
  <c r="A35" i="44"/>
  <c r="A32" i="44"/>
  <c r="A25" i="44"/>
  <c r="B17" i="36"/>
  <c r="B16" i="36"/>
  <c r="B15" i="36"/>
  <c r="B14" i="36"/>
  <c r="B13" i="36"/>
  <c r="B12" i="36"/>
  <c r="B11" i="36"/>
  <c r="B10" i="36"/>
  <c r="B9" i="36"/>
  <c r="B8" i="36"/>
  <c r="B7" i="36"/>
  <c r="AG7" i="48"/>
  <c r="AD7" i="48"/>
  <c r="AA7" i="48"/>
  <c r="X7" i="48"/>
  <c r="U7" i="48"/>
  <c r="R7" i="48"/>
  <c r="S7" i="48" s="1"/>
  <c r="O7" i="48"/>
  <c r="L7" i="48"/>
  <c r="I7" i="48"/>
  <c r="J7" i="48" s="1"/>
  <c r="F7" i="48"/>
  <c r="AM7" i="48" s="1"/>
  <c r="AN7" i="48" s="1"/>
  <c r="C7" i="48"/>
  <c r="R10" i="48"/>
  <c r="O10" i="48"/>
  <c r="AG14" i="48"/>
  <c r="AH14" i="48" s="1"/>
  <c r="AD14" i="48"/>
  <c r="AE14" i="48"/>
  <c r="K33" i="48" s="1"/>
  <c r="AA14" i="48"/>
  <c r="AB14" i="48" s="1"/>
  <c r="X14" i="48"/>
  <c r="Y14" i="48"/>
  <c r="I205" i="48" s="1"/>
  <c r="U14" i="48"/>
  <c r="V14" i="48" s="1"/>
  <c r="H205" i="48" s="1"/>
  <c r="R14" i="48"/>
  <c r="O14" i="48"/>
  <c r="P14" i="48" s="1"/>
  <c r="L14" i="48"/>
  <c r="M14" i="48" s="1"/>
  <c r="I14" i="48"/>
  <c r="J14" i="48" s="1"/>
  <c r="D205" i="48" s="1"/>
  <c r="F14" i="48"/>
  <c r="G14" i="48" s="1"/>
  <c r="C14" i="48"/>
  <c r="AM14" i="48" s="1"/>
  <c r="AN14" i="48" s="1"/>
  <c r="AG12" i="48"/>
  <c r="AH12" i="48" s="1"/>
  <c r="L31" i="48" s="1"/>
  <c r="AD12" i="48"/>
  <c r="AE12" i="48" s="1"/>
  <c r="K164" i="48" s="1"/>
  <c r="AA12" i="48"/>
  <c r="AB12" i="48" s="1"/>
  <c r="X12" i="48"/>
  <c r="Y12" i="48" s="1"/>
  <c r="I31" i="48" s="1"/>
  <c r="U12" i="48"/>
  <c r="V12" i="48" s="1"/>
  <c r="R12" i="48"/>
  <c r="O12" i="48"/>
  <c r="P12" i="48" s="1"/>
  <c r="L12" i="48"/>
  <c r="M12" i="48" s="1"/>
  <c r="E164" i="48" s="1"/>
  <c r="I12" i="48"/>
  <c r="J12" i="48" s="1"/>
  <c r="F12" i="48"/>
  <c r="C12" i="48"/>
  <c r="AG11" i="48"/>
  <c r="AH11" i="48" s="1"/>
  <c r="X11" i="48"/>
  <c r="Y11" i="48" s="1"/>
  <c r="L11" i="48"/>
  <c r="M11" i="48"/>
  <c r="E144" i="48" s="1"/>
  <c r="F11" i="48"/>
  <c r="G11" i="48" s="1"/>
  <c r="C11" i="48"/>
  <c r="J164" i="48"/>
  <c r="J31" i="48"/>
  <c r="C205" i="48"/>
  <c r="C33" i="48"/>
  <c r="K31" i="48"/>
  <c r="E31" i="48"/>
  <c r="L164" i="48"/>
  <c r="AA11" i="48"/>
  <c r="AB11" i="48" s="1"/>
  <c r="O11" i="48"/>
  <c r="P11" i="48" s="1"/>
  <c r="U11" i="48"/>
  <c r="V11" i="48" s="1"/>
  <c r="I11" i="48"/>
  <c r="J11" i="48" s="1"/>
  <c r="D144" i="48" s="1"/>
  <c r="R11" i="48"/>
  <c r="S11" i="48" s="1"/>
  <c r="R8" i="48"/>
  <c r="S8" i="48" s="1"/>
  <c r="R9" i="48"/>
  <c r="S9" i="48" s="1"/>
  <c r="S12" i="48"/>
  <c r="S14" i="48"/>
  <c r="O8" i="48"/>
  <c r="P8" i="48" s="1"/>
  <c r="O9" i="48"/>
  <c r="P9" i="48" s="1"/>
  <c r="AD11" i="48"/>
  <c r="AE11" i="48" s="1"/>
  <c r="C10" i="48"/>
  <c r="D10" i="48"/>
  <c r="B123" i="48" s="1"/>
  <c r="X10" i="48"/>
  <c r="Y10" i="48" s="1"/>
  <c r="I123" i="48" s="1"/>
  <c r="F10" i="48"/>
  <c r="G10" i="48" s="1"/>
  <c r="P10" i="48"/>
  <c r="F123" i="48" s="1"/>
  <c r="AA10" i="48"/>
  <c r="AB10" i="48" s="1"/>
  <c r="I10" i="48"/>
  <c r="J10" i="48" s="1"/>
  <c r="S10" i="48"/>
  <c r="G123" i="48" s="1"/>
  <c r="AD10" i="48"/>
  <c r="AE10" i="48" s="1"/>
  <c r="L10" i="48"/>
  <c r="M10" i="48" s="1"/>
  <c r="U10" i="48"/>
  <c r="V10" i="48" s="1"/>
  <c r="AG10" i="48"/>
  <c r="AH10" i="48" s="1"/>
  <c r="L29" i="48" s="1"/>
  <c r="L8" i="48"/>
  <c r="M8" i="48"/>
  <c r="U8" i="48"/>
  <c r="V8" i="48" s="1"/>
  <c r="H27" i="48" s="1"/>
  <c r="AG8" i="48"/>
  <c r="AH8" i="48" s="1"/>
  <c r="AA8" i="48"/>
  <c r="AB8" i="48" s="1"/>
  <c r="J85" i="48" s="1"/>
  <c r="F8" i="48"/>
  <c r="G8" i="48" s="1"/>
  <c r="D11" i="48"/>
  <c r="I13" i="48"/>
  <c r="J13" i="48"/>
  <c r="D185" i="48" s="1"/>
  <c r="AD13" i="48"/>
  <c r="AE13" i="48" s="1"/>
  <c r="D7" i="48"/>
  <c r="B67" i="48" s="1"/>
  <c r="Y7" i="48"/>
  <c r="F9" i="48"/>
  <c r="G9" i="48"/>
  <c r="C28" i="48" s="1"/>
  <c r="AA9" i="48"/>
  <c r="AB9" i="48" s="1"/>
  <c r="D14" i="48"/>
  <c r="B205" i="48" s="1"/>
  <c r="C8" i="48"/>
  <c r="C15" i="48" s="1"/>
  <c r="D15" i="48" s="1"/>
  <c r="X8" i="48"/>
  <c r="Y8" i="48"/>
  <c r="I85" i="48" s="1"/>
  <c r="L13" i="48"/>
  <c r="M13" i="48" s="1"/>
  <c r="U13" i="48"/>
  <c r="V13" i="48" s="1"/>
  <c r="AG13" i="48"/>
  <c r="AH13" i="48" s="1"/>
  <c r="G7" i="48"/>
  <c r="C26" i="48" s="1"/>
  <c r="P7" i="48"/>
  <c r="F67" i="48" s="1"/>
  <c r="AB7" i="48"/>
  <c r="J67" i="48" s="1"/>
  <c r="I9" i="48"/>
  <c r="J9" i="48" s="1"/>
  <c r="D105" i="48" s="1"/>
  <c r="AD9" i="48"/>
  <c r="AE9" i="48"/>
  <c r="K105" i="48" s="1"/>
  <c r="C13" i="48"/>
  <c r="D13" i="48" s="1"/>
  <c r="X13" i="48"/>
  <c r="Y13" i="48"/>
  <c r="I32" i="48" s="1"/>
  <c r="AE7" i="48"/>
  <c r="L9" i="48"/>
  <c r="M9" i="48" s="1"/>
  <c r="U9" i="48"/>
  <c r="V9" i="48" s="1"/>
  <c r="H105" i="48" s="1"/>
  <c r="AG9" i="48"/>
  <c r="AH9" i="48" s="1"/>
  <c r="D12" i="48"/>
  <c r="B164" i="48" s="1"/>
  <c r="I8" i="48"/>
  <c r="J8" i="48" s="1"/>
  <c r="AD8" i="48"/>
  <c r="AE8" i="48" s="1"/>
  <c r="F13" i="48"/>
  <c r="G13" i="48" s="1"/>
  <c r="C185" i="48" s="1"/>
  <c r="AA13" i="48"/>
  <c r="AB13" i="48" s="1"/>
  <c r="J185" i="48" s="1"/>
  <c r="M7" i="48"/>
  <c r="V7" i="48"/>
  <c r="H26" i="48" s="1"/>
  <c r="AH7" i="48"/>
  <c r="L67" i="48" s="1"/>
  <c r="C9" i="48"/>
  <c r="D9" i="48" s="1"/>
  <c r="X9" i="48"/>
  <c r="Y9" i="48" s="1"/>
  <c r="I105" i="48" s="1"/>
  <c r="P185" i="2"/>
  <c r="T185" i="2"/>
  <c r="X185" i="2"/>
  <c r="O185" i="2"/>
  <c r="S185" i="2"/>
  <c r="W185" i="2"/>
  <c r="M185" i="2"/>
  <c r="U185" i="2"/>
  <c r="N185" i="2"/>
  <c r="R185" i="2"/>
  <c r="R13" i="48"/>
  <c r="S13" i="48" s="1"/>
  <c r="G32" i="48" s="1"/>
  <c r="V185" i="2"/>
  <c r="Q185" i="2"/>
  <c r="O13" i="48"/>
  <c r="P13" i="48" s="1"/>
  <c r="F185" i="48" s="1"/>
  <c r="AL185" i="2"/>
  <c r="A23" i="45"/>
  <c r="D18" i="45"/>
  <c r="C18" i="45"/>
  <c r="B18" i="45"/>
  <c r="A13" i="45"/>
  <c r="A7" i="45"/>
  <c r="D6" i="45"/>
  <c r="B6" i="45"/>
  <c r="D4" i="45"/>
  <c r="B4" i="45"/>
  <c r="D3" i="45"/>
  <c r="B3" i="45"/>
  <c r="D20" i="44"/>
  <c r="C20" i="44"/>
  <c r="B20" i="44"/>
  <c r="A15" i="44"/>
  <c r="B13" i="44"/>
  <c r="D12" i="44"/>
  <c r="C12" i="44"/>
  <c r="B12" i="44"/>
  <c r="A7" i="44"/>
  <c r="D6" i="44"/>
  <c r="B6" i="44"/>
  <c r="D4" i="44"/>
  <c r="B4" i="44"/>
  <c r="D3" i="44"/>
  <c r="B3" i="44"/>
  <c r="A15" i="18"/>
  <c r="I185" i="48"/>
  <c r="I67" i="48"/>
  <c r="I26" i="48"/>
  <c r="I29" i="48"/>
  <c r="F205" i="48"/>
  <c r="F33" i="48"/>
  <c r="G164" i="48"/>
  <c r="G31" i="48"/>
  <c r="G185" i="48"/>
  <c r="L26" i="48"/>
  <c r="K67" i="48"/>
  <c r="K26" i="48"/>
  <c r="F26" i="48"/>
  <c r="B144" i="48"/>
  <c r="B30" i="48"/>
  <c r="H85" i="48"/>
  <c r="E123" i="48"/>
  <c r="E29" i="48"/>
  <c r="B29" i="48"/>
  <c r="F32" i="48"/>
  <c r="I28" i="48"/>
  <c r="E67" i="48"/>
  <c r="E26" i="48"/>
  <c r="C67" i="48"/>
  <c r="I27" i="48"/>
  <c r="E85" i="48"/>
  <c r="E27" i="48"/>
  <c r="F29" i="48"/>
  <c r="K144" i="48"/>
  <c r="K30" i="48"/>
  <c r="F144" i="48"/>
  <c r="F30" i="48"/>
  <c r="D28" i="48"/>
  <c r="C105" i="48"/>
  <c r="L123" i="48"/>
  <c r="G205" i="48"/>
  <c r="G33" i="48"/>
  <c r="O15" i="48"/>
  <c r="P15" i="48" s="1"/>
  <c r="F15" i="48"/>
  <c r="G15" i="48" s="1"/>
  <c r="D8" i="48"/>
  <c r="B27" i="48" s="1"/>
  <c r="J19" i="3"/>
  <c r="C125" i="5"/>
  <c r="C126" i="5"/>
  <c r="C124" i="5"/>
  <c r="C123" i="5"/>
  <c r="C122" i="5"/>
  <c r="C121" i="5"/>
  <c r="C120" i="5"/>
  <c r="C118" i="5"/>
  <c r="C117" i="5"/>
  <c r="C111" i="5"/>
  <c r="C112" i="5"/>
  <c r="C110" i="5"/>
  <c r="C109" i="5"/>
  <c r="C108" i="5"/>
  <c r="C107" i="5"/>
  <c r="C106" i="5"/>
  <c r="C105" i="5" s="1"/>
  <c r="C113" i="5" s="1"/>
  <c r="C152" i="5" s="1"/>
  <c r="C104" i="5"/>
  <c r="C103" i="5"/>
  <c r="C97" i="5"/>
  <c r="C98" i="5"/>
  <c r="C96" i="5"/>
  <c r="C95" i="5"/>
  <c r="C94" i="5"/>
  <c r="C93" i="5"/>
  <c r="C92" i="5"/>
  <c r="C90" i="5"/>
  <c r="C89" i="5"/>
  <c r="C83" i="5"/>
  <c r="C84" i="5"/>
  <c r="C82" i="5"/>
  <c r="C81" i="5"/>
  <c r="N81" i="5" s="1"/>
  <c r="C80" i="5"/>
  <c r="C79" i="5"/>
  <c r="C78" i="5"/>
  <c r="C76" i="5"/>
  <c r="C75" i="5"/>
  <c r="C74" i="5" s="1"/>
  <c r="C69" i="5"/>
  <c r="C70" i="5"/>
  <c r="C68" i="5"/>
  <c r="N68" i="5" s="1"/>
  <c r="C67" i="5"/>
  <c r="C66" i="5"/>
  <c r="C65" i="5"/>
  <c r="C64" i="5"/>
  <c r="C62" i="5"/>
  <c r="C61" i="5"/>
  <c r="C55" i="5"/>
  <c r="C56" i="5"/>
  <c r="C54" i="5"/>
  <c r="C53" i="5"/>
  <c r="C52" i="5"/>
  <c r="C51" i="5"/>
  <c r="C50" i="5"/>
  <c r="N50" i="5" s="1"/>
  <c r="C48" i="5"/>
  <c r="C46" i="5" s="1"/>
  <c r="C47" i="5"/>
  <c r="C41" i="5"/>
  <c r="C42" i="5"/>
  <c r="C40" i="5"/>
  <c r="C39" i="5"/>
  <c r="C38" i="5"/>
  <c r="C37" i="5"/>
  <c r="C36" i="5"/>
  <c r="C34" i="5"/>
  <c r="C33" i="5"/>
  <c r="C19" i="5"/>
  <c r="C102" i="5"/>
  <c r="C88" i="5"/>
  <c r="C32" i="5"/>
  <c r="C13" i="5"/>
  <c r="C14" i="5"/>
  <c r="N14" i="5" s="1"/>
  <c r="C12" i="5"/>
  <c r="C11" i="5"/>
  <c r="C10" i="5"/>
  <c r="C9" i="5"/>
  <c r="C8" i="5"/>
  <c r="C7" i="5" s="1"/>
  <c r="C15" i="5" s="1"/>
  <c r="C6" i="5"/>
  <c r="C5" i="5"/>
  <c r="B125" i="5"/>
  <c r="N125" i="5" s="1"/>
  <c r="B126" i="5"/>
  <c r="N126" i="5" s="1"/>
  <c r="B124" i="5"/>
  <c r="B123" i="5"/>
  <c r="B122" i="5"/>
  <c r="B121" i="5"/>
  <c r="N121" i="5" s="1"/>
  <c r="B120" i="5"/>
  <c r="B118" i="5"/>
  <c r="B117" i="5"/>
  <c r="N117" i="5" s="1"/>
  <c r="B111" i="5"/>
  <c r="N111" i="5" s="1"/>
  <c r="B112" i="5"/>
  <c r="B110" i="5"/>
  <c r="B109" i="5"/>
  <c r="N109" i="5" s="1"/>
  <c r="B108" i="5"/>
  <c r="B107" i="5"/>
  <c r="B106" i="5"/>
  <c r="B104" i="5"/>
  <c r="B102" i="5" s="1"/>
  <c r="B103" i="5"/>
  <c r="B97" i="5"/>
  <c r="N97" i="5" s="1"/>
  <c r="B98" i="5"/>
  <c r="N98" i="5" s="1"/>
  <c r="B96" i="5"/>
  <c r="N96" i="5" s="1"/>
  <c r="B95" i="5"/>
  <c r="B94" i="5"/>
  <c r="B93" i="5"/>
  <c r="N93" i="5" s="1"/>
  <c r="B92" i="5"/>
  <c r="N92" i="5" s="1"/>
  <c r="B90" i="5"/>
  <c r="B89" i="5"/>
  <c r="B83" i="5"/>
  <c r="B84" i="5"/>
  <c r="N84" i="5" s="1"/>
  <c r="B82" i="5"/>
  <c r="B81" i="5"/>
  <c r="B80" i="5"/>
  <c r="B79" i="5"/>
  <c r="B77" i="5" s="1"/>
  <c r="B78" i="5"/>
  <c r="B76" i="5"/>
  <c r="N76" i="5" s="1"/>
  <c r="B75" i="5"/>
  <c r="B74" i="5" s="1"/>
  <c r="B69" i="5"/>
  <c r="N69" i="5" s="1"/>
  <c r="B70" i="5"/>
  <c r="N70" i="5" s="1"/>
  <c r="B68" i="5"/>
  <c r="B67" i="5"/>
  <c r="B66" i="5"/>
  <c r="N66" i="5" s="1"/>
  <c r="B65" i="5"/>
  <c r="B64" i="5"/>
  <c r="B62" i="5"/>
  <c r="B61" i="5"/>
  <c r="N61" i="5" s="1"/>
  <c r="B55" i="5"/>
  <c r="N55" i="5" s="1"/>
  <c r="B56" i="5"/>
  <c r="B54" i="5"/>
  <c r="N54" i="5" s="1"/>
  <c r="B53" i="5"/>
  <c r="N53" i="5" s="1"/>
  <c r="B52" i="5"/>
  <c r="B51" i="5"/>
  <c r="B50" i="5"/>
  <c r="B48" i="5"/>
  <c r="N48" i="5" s="1"/>
  <c r="B47" i="5"/>
  <c r="B41" i="5"/>
  <c r="B42" i="5"/>
  <c r="N42" i="5" s="1"/>
  <c r="B40" i="5"/>
  <c r="N40" i="5" s="1"/>
  <c r="B39" i="5"/>
  <c r="N39" i="5" s="1"/>
  <c r="B38" i="5"/>
  <c r="N38" i="5" s="1"/>
  <c r="B37" i="5"/>
  <c r="B36" i="5"/>
  <c r="N36" i="5" s="1"/>
  <c r="B34" i="5"/>
  <c r="N34" i="5" s="1"/>
  <c r="B33" i="5"/>
  <c r="B27" i="5"/>
  <c r="B28" i="5"/>
  <c r="B26" i="5"/>
  <c r="B25" i="5"/>
  <c r="N25" i="5" s="1"/>
  <c r="B24" i="5"/>
  <c r="B23" i="5"/>
  <c r="B22" i="5"/>
  <c r="B20" i="5"/>
  <c r="B19" i="5"/>
  <c r="N19" i="5" s="1"/>
  <c r="B13" i="5"/>
  <c r="B14" i="5"/>
  <c r="B12" i="5"/>
  <c r="B11" i="5"/>
  <c r="B10" i="5"/>
  <c r="N10" i="5" s="1"/>
  <c r="B9" i="5"/>
  <c r="B8" i="5"/>
  <c r="B6" i="5"/>
  <c r="C4" i="5"/>
  <c r="B5" i="5"/>
  <c r="A7" i="18"/>
  <c r="G185" i="2"/>
  <c r="J185" i="2"/>
  <c r="F185" i="2"/>
  <c r="I185" i="2"/>
  <c r="H185" i="2"/>
  <c r="C27" i="5"/>
  <c r="C28" i="5"/>
  <c r="C26" i="5"/>
  <c r="C25" i="5"/>
  <c r="C24" i="5"/>
  <c r="C23" i="5"/>
  <c r="C22" i="5"/>
  <c r="C20" i="5"/>
  <c r="C18" i="5" s="1"/>
  <c r="B46" i="5"/>
  <c r="B88" i="5"/>
  <c r="B18" i="5"/>
  <c r="B60" i="5"/>
  <c r="B32" i="5"/>
  <c r="B116" i="5"/>
  <c r="B119" i="5"/>
  <c r="E185" i="2"/>
  <c r="K185" i="2"/>
  <c r="B7" i="37"/>
  <c r="M19" i="3"/>
  <c r="G19" i="3"/>
  <c r="L19" i="3"/>
  <c r="H19" i="3"/>
  <c r="I19" i="3"/>
  <c r="K19" i="3"/>
  <c r="D4" i="18"/>
  <c r="D6" i="18"/>
  <c r="D3" i="18"/>
  <c r="B20" i="18"/>
  <c r="D20" i="18"/>
  <c r="C20" i="18"/>
  <c r="B3" i="18"/>
  <c r="C12" i="18"/>
  <c r="B13" i="18"/>
  <c r="D12" i="18"/>
  <c r="B12" i="18"/>
  <c r="B6" i="18"/>
  <c r="B4" i="18"/>
  <c r="N82" i="5"/>
  <c r="N80" i="5"/>
  <c r="N75" i="5"/>
  <c r="N52" i="5"/>
  <c r="N47" i="5"/>
  <c r="N33" i="5"/>
  <c r="N95" i="5"/>
  <c r="N106" i="5"/>
  <c r="N107" i="5"/>
  <c r="N108" i="5"/>
  <c r="N110" i="5"/>
  <c r="N112" i="5"/>
  <c r="N120" i="5"/>
  <c r="N122" i="5"/>
  <c r="N123" i="5"/>
  <c r="N124" i="5"/>
  <c r="N103" i="5"/>
  <c r="N104" i="5"/>
  <c r="N118" i="5"/>
  <c r="N89" i="5"/>
  <c r="N64" i="5"/>
  <c r="N78" i="5"/>
  <c r="N65" i="5"/>
  <c r="N67" i="5"/>
  <c r="N90" i="5"/>
  <c r="N94" i="5"/>
  <c r="B15" i="37" l="1"/>
  <c r="C123" i="48"/>
  <c r="C29" i="48"/>
  <c r="N33" i="48"/>
  <c r="N205" i="48"/>
  <c r="N26" i="48"/>
  <c r="N67" i="48"/>
  <c r="Q5" i="49"/>
  <c r="P7" i="49"/>
  <c r="J29" i="48"/>
  <c r="J123" i="48"/>
  <c r="H123" i="48"/>
  <c r="H29" i="48"/>
  <c r="G105" i="48"/>
  <c r="G28" i="48"/>
  <c r="F164" i="48"/>
  <c r="F31" i="48"/>
  <c r="J205" i="48"/>
  <c r="J33" i="48"/>
  <c r="D67" i="48"/>
  <c r="D26" i="48"/>
  <c r="P13" i="49"/>
  <c r="Q7" i="49"/>
  <c r="F15" i="5"/>
  <c r="H185" i="48"/>
  <c r="H32" i="48"/>
  <c r="K29" i="48"/>
  <c r="K123" i="48"/>
  <c r="G144" i="48"/>
  <c r="G30" i="48"/>
  <c r="F85" i="48"/>
  <c r="F27" i="48"/>
  <c r="N46" i="5"/>
  <c r="C27" i="48"/>
  <c r="C85" i="48"/>
  <c r="G85" i="48"/>
  <c r="G27" i="48"/>
  <c r="L85" i="48"/>
  <c r="L27" i="48"/>
  <c r="L205" i="48"/>
  <c r="L33" i="48"/>
  <c r="G26" i="48"/>
  <c r="G67" i="48"/>
  <c r="L105" i="48"/>
  <c r="L28" i="48"/>
  <c r="F105" i="48"/>
  <c r="F28" i="48"/>
  <c r="M105" i="48"/>
  <c r="M28" i="48"/>
  <c r="B85" i="48"/>
  <c r="AM11" i="48"/>
  <c r="AN11" i="48" s="1"/>
  <c r="H67" i="48"/>
  <c r="K205" i="48"/>
  <c r="I164" i="48"/>
  <c r="E71" i="5"/>
  <c r="E149" i="5" s="1"/>
  <c r="P10" i="52"/>
  <c r="P61" i="52"/>
  <c r="P51" i="52"/>
  <c r="P40" i="52"/>
  <c r="P20" i="52"/>
  <c r="N77" i="5"/>
  <c r="E127" i="5"/>
  <c r="E153" i="5" s="1"/>
  <c r="N8" i="5"/>
  <c r="N41" i="5"/>
  <c r="N56" i="5"/>
  <c r="B105" i="5"/>
  <c r="N105" i="5" s="1"/>
  <c r="G29" i="48"/>
  <c r="D32" i="48"/>
  <c r="C32" i="48"/>
  <c r="H33" i="48"/>
  <c r="D49" i="5"/>
  <c r="D57" i="5" s="1"/>
  <c r="D148" i="5" s="1"/>
  <c r="D63" i="5"/>
  <c r="E29" i="5"/>
  <c r="E146" i="5" s="1"/>
  <c r="F127" i="5"/>
  <c r="F153" i="5" s="1"/>
  <c r="G18" i="5"/>
  <c r="G29" i="5" s="1"/>
  <c r="G146" i="5" s="1"/>
  <c r="P12" i="52"/>
  <c r="P45" i="52"/>
  <c r="P77" i="52"/>
  <c r="P113" i="52"/>
  <c r="P72" i="52"/>
  <c r="P90" i="52"/>
  <c r="N79" i="5"/>
  <c r="N28" i="5"/>
  <c r="B91" i="5"/>
  <c r="N91" i="5" s="1"/>
  <c r="C35" i="5"/>
  <c r="C43" i="5" s="1"/>
  <c r="C147" i="5" s="1"/>
  <c r="C60" i="5"/>
  <c r="C119" i="5"/>
  <c r="N119" i="5" s="1"/>
  <c r="D7" i="5"/>
  <c r="D18" i="5"/>
  <c r="E4" i="5"/>
  <c r="O5" i="49"/>
  <c r="P5" i="49" s="1"/>
  <c r="N37" i="49"/>
  <c r="Q40" i="49" s="1"/>
  <c r="N40" i="49"/>
  <c r="Q43" i="49" s="1"/>
  <c r="P14" i="52"/>
  <c r="P18" i="52"/>
  <c r="P29" i="52"/>
  <c r="P49" i="52"/>
  <c r="P97" i="52"/>
  <c r="P100" i="52"/>
  <c r="P131" i="52"/>
  <c r="P53" i="52"/>
  <c r="P57" i="52"/>
  <c r="P105" i="52"/>
  <c r="P123" i="52"/>
  <c r="P136" i="52"/>
  <c r="P141" i="52"/>
  <c r="P66" i="52"/>
  <c r="P56" i="52"/>
  <c r="P28" i="52"/>
  <c r="E113" i="5"/>
  <c r="E152" i="5" s="1"/>
  <c r="C46" i="49"/>
  <c r="G39" i="49"/>
  <c r="N39" i="49" s="1"/>
  <c r="Q36" i="49" s="1"/>
  <c r="P11" i="52"/>
  <c r="P22" i="52"/>
  <c r="P43" i="52"/>
  <c r="P79" i="52"/>
  <c r="P82" i="52"/>
  <c r="P94" i="52"/>
  <c r="P95" i="52"/>
  <c r="P112" i="52"/>
  <c r="P130" i="52"/>
  <c r="P35" i="52"/>
  <c r="P39" i="52"/>
  <c r="P69" i="52"/>
  <c r="P71" i="52"/>
  <c r="P87" i="52"/>
  <c r="P89" i="52"/>
  <c r="P102" i="52"/>
  <c r="P107" i="52"/>
  <c r="P120" i="52"/>
  <c r="P125" i="52"/>
  <c r="P65" i="52"/>
  <c r="P55" i="52"/>
  <c r="P46" i="52"/>
  <c r="P36" i="52"/>
  <c r="P27" i="52"/>
  <c r="P16" i="52"/>
  <c r="N11" i="5"/>
  <c r="N13" i="5"/>
  <c r="J27" i="48"/>
  <c r="K28" i="48"/>
  <c r="B31" i="48"/>
  <c r="F57" i="5"/>
  <c r="F148" i="5" s="1"/>
  <c r="F85" i="5"/>
  <c r="F150" i="5" s="1"/>
  <c r="B127" i="5"/>
  <c r="N24" i="5"/>
  <c r="N62" i="5"/>
  <c r="N83" i="5"/>
  <c r="R15" i="48"/>
  <c r="S15" i="48" s="1"/>
  <c r="D30" i="48"/>
  <c r="E30" i="48"/>
  <c r="D21" i="5"/>
  <c r="D35" i="5"/>
  <c r="D43" i="5" s="1"/>
  <c r="D147" i="5" s="1"/>
  <c r="E46" i="49"/>
  <c r="F29" i="5"/>
  <c r="F146" i="5" s="1"/>
  <c r="F7" i="5"/>
  <c r="G15" i="5"/>
  <c r="P30" i="52"/>
  <c r="P64" i="52"/>
  <c r="P114" i="52"/>
  <c r="P54" i="52"/>
  <c r="P73" i="52"/>
  <c r="P104" i="52"/>
  <c r="P119" i="52"/>
  <c r="P137" i="52"/>
  <c r="N12" i="5"/>
  <c r="N6" i="5"/>
  <c r="C21" i="5"/>
  <c r="C29" i="5" s="1"/>
  <c r="C146" i="5" s="1"/>
  <c r="N26" i="5"/>
  <c r="B63" i="5"/>
  <c r="C49" i="5"/>
  <c r="C57" i="5" s="1"/>
  <c r="C148" i="5" s="1"/>
  <c r="C63" i="5"/>
  <c r="C77" i="5"/>
  <c r="C85" i="5" s="1"/>
  <c r="C150" i="5" s="1"/>
  <c r="C91" i="5"/>
  <c r="C99" i="5" s="1"/>
  <c r="C151" i="5" s="1"/>
  <c r="C116" i="5"/>
  <c r="C127" i="5" s="1"/>
  <c r="C153" i="5" s="1"/>
  <c r="D4" i="5"/>
  <c r="D15" i="5" s="1"/>
  <c r="E7" i="5"/>
  <c r="B38" i="37" s="1"/>
  <c r="O8" i="49"/>
  <c r="P8" i="49" s="1"/>
  <c r="O10" i="49"/>
  <c r="P10" i="49" s="1"/>
  <c r="O12" i="49"/>
  <c r="O14" i="49"/>
  <c r="P14" i="49" s="1"/>
  <c r="P19" i="52"/>
  <c r="P44" i="52"/>
  <c r="P60" i="52"/>
  <c r="P81" i="52"/>
  <c r="P83" i="52"/>
  <c r="P99" i="52"/>
  <c r="P34" i="52"/>
  <c r="P70" i="52"/>
  <c r="P88" i="52"/>
  <c r="P106" i="52"/>
  <c r="P52" i="52"/>
  <c r="P21" i="52"/>
  <c r="N20" i="5"/>
  <c r="N23" i="5"/>
  <c r="B85" i="5"/>
  <c r="N74" i="5"/>
  <c r="N102" i="5"/>
  <c r="B153" i="5"/>
  <c r="N32" i="5"/>
  <c r="B7" i="5"/>
  <c r="N88" i="5"/>
  <c r="B71" i="5"/>
  <c r="N60" i="5"/>
  <c r="B57" i="5"/>
  <c r="N9" i="5"/>
  <c r="D85" i="48"/>
  <c r="D27" i="48"/>
  <c r="J105" i="48"/>
  <c r="J28" i="48"/>
  <c r="N27" i="5"/>
  <c r="B35" i="5"/>
  <c r="C34" i="48"/>
  <c r="C18" i="48"/>
  <c r="F18" i="48"/>
  <c r="F34" i="48"/>
  <c r="E105" i="48"/>
  <c r="E28" i="48"/>
  <c r="E185" i="48"/>
  <c r="E32" i="48"/>
  <c r="H144" i="48"/>
  <c r="H30" i="48"/>
  <c r="N51" i="5"/>
  <c r="B49" i="5"/>
  <c r="N49" i="5" s="1"/>
  <c r="G34" i="48"/>
  <c r="G18" i="48"/>
  <c r="K85" i="48"/>
  <c r="K27" i="48"/>
  <c r="L185" i="48"/>
  <c r="L32" i="48"/>
  <c r="D123" i="48"/>
  <c r="D29" i="48"/>
  <c r="B21" i="5"/>
  <c r="N21" i="5" s="1"/>
  <c r="N22" i="5"/>
  <c r="B34" i="48"/>
  <c r="B18" i="48"/>
  <c r="B105" i="48"/>
  <c r="B28" i="48"/>
  <c r="B32" i="48"/>
  <c r="B185" i="48"/>
  <c r="K185" i="48"/>
  <c r="K32" i="48"/>
  <c r="J144" i="48"/>
  <c r="J30" i="48"/>
  <c r="B4" i="5"/>
  <c r="N5" i="5"/>
  <c r="X15" i="48"/>
  <c r="Y15" i="48" s="1"/>
  <c r="I34" i="48" s="1"/>
  <c r="AM13" i="48"/>
  <c r="AN13" i="48" s="1"/>
  <c r="U15" i="48"/>
  <c r="V15" i="48" s="1"/>
  <c r="H34" i="48" s="1"/>
  <c r="B26" i="48"/>
  <c r="H28" i="48"/>
  <c r="B33" i="48"/>
  <c r="J26" i="48"/>
  <c r="C144" i="48"/>
  <c r="C30" i="48"/>
  <c r="L144" i="48"/>
  <c r="L30" i="48"/>
  <c r="D164" i="48"/>
  <c r="D31" i="48"/>
  <c r="H164" i="48"/>
  <c r="H31" i="48"/>
  <c r="M205" i="48"/>
  <c r="M33" i="48"/>
  <c r="AM9" i="48"/>
  <c r="AN9" i="48" s="1"/>
  <c r="AD15" i="48"/>
  <c r="AE15" i="48" s="1"/>
  <c r="K34" i="48" s="1"/>
  <c r="AA15" i="48"/>
  <c r="AB15" i="48" s="1"/>
  <c r="J34" i="48" s="1"/>
  <c r="L15" i="48"/>
  <c r="M15" i="48" s="1"/>
  <c r="J32" i="48"/>
  <c r="E205" i="48"/>
  <c r="E33" i="48"/>
  <c r="D71" i="5"/>
  <c r="D149" i="5" s="1"/>
  <c r="M85" i="48"/>
  <c r="M27" i="48"/>
  <c r="N37" i="5"/>
  <c r="AM8" i="48"/>
  <c r="AN8" i="48" s="1"/>
  <c r="I15" i="48"/>
  <c r="J15" i="48" s="1"/>
  <c r="AG15" i="48"/>
  <c r="AH15" i="48" s="1"/>
  <c r="L34" i="48" s="1"/>
  <c r="AM10" i="48"/>
  <c r="AN10" i="48" s="1"/>
  <c r="M123" i="48"/>
  <c r="M29" i="48"/>
  <c r="I144" i="48"/>
  <c r="I30" i="48"/>
  <c r="AM12" i="48"/>
  <c r="AN12" i="48" s="1"/>
  <c r="G12" i="48"/>
  <c r="M67" i="48"/>
  <c r="M26" i="48"/>
  <c r="M164" i="48"/>
  <c r="M31" i="48"/>
  <c r="P12" i="49"/>
  <c r="Q6" i="49"/>
  <c r="G46" i="49"/>
  <c r="B35" i="37"/>
  <c r="B39" i="37"/>
  <c r="AJ15" i="48"/>
  <c r="AK15" i="48" s="1"/>
  <c r="M34" i="48" s="1"/>
  <c r="M144" i="48"/>
  <c r="B36" i="49"/>
  <c r="Q4" i="49"/>
  <c r="D33" i="48"/>
  <c r="I33" i="48"/>
  <c r="N35" i="5" l="1"/>
  <c r="E15" i="5"/>
  <c r="B46" i="37" s="1"/>
  <c r="N144" i="48"/>
  <c r="N30" i="48"/>
  <c r="N127" i="5"/>
  <c r="B99" i="5"/>
  <c r="D29" i="5"/>
  <c r="D146" i="5" s="1"/>
  <c r="N18" i="5"/>
  <c r="N63" i="5"/>
  <c r="N116" i="5"/>
  <c r="C71" i="5"/>
  <c r="C149" i="5" s="1"/>
  <c r="B113" i="5"/>
  <c r="N164" i="48"/>
  <c r="N31" i="48"/>
  <c r="N7" i="5"/>
  <c r="N36" i="49"/>
  <c r="Q35" i="49" s="1"/>
  <c r="B46" i="49"/>
  <c r="N46" i="49" s="1"/>
  <c r="C164" i="48"/>
  <c r="C31" i="48"/>
  <c r="D18" i="48"/>
  <c r="D34" i="48"/>
  <c r="N28" i="48"/>
  <c r="N105" i="48"/>
  <c r="N123" i="48"/>
  <c r="N29" i="48"/>
  <c r="E34" i="48"/>
  <c r="E18" i="48"/>
  <c r="N115" i="49"/>
  <c r="B43" i="5"/>
  <c r="B29" i="5"/>
  <c r="N27" i="48"/>
  <c r="N85" i="48"/>
  <c r="N185" i="48"/>
  <c r="N32" i="48"/>
  <c r="B148" i="5"/>
  <c r="N57" i="5"/>
  <c r="AM15" i="48"/>
  <c r="AN15" i="48" s="1"/>
  <c r="N34" i="48" s="1"/>
  <c r="N4" i="5"/>
  <c r="B15" i="5"/>
  <c r="N71" i="5"/>
  <c r="B149" i="5"/>
  <c r="B150" i="5"/>
  <c r="N85" i="5"/>
  <c r="N99" i="5" l="1"/>
  <c r="B151" i="5"/>
  <c r="N113" i="5"/>
  <c r="B152" i="5"/>
  <c r="N43" i="5"/>
  <c r="B147" i="5"/>
  <c r="N15" i="5"/>
  <c r="B146" i="5"/>
  <c r="N29" i="5"/>
</calcChain>
</file>

<file path=xl/sharedStrings.xml><?xml version="1.0" encoding="utf-8"?>
<sst xmlns="http://schemas.openxmlformats.org/spreadsheetml/2006/main" count="1802" uniqueCount="441">
  <si>
    <t>2015 Grievance Tracking</t>
  </si>
  <si>
    <t>Date of Alleged Incident</t>
  </si>
  <si>
    <t>Date when Report was Received</t>
  </si>
  <si>
    <t>Time (Definite or Approx.)</t>
  </si>
  <si>
    <t>Day of the Week</t>
  </si>
  <si>
    <t>Shift</t>
  </si>
  <si>
    <t>Reporter (if not resident)</t>
  </si>
  <si>
    <t>Witnesses</t>
  </si>
  <si>
    <t>WHEN</t>
  </si>
  <si>
    <t>1st Implicated Staff</t>
  </si>
  <si>
    <t>2nd Implicated Staff</t>
  </si>
  <si>
    <t>3rd Implicated Staff</t>
  </si>
  <si>
    <t>Resident's Unit</t>
  </si>
  <si>
    <t>Location of Alleged Incident</t>
  </si>
  <si>
    <t>What allegedly happened</t>
  </si>
  <si>
    <t>Type of Complaint</t>
  </si>
  <si>
    <t>Complaint</t>
  </si>
  <si>
    <t>Action Required</t>
  </si>
  <si>
    <t>Given to Investigator:</t>
  </si>
  <si>
    <t>Name</t>
  </si>
  <si>
    <t>Title</t>
  </si>
  <si>
    <t>On Date:</t>
  </si>
  <si>
    <t>Findings, Results, &amp; Outcomes</t>
  </si>
  <si>
    <t>Evidence/ What was found</t>
  </si>
  <si>
    <t>Findings/ Ruling</t>
  </si>
  <si>
    <t>Outcome</t>
  </si>
  <si>
    <t>Supplemental Info</t>
  </si>
  <si>
    <t>Has Debriefing Occurred?</t>
  </si>
  <si>
    <t>Date of Debriefing</t>
  </si>
  <si>
    <t>Accept or Appeal?</t>
  </si>
  <si>
    <t>Debriefing Notes</t>
  </si>
  <si>
    <t>External Report made?</t>
  </si>
  <si>
    <t>External Report Agency</t>
  </si>
  <si>
    <t>Results of External Report</t>
  </si>
  <si>
    <t>Notes</t>
  </si>
  <si>
    <t>WHO</t>
  </si>
  <si>
    <t>WHERE</t>
  </si>
  <si>
    <t>Debriefing</t>
  </si>
  <si>
    <t>External Report Made?</t>
  </si>
  <si>
    <t>Other</t>
  </si>
  <si>
    <t>Trending</t>
  </si>
  <si>
    <t>Monday</t>
  </si>
  <si>
    <t>Tuesday</t>
  </si>
  <si>
    <t>Wednesday</t>
  </si>
  <si>
    <t>Thursday</t>
  </si>
  <si>
    <t>Friday</t>
  </si>
  <si>
    <t>Saturday</t>
  </si>
  <si>
    <t>Sunday</t>
  </si>
  <si>
    <t>Unknown</t>
  </si>
  <si>
    <t>New Choices</t>
  </si>
  <si>
    <t>Safe Harbor</t>
  </si>
  <si>
    <t>Starting Point</t>
  </si>
  <si>
    <t>Resident Names Listed Alphabetically - Residents who've made complaints in 2015</t>
  </si>
  <si>
    <t>ID</t>
  </si>
  <si>
    <t>1st Unit</t>
  </si>
  <si>
    <t>Total Complaints Made</t>
  </si>
  <si>
    <t>Total False (Misunderstanding)</t>
  </si>
  <si>
    <t xml:space="preserve">Total False (Deliberate) </t>
  </si>
  <si>
    <t>Hire Date</t>
  </si>
  <si>
    <t>Assigned Shift</t>
  </si>
  <si>
    <t>Transformations 1</t>
  </si>
  <si>
    <t>Transformations 2</t>
  </si>
  <si>
    <t>Triad</t>
  </si>
  <si>
    <t>Waypoint</t>
  </si>
  <si>
    <t>Turning Point</t>
  </si>
  <si>
    <t>Dayroom</t>
  </si>
  <si>
    <t>Hallway</t>
  </si>
  <si>
    <t>Closet</t>
  </si>
  <si>
    <t>Classroom</t>
  </si>
  <si>
    <t xml:space="preserve"> </t>
  </si>
  <si>
    <t>Team Supervisor</t>
  </si>
  <si>
    <t>Residential Manager</t>
  </si>
  <si>
    <t>Program Director</t>
  </si>
  <si>
    <t>Director of Physical Plant Operations</t>
  </si>
  <si>
    <r>
      <rPr>
        <b/>
        <sz val="11"/>
        <color theme="1"/>
        <rFont val="Calibri"/>
        <family val="2"/>
        <scheme val="minor"/>
      </rPr>
      <t>Internal Investigation</t>
    </r>
    <r>
      <rPr>
        <sz val="11"/>
        <color theme="1"/>
        <rFont val="Calibri"/>
        <family val="2"/>
        <scheme val="minor"/>
      </rPr>
      <t xml:space="preserve">; Designated lead investigator will coordinate and pursue documented evidence. </t>
    </r>
  </si>
  <si>
    <t>Director of Education</t>
  </si>
  <si>
    <t>Director of Nursing</t>
  </si>
  <si>
    <t>Executive Director</t>
  </si>
  <si>
    <t>Lead Resident Advocate</t>
  </si>
  <si>
    <t>1.1 Unsubstantiated due to deliberately false report</t>
  </si>
  <si>
    <t>1.2 Unsubstantiated; there was a misunderstanding</t>
  </si>
  <si>
    <t>2.1 Substantiated; Rights Violation</t>
  </si>
  <si>
    <t>2.2 Substantiated; Policy Violation</t>
  </si>
  <si>
    <t xml:space="preserve">2.3 Substantiated; Anti-Therapeutic/ Unprofessional </t>
  </si>
  <si>
    <t>3 Inconclusive</t>
  </si>
  <si>
    <t>4 Pending</t>
  </si>
  <si>
    <t>What happened to ameliorate situation?</t>
  </si>
  <si>
    <t>What else might have been going on?</t>
  </si>
  <si>
    <t>Based on cameras, multiple witnesses, and other.</t>
  </si>
  <si>
    <t>OHAN</t>
  </si>
  <si>
    <t>Total True</t>
  </si>
  <si>
    <t>Total Inconclusive</t>
  </si>
  <si>
    <t>Total Pending</t>
  </si>
  <si>
    <t>May</t>
  </si>
  <si>
    <t>Jan</t>
  </si>
  <si>
    <t>Feb</t>
  </si>
  <si>
    <t>Mar</t>
  </si>
  <si>
    <t>Apr</t>
  </si>
  <si>
    <t>Jun</t>
  </si>
  <si>
    <t>Jul</t>
  </si>
  <si>
    <t>Aug</t>
  </si>
  <si>
    <t>Sep</t>
  </si>
  <si>
    <t>Oct</t>
  </si>
  <si>
    <t>Nov</t>
  </si>
  <si>
    <t>Dec</t>
  </si>
  <si>
    <t>Deliberate</t>
  </si>
  <si>
    <t>Misunderstanding</t>
  </si>
  <si>
    <t>Rights Violation</t>
  </si>
  <si>
    <t>Policy Violation</t>
  </si>
  <si>
    <t>Anti-Therapeutic</t>
  </si>
  <si>
    <t>Other/ Misc</t>
  </si>
  <si>
    <t>INCONCLUSIVE</t>
  </si>
  <si>
    <t>PENDING</t>
  </si>
  <si>
    <t>TOTAL</t>
  </si>
  <si>
    <t>Direct Care</t>
  </si>
  <si>
    <t>Programming</t>
  </si>
  <si>
    <t>Environment</t>
  </si>
  <si>
    <t>Dietary</t>
  </si>
  <si>
    <t>Variables</t>
  </si>
  <si>
    <t>N/A</t>
  </si>
  <si>
    <t>Under Data ribbon, choose "data validation", then "List"</t>
  </si>
  <si>
    <t>Name &amp; ID</t>
  </si>
  <si>
    <t>Resident Name &amp; ID</t>
  </si>
  <si>
    <t>Bedroom</t>
  </si>
  <si>
    <t>Cafeteria</t>
  </si>
  <si>
    <t>Bathroom</t>
  </si>
  <si>
    <t>Yes</t>
  </si>
  <si>
    <t>No</t>
  </si>
  <si>
    <t>Accept</t>
  </si>
  <si>
    <t>Appeal</t>
  </si>
  <si>
    <t>Rock Hill Police Department</t>
  </si>
  <si>
    <t>Ruled Out</t>
  </si>
  <si>
    <t>Complaints about Supervision</t>
  </si>
  <si>
    <t>Unable due to resident discharge</t>
  </si>
  <si>
    <t>Date of External Report (if applicable)</t>
  </si>
  <si>
    <t>Case #</t>
  </si>
  <si>
    <t>Job Title/ Function</t>
  </si>
  <si>
    <r>
      <rPr>
        <b/>
        <sz val="11"/>
        <color theme="1"/>
        <rFont val="Calibri"/>
        <family val="2"/>
        <scheme val="minor"/>
      </rPr>
      <t>Grievance Process</t>
    </r>
    <r>
      <rPr>
        <sz val="11"/>
        <color theme="1"/>
        <rFont val="Calibri"/>
        <family val="2"/>
        <scheme val="minor"/>
      </rPr>
      <t>;There is evidence of something which could be non-therapeutic. Supervisor, Manager, or Director will determine if staff behavior and/or programming was carried out appropriately.</t>
    </r>
  </si>
  <si>
    <t>Control Station</t>
  </si>
  <si>
    <t>Exempt</t>
  </si>
  <si>
    <t>Date when Report was Received2</t>
  </si>
  <si>
    <t>Resident Unit</t>
  </si>
  <si>
    <t>Date of alleged incident</t>
  </si>
  <si>
    <t>Implicated staff:</t>
  </si>
  <si>
    <t>Given to:</t>
  </si>
  <si>
    <t>Advocate Signature:___________________________________      Date:______________________</t>
  </si>
  <si>
    <t>Based on evidence from: _____ Cameras     _____ Multiple Witnesses     _____Other:</t>
  </si>
  <si>
    <t>Here is what was determined to happen:</t>
  </si>
  <si>
    <t>As a result, here are actions which have been taken:</t>
  </si>
  <si>
    <t xml:space="preserve">Please debrief with resident to ensure they understand all attempts at resolution. </t>
  </si>
  <si>
    <r>
      <t xml:space="preserve">For Resident - </t>
    </r>
    <r>
      <rPr>
        <sz val="12"/>
        <color theme="1"/>
        <rFont val="Calibri"/>
        <family val="2"/>
        <scheme val="minor"/>
      </rPr>
      <t>The findings of my issue have been discussed with me.</t>
    </r>
  </si>
  <si>
    <r>
      <t xml:space="preserve">Please check one: ____ </t>
    </r>
    <r>
      <rPr>
        <i/>
        <sz val="12"/>
        <color theme="1"/>
        <rFont val="Calibri"/>
        <family val="2"/>
        <scheme val="minor"/>
      </rPr>
      <t>I agree with these findings</t>
    </r>
    <r>
      <rPr>
        <u/>
        <sz val="12"/>
        <color theme="1"/>
        <rFont val="Calibri"/>
        <family val="2"/>
        <scheme val="minor"/>
      </rPr>
      <t xml:space="preserve">  </t>
    </r>
    <r>
      <rPr>
        <sz val="12"/>
        <color theme="1"/>
        <rFont val="Calibri"/>
        <family val="2"/>
        <scheme val="minor"/>
      </rPr>
      <t xml:space="preserve"> </t>
    </r>
    <r>
      <rPr>
        <i/>
        <sz val="12"/>
        <color theme="1"/>
        <rFont val="Calibri"/>
        <family val="2"/>
        <scheme val="minor"/>
      </rPr>
      <t xml:space="preserve">OR  </t>
    </r>
    <r>
      <rPr>
        <sz val="12"/>
        <color theme="1"/>
        <rFont val="Calibri"/>
        <family val="2"/>
        <scheme val="minor"/>
      </rPr>
      <t xml:space="preserve"> ___ </t>
    </r>
    <r>
      <rPr>
        <i/>
        <sz val="12"/>
        <color theme="1"/>
        <rFont val="Calibri"/>
        <family val="2"/>
        <scheme val="minor"/>
      </rPr>
      <t>I would like an appeal.</t>
    </r>
  </si>
  <si>
    <t>Resident Signature:__________________________________________     Date:_____________________</t>
  </si>
  <si>
    <t>Grievance Follow-up</t>
  </si>
  <si>
    <t xml:space="preserve">       False because there is proof that the resident was not being completely truthful in making this claim.</t>
  </si>
  <si>
    <t xml:space="preserve">       False because it was the result of a misunderstanding between the resident and staff.</t>
  </si>
  <si>
    <t xml:space="preserve">       True and can be classified as a Rights Violation or Policy Violation</t>
  </si>
  <si>
    <t xml:space="preserve">       True and can be classified as Non-Therapeutic or Unprofessional Behavior</t>
  </si>
  <si>
    <t xml:space="preserve">       Inconclusive: We cannot say what happened for sure. </t>
  </si>
  <si>
    <t xml:space="preserve">       True, but falls under the category of Misc/Other (an honest mistake, mix-up, or scheduling problem, etc)</t>
  </si>
  <si>
    <t xml:space="preserve">       Issue was reviewed with: Staff in supervision / Resident / Community Group</t>
  </si>
  <si>
    <t xml:space="preserve">       Personnel Action Taken</t>
  </si>
  <si>
    <t xml:space="preserve">       Other:</t>
  </si>
  <si>
    <t xml:space="preserve">       I have reviewed the outcome with the resident and will continue to monitor the situation.</t>
  </si>
  <si>
    <t>Reviewer Signature:_________________________________   Title:_________________  Date:___________</t>
  </si>
  <si>
    <t>STEP 1: Understanding and Responding to Complaint</t>
  </si>
  <si>
    <t>STEP 2: Evidence</t>
  </si>
  <si>
    <t>STEP 3: Findings</t>
  </si>
  <si>
    <t>STEP 4: Response</t>
  </si>
  <si>
    <t>STEP 5: Debriefing</t>
  </si>
  <si>
    <t>Don't enter anything else unless necessary.</t>
  </si>
  <si>
    <t>This form will automatically generate a report</t>
  </si>
  <si>
    <t>based on that complaint # from the 2015 tracking page.</t>
  </si>
  <si>
    <t>(Enter Case # to generate automated form)</t>
  </si>
  <si>
    <t>Witnesses listed:</t>
  </si>
  <si>
    <t xml:space="preserve">Per report rec'd on </t>
  </si>
  <si>
    <t>Formula for this form: =(VLOOKUP(D1,'2015 Grievance Tracking'!1:1048576,6,FALSE))</t>
  </si>
  <si>
    <t>(Change the "6" to the column in the 2015 Tracking page which has the relevant date)</t>
  </si>
  <si>
    <t>Yes, through grievance process</t>
  </si>
  <si>
    <t>Yes, through resident receipt of grievances</t>
  </si>
  <si>
    <t>, resident claimed that in/at</t>
  </si>
  <si>
    <t>Shift/ Time of alleged incident</t>
  </si>
  <si>
    <t>1st</t>
  </si>
  <si>
    <t>2nd</t>
  </si>
  <si>
    <t>3rd</t>
  </si>
  <si>
    <t>1st &amp; 2nd</t>
  </si>
  <si>
    <t>Pending</t>
  </si>
  <si>
    <t>Therapist</t>
  </si>
  <si>
    <t>Clinical Coordinator</t>
  </si>
  <si>
    <t>2nd &amp; 3rd</t>
  </si>
  <si>
    <t>All</t>
  </si>
  <si>
    <t>General Complaints</t>
  </si>
  <si>
    <t>Assigned Unit/ Dept</t>
  </si>
  <si>
    <t>Total Mentions</t>
  </si>
  <si>
    <t>Matching Code for Findings</t>
  </si>
  <si>
    <t>Gender</t>
  </si>
  <si>
    <t>Male</t>
  </si>
  <si>
    <t>Pool</t>
  </si>
  <si>
    <t>Front Field</t>
  </si>
  <si>
    <t>Perception Complaints</t>
  </si>
  <si>
    <t>Days of the week:</t>
  </si>
  <si>
    <t>Over a period of time</t>
  </si>
  <si>
    <t>Quarterly and Yearly Stats</t>
  </si>
  <si>
    <t>Yearly Total</t>
  </si>
  <si>
    <t>PENDING GRIEVANCES</t>
  </si>
  <si>
    <t>Total</t>
  </si>
  <si>
    <t>(Space below reserved for quarterly tracking)</t>
  </si>
  <si>
    <t>This is for submission to Mgrs, Supervisors, etc.</t>
  </si>
  <si>
    <t>Privacy Complaint</t>
  </si>
  <si>
    <t>Miscommunication/ Misperception</t>
  </si>
  <si>
    <t>Building Supervisor</t>
  </si>
  <si>
    <t>Nursing</t>
  </si>
  <si>
    <r>
      <rPr>
        <b/>
        <sz val="11"/>
        <color theme="1"/>
        <rFont val="Calibri"/>
        <family val="2"/>
        <scheme val="minor"/>
      </rPr>
      <t>Appeal</t>
    </r>
    <r>
      <rPr>
        <sz val="11"/>
        <color theme="1"/>
        <rFont val="Calibri"/>
        <family val="2"/>
        <scheme val="minor"/>
      </rPr>
      <t>; Resident has appealed results of a prior complaint, grievance, or investigation.  Appeal committee will be notified.</t>
    </r>
  </si>
  <si>
    <t>Case by Case Basis</t>
  </si>
  <si>
    <t>Dear Resident: Here is a report regarding your previous grievances. The case number is followed by the date of the alleged occurrence, along with your claim. It explains how your concern was processed and what was done about it. All your concerns will be provided to management for monitoring purposes.</t>
  </si>
  <si>
    <t>Waiting on debriefing</t>
  </si>
  <si>
    <t>1st &amp; 3rd</t>
  </si>
  <si>
    <t>Month Received</t>
  </si>
  <si>
    <t>Month</t>
  </si>
  <si>
    <t>January</t>
  </si>
  <si>
    <t>February</t>
  </si>
  <si>
    <t>March</t>
  </si>
  <si>
    <t>April</t>
  </si>
  <si>
    <t>June</t>
  </si>
  <si>
    <t>July</t>
  </si>
  <si>
    <t>August</t>
  </si>
  <si>
    <t>September</t>
  </si>
  <si>
    <t>November</t>
  </si>
  <si>
    <t>October</t>
  </si>
  <si>
    <t>December</t>
  </si>
  <si>
    <t>Row Labels</t>
  </si>
  <si>
    <t>Grand Total</t>
  </si>
  <si>
    <t>2.4 Substantiated; Miscellaneous/ Other</t>
  </si>
  <si>
    <t>Interrupted sleep @ night</t>
  </si>
  <si>
    <t>All Units Total</t>
  </si>
  <si>
    <t># grievers</t>
  </si>
  <si>
    <t xml:space="preserve"> Unit Pop.</t>
  </si>
  <si>
    <t>Stairwell</t>
  </si>
  <si>
    <t xml:space="preserve">Resident Signature: ________________________________  Date:___________________________ </t>
  </si>
  <si>
    <t xml:space="preserve">Reviewer Signature: _______________________________   Date:___________________________ </t>
  </si>
  <si>
    <t>Given to Name:</t>
  </si>
  <si>
    <t xml:space="preserve"> Given on Date:</t>
  </si>
  <si>
    <t>WHAT ALLEGEDLY HAPPENED</t>
  </si>
  <si>
    <t>GIVEN TO:</t>
  </si>
  <si>
    <t>Within the hour of:</t>
  </si>
  <si>
    <t>#</t>
  </si>
  <si>
    <t>12:00 to 12:59 AM</t>
  </si>
  <si>
    <t>1:00 to 1:59 AM</t>
  </si>
  <si>
    <t>2:00 to 2:59 AM</t>
  </si>
  <si>
    <t>3:00 to 3:59 AM</t>
  </si>
  <si>
    <t>4:00 to 4:59 AM</t>
  </si>
  <si>
    <t>5:00 to 5:59 AM</t>
  </si>
  <si>
    <t>6:00 to 6:59 AM</t>
  </si>
  <si>
    <t>7:00 to 7:59 AM</t>
  </si>
  <si>
    <t>9:00 to 9:59 AM</t>
  </si>
  <si>
    <t>10:00 to 10:59 AM</t>
  </si>
  <si>
    <t>11:00 to 11:59 AM</t>
  </si>
  <si>
    <t>12:00 to 12:59 PM</t>
  </si>
  <si>
    <t>1:00 to 1:59 PM</t>
  </si>
  <si>
    <t>2:00 to 2:59 PM</t>
  </si>
  <si>
    <t>3:00 to 3:59 PM</t>
  </si>
  <si>
    <t>4:00 to 4:59 PM</t>
  </si>
  <si>
    <t>5:00 to 5:59 PM</t>
  </si>
  <si>
    <t>6:00 to 6:59 PM</t>
  </si>
  <si>
    <t>7:00 to 7:59 PM</t>
  </si>
  <si>
    <t>8:00 to 8:59 PM</t>
  </si>
  <si>
    <t>9:00 to 9:59 PM</t>
  </si>
  <si>
    <t>10:00 to 10:59 PM</t>
  </si>
  <si>
    <t>11:00 to 11:59 PM</t>
  </si>
  <si>
    <t>8:00 to 8:59 AM</t>
  </si>
  <si>
    <t>Amount of alleged incidents within each time period</t>
  </si>
  <si>
    <t xml:space="preserve">        Proceed to steps 2 through 5 &amp; return to advocate within 1 week.</t>
  </si>
  <si>
    <t xml:space="preserve">Optional Resident Follow-up Statement can be written below or on back of this form. </t>
  </si>
  <si>
    <t>Please complete the following sections.</t>
  </si>
  <si>
    <t xml:space="preserve">       Changes have been made:</t>
  </si>
  <si>
    <t xml:space="preserve">     Intervention with Resident Scheduled/ Occurred</t>
  </si>
  <si>
    <t>Based on all available information, we can say this claim is…</t>
  </si>
  <si>
    <t xml:space="preserve">       Intervention with Resident Scheduled/ Occurred</t>
  </si>
  <si>
    <t xml:space="preserve">       Other: This is a complaint that we will use to improve programming.</t>
  </si>
  <si>
    <t>TOTALS</t>
  </si>
  <si>
    <t>%</t>
  </si>
  <si>
    <t>Population writing grievances &amp; Percentages of pop writing grievances</t>
  </si>
  <si>
    <t>Quarter 1</t>
  </si>
  <si>
    <t>Quarter 2</t>
  </si>
  <si>
    <t>Quarter 3</t>
  </si>
  <si>
    <t>Quarter 4</t>
  </si>
  <si>
    <t>** Graphs may appear small here but can be resized in reports</t>
  </si>
  <si>
    <t>General Unit</t>
  </si>
  <si>
    <t>Safety</t>
  </si>
  <si>
    <t>Education</t>
  </si>
  <si>
    <t>Locations where alleged instances occur</t>
  </si>
  <si>
    <t>5 Other: This was a suggestion or complaint that we will use to improve programming</t>
  </si>
  <si>
    <t>Types of Grievances</t>
  </si>
  <si>
    <t>Times - All Units Combined</t>
  </si>
  <si>
    <t>Times for New Choices</t>
  </si>
  <si>
    <t>Table of Contents: See Times/Shifts/Days of Allegations per unit.</t>
  </si>
  <si>
    <t>All Units</t>
  </si>
  <si>
    <t>Times for Safe Harbor</t>
  </si>
  <si>
    <t>Times for Starting Point</t>
  </si>
  <si>
    <t>Times for Transformations 1</t>
  </si>
  <si>
    <t>Times for Transformations 2</t>
  </si>
  <si>
    <t>Times for Triad</t>
  </si>
  <si>
    <t>Times for Turning Point</t>
  </si>
  <si>
    <t>Times for Waypoint</t>
  </si>
  <si>
    <t>Grievances/ Complaints occurred on:</t>
  </si>
  <si>
    <t>Return to Table of Contents/ Unit List</t>
  </si>
  <si>
    <t xml:space="preserve">&lt;--- These hyperlinks will take you directly to stats for each unit. </t>
  </si>
  <si>
    <t>Column1</t>
  </si>
  <si>
    <t>Residential Programming</t>
  </si>
  <si>
    <t>Education Programming</t>
  </si>
  <si>
    <t>Office</t>
  </si>
  <si>
    <t>Director of RT</t>
  </si>
  <si>
    <t>Religious</t>
  </si>
  <si>
    <t>Physical Health</t>
  </si>
  <si>
    <t>(blank)</t>
  </si>
  <si>
    <t>Total Population Writing Grievances</t>
  </si>
  <si>
    <t>Elevator</t>
  </si>
  <si>
    <t>Outside</t>
  </si>
  <si>
    <t>The resident elected that s/he wanted the Advocate, Supervisor, and/or Manager to see this, but did not request for follow-up. This complaint is being passed along as an FYI with no request for debriefing.</t>
  </si>
  <si>
    <t>No, as per resident request</t>
  </si>
  <si>
    <t>Severity of Concerns</t>
  </si>
  <si>
    <r>
      <rPr>
        <b/>
        <sz val="11"/>
        <color theme="1"/>
        <rFont val="Calibri"/>
        <family val="2"/>
        <scheme val="minor"/>
      </rPr>
      <t>Self-Advocacy</t>
    </r>
    <r>
      <rPr>
        <sz val="11"/>
        <color theme="1"/>
        <rFont val="Calibri"/>
        <family val="2"/>
        <scheme val="minor"/>
      </rPr>
      <t>: The resident expressed struggling with a challenge or provided a suggestion for improving something related to his or her care.</t>
    </r>
  </si>
  <si>
    <r>
      <rPr>
        <b/>
        <sz val="11"/>
        <color theme="1"/>
        <rFont val="Calibri"/>
        <family val="2"/>
        <scheme val="minor"/>
      </rPr>
      <t>Dismissal</t>
    </r>
    <r>
      <rPr>
        <sz val="11"/>
        <color theme="1"/>
        <rFont val="Calibri"/>
        <family val="2"/>
        <scheme val="minor"/>
      </rPr>
      <t xml:space="preserve">; There is no merit in pursuing this concern. It is dismissed due to the nature of the situation or through the resident's own request. </t>
    </r>
  </si>
  <si>
    <t>Internal Investigation</t>
  </si>
  <si>
    <t>Grievance Process</t>
  </si>
  <si>
    <t>Safety Concern</t>
  </si>
  <si>
    <t>Therapeutic Concern</t>
  </si>
  <si>
    <t>Self-Advocacy</t>
  </si>
  <si>
    <t xml:space="preserve">Appeal </t>
  </si>
  <si>
    <t>Dismissal</t>
  </si>
  <si>
    <r>
      <rPr>
        <b/>
        <sz val="11"/>
        <color theme="1"/>
        <rFont val="Calibri"/>
        <family val="2"/>
        <scheme val="minor"/>
      </rPr>
      <t>Safety Concern</t>
    </r>
    <r>
      <rPr>
        <sz val="11"/>
        <color theme="1"/>
        <rFont val="Calibri"/>
        <family val="2"/>
        <scheme val="minor"/>
      </rPr>
      <t xml:space="preserve">; This does not fit the description of a rights-based concern but is still being passed along as a resident's expression of a potential safety concern. </t>
    </r>
  </si>
  <si>
    <r>
      <t xml:space="preserve">Therapeutic Concern; </t>
    </r>
    <r>
      <rPr>
        <sz val="11"/>
        <color theme="1"/>
        <rFont val="Calibri"/>
        <family val="2"/>
        <scheme val="minor"/>
      </rPr>
      <t xml:space="preserve">This does not fit the description of a rights-based concern but is still being passed along as a resident's expression of a concern which could impact treatment. </t>
    </r>
  </si>
  <si>
    <t>In descending order of severity</t>
  </si>
  <si>
    <t>General Statistics</t>
  </si>
  <si>
    <t>* % will be skewed until unit pop is determined</t>
  </si>
  <si>
    <t>Game Room</t>
  </si>
  <si>
    <t xml:space="preserve"> Total/ Average</t>
  </si>
  <si>
    <t>Interactive Care complaints</t>
  </si>
  <si>
    <t>Sept</t>
  </si>
  <si>
    <t>Sum</t>
  </si>
  <si>
    <t>Avg</t>
  </si>
  <si>
    <t>Pie</t>
  </si>
  <si>
    <t>FOR 2015</t>
  </si>
  <si>
    <t>For Pie:</t>
  </si>
  <si>
    <t>Inconclusive</t>
  </si>
  <si>
    <t>Grievances in 2015</t>
  </si>
  <si>
    <t>Other/Misc.</t>
  </si>
  <si>
    <t>Rights Violations</t>
  </si>
  <si>
    <t>Policy Violations</t>
  </si>
  <si>
    <t>Population writing grievances per year</t>
  </si>
  <si>
    <t>Overall Avg</t>
  </si>
  <si>
    <t>AVG</t>
  </si>
  <si>
    <t>2nd Unit</t>
  </si>
  <si>
    <t>* Unit pop is based on end-of-month total per census (average not available)</t>
  </si>
  <si>
    <t>All Units Total - Grievance Outcomes</t>
  </si>
  <si>
    <t>Favoritism</t>
  </si>
  <si>
    <t>Inconsistency between shifts</t>
  </si>
  <si>
    <t>Trending (What are kids complaining about?)</t>
  </si>
  <si>
    <t>Group Punishment</t>
  </si>
  <si>
    <t>Coping Skill Refusal</t>
  </si>
  <si>
    <t>Unreasonable refusal of something important</t>
  </si>
  <si>
    <t>False Accusation</t>
  </si>
  <si>
    <t>Facility Problem</t>
  </si>
  <si>
    <t>Suggestion</t>
  </si>
  <si>
    <t>Physical/ Verbal Aggression from Staff</t>
  </si>
  <si>
    <t>Not enough to eat</t>
  </si>
  <si>
    <t>Disrespect/ lack of consideration</t>
  </si>
  <si>
    <t>Unreasonable consequence</t>
  </si>
  <si>
    <t>Unfair Situation</t>
  </si>
  <si>
    <t>Safety/ Quality of Care</t>
  </si>
  <si>
    <t>New Choices - Grievance Outcomes</t>
  </si>
  <si>
    <t>New Choices - Related Statistics</t>
  </si>
  <si>
    <t>Safe Harbor - Grievance Outcomes</t>
  </si>
  <si>
    <t>Safe Harbor - Related Statistics</t>
  </si>
  <si>
    <t>Population Writing Grievances on New Choices in 2015</t>
  </si>
  <si>
    <t>Population Writing Grievances on Safe Harbor in 2015</t>
  </si>
  <si>
    <t>Yearly Average</t>
  </si>
  <si>
    <t>Population Writing Grievances on Starting Point in 2015</t>
  </si>
  <si>
    <t>Monthly Average</t>
  </si>
  <si>
    <t>Total Average</t>
  </si>
  <si>
    <t>Population Writing Grievances on Transformations 1 in 2015</t>
  </si>
  <si>
    <t>Population Writing Grievances on Transformations 2 in 2015</t>
  </si>
  <si>
    <t>Population Writing Grievances on Triad in 2015</t>
  </si>
  <si>
    <t>Population Writing Grievances on Turning Point in 2015</t>
  </si>
  <si>
    <t>Population Writing Grievances on Waypoint in 2015</t>
  </si>
  <si>
    <t>All Units Total - Related Statistics to Time and Place</t>
  </si>
  <si>
    <t>All Units Total - Population Writing Grievances</t>
  </si>
  <si>
    <t>Starting Point - Grievance Outcomes</t>
  </si>
  <si>
    <t>Starting Point - Related Statistics</t>
  </si>
  <si>
    <t>Transformations 1 - Grievance Outcomes</t>
  </si>
  <si>
    <t>Transformations 1 - Related Statistics</t>
  </si>
  <si>
    <t>Transformations 2 - Grievance Outcomes</t>
  </si>
  <si>
    <t>Transformations 2 - Related Statistics</t>
  </si>
  <si>
    <t>Triad - Grievance Outcomes</t>
  </si>
  <si>
    <t>Triad - Related Statistics</t>
  </si>
  <si>
    <t>Turning Point - Grievance Outcomes</t>
  </si>
  <si>
    <t>Turning Point - Related Statistics</t>
  </si>
  <si>
    <t>Waypoint - Grievance Outcomes</t>
  </si>
  <si>
    <t>Waypoint - Related Statistics</t>
  </si>
  <si>
    <t>Unit Comparison:</t>
  </si>
  <si>
    <t>Not able to go outside</t>
  </si>
  <si>
    <t>Comfort Room</t>
  </si>
  <si>
    <t>Refused to sign</t>
  </si>
  <si>
    <t># of Grievances in 2014 vs 2015</t>
  </si>
  <si>
    <t>Health Concern</t>
  </si>
  <si>
    <t>Complaints by Shift</t>
  </si>
  <si>
    <t>1st Total</t>
  </si>
  <si>
    <t>2nd Total</t>
  </si>
  <si>
    <t>3rd Total</t>
  </si>
  <si>
    <t>1st General Staff</t>
  </si>
  <si>
    <t>2nd General Staff</t>
  </si>
  <si>
    <t>3rd General Staff</t>
  </si>
  <si>
    <t>All Shifts</t>
  </si>
  <si>
    <t>Codes:</t>
  </si>
  <si>
    <t>"Total" means that these are shifts when any complaint was made.</t>
  </si>
  <si>
    <t>1st thru 2nd</t>
  </si>
  <si>
    <t>2nd thru 3rd</t>
  </si>
  <si>
    <t>3rd thru 1st</t>
  </si>
  <si>
    <t xml:space="preserve">3rd thru 1st </t>
  </si>
  <si>
    <t>Formula check (Should be same as Total)</t>
  </si>
  <si>
    <t>"General Staff" means that these are shifts when "General Staff" was implicated,</t>
  </si>
  <si>
    <t xml:space="preserve"> rather than a specific individual.</t>
  </si>
  <si>
    <t>Lead Supervisor</t>
  </si>
  <si>
    <t>Resident 1 - 001</t>
  </si>
  <si>
    <t>Doe, John</t>
  </si>
  <si>
    <t>Who is kid</t>
  </si>
  <si>
    <t>Time of day</t>
  </si>
  <si>
    <t>Length of time</t>
  </si>
  <si>
    <t>Location</t>
  </si>
  <si>
    <t>Runaway: How long were they gone?</t>
  </si>
  <si>
    <t>What triggered the issue</t>
  </si>
  <si>
    <t>How did staff respond</t>
  </si>
  <si>
    <t>Did staff debrief about the incident?</t>
  </si>
  <si>
    <t>Did it warrant an IRIS?</t>
  </si>
  <si>
    <t>Was the incident report documented in IRIS</t>
  </si>
  <si>
    <t>Debrief section</t>
  </si>
  <si>
    <t>1. Did you check to make sure everyone ok? Staff injuries, kid injuries, staff walking off job, demoralization</t>
  </si>
  <si>
    <t>2. Was there a debriefing with child?</t>
  </si>
  <si>
    <t>3. IRIs done? (above)</t>
  </si>
  <si>
    <t>4. Was incident reviewed with employees on each shift?</t>
  </si>
  <si>
    <t>5. Was this incident debriefed with executive leadership, parents, guardians, DSS workers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</si>
</sst>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0.0"/>
  </numFmts>
  <fonts count="18" x14ac:knownFonts="1">
    <font>
      <sz val="11"/>
      <color theme="1"/>
      <name val="Calibri"/>
      <family val="2"/>
      <scheme val="minor"/>
    </font>
    <font>
      <b/>
      <sz val="11"/>
      <color theme="0"/>
      <name val="Calibri"/>
      <family val="2"/>
      <scheme val="minor"/>
    </font>
    <font>
      <b/>
      <sz val="11"/>
      <color theme="1"/>
      <name val="Calibri"/>
      <family val="2"/>
      <scheme val="minor"/>
    </font>
    <font>
      <b/>
      <sz val="11"/>
      <color rgb="FFFF0000"/>
      <name val="Calibri"/>
      <family val="2"/>
      <scheme val="minor"/>
    </font>
    <font>
      <u/>
      <sz val="11"/>
      <color theme="1"/>
      <name val="Calibri"/>
      <family val="2"/>
      <scheme val="minor"/>
    </font>
    <font>
      <b/>
      <sz val="12"/>
      <color theme="1"/>
      <name val="Calibri"/>
      <family val="2"/>
      <scheme val="minor"/>
    </font>
    <font>
      <sz val="12"/>
      <color theme="1"/>
      <name val="Calibri"/>
      <family val="2"/>
      <scheme val="minor"/>
    </font>
    <font>
      <u/>
      <sz val="12"/>
      <color theme="1"/>
      <name val="Calibri"/>
      <family val="2"/>
      <scheme val="minor"/>
    </font>
    <font>
      <i/>
      <sz val="12"/>
      <color theme="1"/>
      <name val="Calibri"/>
      <family val="2"/>
      <scheme val="minor"/>
    </font>
    <font>
      <sz val="11"/>
      <color rgb="FF000000"/>
      <name val="Calibri"/>
      <family val="2"/>
      <scheme val="minor"/>
    </font>
    <font>
      <sz val="11"/>
      <color theme="1"/>
      <name val="Calibri"/>
      <family val="2"/>
      <scheme val="minor"/>
    </font>
    <font>
      <u/>
      <sz val="11"/>
      <color theme="10"/>
      <name val="Calibri"/>
      <family val="2"/>
      <scheme val="minor"/>
    </font>
    <font>
      <b/>
      <u/>
      <sz val="11"/>
      <color theme="10"/>
      <name val="Calibri"/>
      <family val="2"/>
      <scheme val="minor"/>
    </font>
    <font>
      <b/>
      <u/>
      <sz val="11"/>
      <color theme="1"/>
      <name val="Calibri"/>
      <family val="2"/>
      <scheme val="minor"/>
    </font>
    <font>
      <b/>
      <sz val="11"/>
      <color theme="1"/>
      <name val="Calibri"/>
      <family val="2"/>
    </font>
    <font>
      <sz val="11"/>
      <color theme="1"/>
      <name val="Calibri"/>
      <family val="2"/>
    </font>
    <font>
      <b/>
      <sz val="11"/>
      <color rgb="FF000000"/>
      <name val="Calibri"/>
      <family val="2"/>
    </font>
    <font>
      <i/>
      <sz val="11"/>
      <color theme="1"/>
      <name val="Calibri"/>
      <family val="2"/>
      <scheme val="minor"/>
    </font>
  </fonts>
  <fills count="12">
    <fill>
      <patternFill patternType="none"/>
    </fill>
    <fill>
      <patternFill patternType="gray125"/>
    </fill>
    <fill>
      <patternFill patternType="solid">
        <fgColor theme="0" tint="-0.34998626667073579"/>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0"/>
        <bgColor indexed="64"/>
      </patternFill>
    </fill>
    <fill>
      <patternFill patternType="solid">
        <fgColor theme="0" tint="-4.9989318521683403E-2"/>
        <bgColor indexed="64"/>
      </patternFill>
    </fill>
    <fill>
      <patternFill patternType="solid">
        <fgColor rgb="FF0070C0"/>
        <bgColor indexed="64"/>
      </patternFill>
    </fill>
    <fill>
      <patternFill patternType="solid">
        <fgColor theme="0" tint="-0.14999847407452621"/>
        <bgColor theme="0" tint="-0.14999847407452621"/>
      </patternFill>
    </fill>
    <fill>
      <patternFill patternType="solid">
        <fgColor theme="0" tint="-0.14999847407452621"/>
        <bgColor rgb="FFD8D8D8"/>
      </patternFill>
    </fill>
  </fills>
  <borders count="33">
    <border>
      <left/>
      <right/>
      <top/>
      <bottom/>
      <diagonal/>
    </border>
    <border>
      <left/>
      <right style="thin">
        <color auto="1"/>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thin">
        <color theme="1"/>
      </top>
      <bottom style="thin">
        <color theme="1"/>
      </bottom>
      <diagonal/>
    </border>
    <border>
      <left/>
      <right style="thin">
        <color auto="1"/>
      </right>
      <top style="thin">
        <color theme="1"/>
      </top>
      <bottom style="thin">
        <color theme="1"/>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dotted">
        <color auto="1"/>
      </right>
      <top/>
      <bottom style="thin">
        <color indexed="64"/>
      </bottom>
      <diagonal/>
    </border>
    <border>
      <left style="dotted">
        <color auto="1"/>
      </left>
      <right style="dotted">
        <color auto="1"/>
      </right>
      <top/>
      <bottom style="thin">
        <color indexed="64"/>
      </bottom>
      <diagonal/>
    </border>
    <border>
      <left style="dotted">
        <color auto="1"/>
      </left>
      <right style="dotted">
        <color auto="1"/>
      </right>
      <top style="dotted">
        <color auto="1"/>
      </top>
      <bottom style="thin">
        <color indexed="64"/>
      </bottom>
      <diagonal/>
    </border>
    <border>
      <left style="dotted">
        <color auto="1"/>
      </left>
      <right style="thin">
        <color indexed="64"/>
      </right>
      <top style="dotted">
        <color auto="1"/>
      </top>
      <bottom style="thin">
        <color indexed="64"/>
      </bottom>
      <diagonal/>
    </border>
    <border>
      <left/>
      <right style="dotted">
        <color auto="1"/>
      </right>
      <top style="thin">
        <color indexed="64"/>
      </top>
      <bottom style="thin">
        <color indexed="64"/>
      </bottom>
      <diagonal/>
    </border>
    <border>
      <left style="dotted">
        <color auto="1"/>
      </left>
      <right style="thin">
        <color indexed="64"/>
      </right>
      <top style="thin">
        <color indexed="64"/>
      </top>
      <bottom style="thin">
        <color indexed="64"/>
      </bottom>
      <diagonal/>
    </border>
    <border>
      <left style="thin">
        <color auto="1"/>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9" fontId="10" fillId="0" borderId="0" applyFont="0" applyFill="0" applyBorder="0" applyAlignment="0" applyProtection="0"/>
    <xf numFmtId="0" fontId="11" fillId="0" borderId="0" applyNumberFormat="0" applyFill="0" applyBorder="0" applyAlignment="0" applyProtection="0"/>
  </cellStyleXfs>
  <cellXfs count="280">
    <xf numFmtId="0" fontId="0" fillId="0" borderId="0" xfId="0"/>
    <xf numFmtId="0" fontId="0" fillId="0" borderId="0" xfId="0" applyAlignment="1">
      <alignment wrapText="1"/>
    </xf>
    <xf numFmtId="0" fontId="1" fillId="2" borderId="0" xfId="0" applyFont="1" applyFill="1" applyAlignment="1">
      <alignment wrapText="1"/>
    </xf>
    <xf numFmtId="0" fontId="1" fillId="3" borderId="0" xfId="0" applyFont="1" applyFill="1" applyAlignment="1">
      <alignment wrapText="1"/>
    </xf>
    <xf numFmtId="0" fontId="2" fillId="2" borderId="0" xfId="0" applyFont="1" applyFill="1" applyAlignment="1">
      <alignment wrapText="1"/>
    </xf>
    <xf numFmtId="0" fontId="2" fillId="3" borderId="0" xfId="0" applyFont="1" applyFill="1" applyAlignment="1">
      <alignment wrapText="1"/>
    </xf>
    <xf numFmtId="0" fontId="2" fillId="0" borderId="0" xfId="0" applyFont="1" applyAlignment="1">
      <alignment wrapText="1"/>
    </xf>
    <xf numFmtId="0" fontId="1" fillId="2" borderId="0" xfId="0" applyFont="1" applyFill="1"/>
    <xf numFmtId="0" fontId="1" fillId="2" borderId="0" xfId="0" applyFont="1" applyFill="1" applyAlignment="1">
      <alignment horizontal="left"/>
    </xf>
    <xf numFmtId="0" fontId="1" fillId="3" borderId="0" xfId="0" applyFont="1" applyFill="1" applyAlignment="1">
      <alignment horizontal="left"/>
    </xf>
    <xf numFmtId="14" fontId="0" fillId="0" borderId="0" xfId="0" applyNumberFormat="1" applyAlignment="1">
      <alignment wrapText="1"/>
    </xf>
    <xf numFmtId="14" fontId="0" fillId="0" borderId="0" xfId="0" applyNumberFormat="1"/>
    <xf numFmtId="14" fontId="1" fillId="3" borderId="0" xfId="0" applyNumberFormat="1" applyFont="1" applyFill="1" applyAlignment="1">
      <alignment wrapText="1"/>
    </xf>
    <xf numFmtId="164" fontId="0" fillId="0" borderId="0" xfId="0" applyNumberFormat="1" applyAlignment="1">
      <alignment wrapText="1"/>
    </xf>
    <xf numFmtId="164" fontId="1" fillId="3" borderId="0" xfId="0" applyNumberFormat="1" applyFont="1" applyFill="1" applyAlignment="1">
      <alignment wrapText="1"/>
    </xf>
    <xf numFmtId="0" fontId="0" fillId="0" borderId="1" xfId="0" applyBorder="1" applyAlignment="1">
      <alignment wrapText="1"/>
    </xf>
    <xf numFmtId="0" fontId="1" fillId="3" borderId="1" xfId="0" applyFont="1" applyFill="1" applyBorder="1" applyAlignment="1">
      <alignment wrapText="1"/>
    </xf>
    <xf numFmtId="0" fontId="2" fillId="2" borderId="1" xfId="0" applyFont="1" applyFill="1" applyBorder="1" applyAlignment="1">
      <alignment wrapText="1"/>
    </xf>
    <xf numFmtId="0" fontId="2" fillId="3" borderId="1" xfId="0" applyFont="1" applyFill="1" applyBorder="1" applyAlignment="1">
      <alignment wrapText="1"/>
    </xf>
    <xf numFmtId="0" fontId="2" fillId="0" borderId="0" xfId="0" applyFont="1"/>
    <xf numFmtId="0" fontId="2" fillId="0" borderId="2" xfId="0" applyFont="1" applyBorder="1"/>
    <xf numFmtId="0" fontId="0" fillId="4" borderId="5" xfId="0" applyFill="1" applyBorder="1" applyAlignment="1">
      <alignment horizontal="right"/>
    </xf>
    <xf numFmtId="0" fontId="0" fillId="0" borderId="5" xfId="0" applyBorder="1" applyAlignment="1">
      <alignment horizontal="right"/>
    </xf>
    <xf numFmtId="0" fontId="2" fillId="0" borderId="2" xfId="0" applyFont="1" applyBorder="1" applyAlignment="1">
      <alignment horizontal="left"/>
    </xf>
    <xf numFmtId="0" fontId="2" fillId="0" borderId="9" xfId="0" applyFont="1" applyBorder="1" applyAlignment="1">
      <alignment wrapText="1"/>
    </xf>
    <xf numFmtId="0" fontId="2" fillId="0" borderId="10" xfId="0" applyFont="1" applyBorder="1" applyAlignment="1">
      <alignment horizontal="center" wrapText="1"/>
    </xf>
    <xf numFmtId="0" fontId="2" fillId="0" borderId="10" xfId="0" applyFont="1" applyBorder="1" applyAlignment="1">
      <alignment wrapText="1"/>
    </xf>
    <xf numFmtId="0" fontId="0" fillId="0" borderId="0" xfId="0" applyAlignment="1">
      <alignment horizontal="center"/>
    </xf>
    <xf numFmtId="0" fontId="0" fillId="0" borderId="1" xfId="0" applyBorder="1"/>
    <xf numFmtId="14" fontId="0" fillId="0" borderId="1" xfId="0" applyNumberFormat="1" applyBorder="1" applyAlignment="1">
      <alignment wrapText="1"/>
    </xf>
    <xf numFmtId="14" fontId="1" fillId="3" borderId="1" xfId="0" applyNumberFormat="1" applyFont="1" applyFill="1" applyBorder="1" applyAlignment="1">
      <alignment wrapText="1"/>
    </xf>
    <xf numFmtId="0" fontId="0" fillId="5" borderId="11" xfId="0" applyFill="1" applyBorder="1" applyAlignment="1">
      <alignment wrapText="1"/>
    </xf>
    <xf numFmtId="14" fontId="2" fillId="0" borderId="8" xfId="0" applyNumberFormat="1" applyFont="1" applyBorder="1" applyAlignment="1">
      <alignment wrapText="1"/>
    </xf>
    <xf numFmtId="14" fontId="1" fillId="0" borderId="0" xfId="0" applyNumberFormat="1" applyFont="1" applyAlignment="1">
      <alignment wrapText="1"/>
    </xf>
    <xf numFmtId="0" fontId="5" fillId="4" borderId="0" xfId="0" applyFont="1" applyFill="1"/>
    <xf numFmtId="0" fontId="0" fillId="4" borderId="0" xfId="0" applyFill="1"/>
    <xf numFmtId="0" fontId="7" fillId="4" borderId="0" xfId="0" applyFont="1" applyFill="1"/>
    <xf numFmtId="0" fontId="6" fillId="0" borderId="0" xfId="0" applyFont="1"/>
    <xf numFmtId="0" fontId="6" fillId="0" borderId="15" xfId="0" applyFont="1" applyBorder="1"/>
    <xf numFmtId="0" fontId="0" fillId="0" borderId="16" xfId="0" applyBorder="1"/>
    <xf numFmtId="0" fontId="6" fillId="0" borderId="7" xfId="0" applyFont="1" applyBorder="1"/>
    <xf numFmtId="0" fontId="6" fillId="0" borderId="13" xfId="0" applyFont="1" applyBorder="1"/>
    <xf numFmtId="0" fontId="6" fillId="0" borderId="6" xfId="0" applyFont="1" applyBorder="1"/>
    <xf numFmtId="0" fontId="8" fillId="0" borderId="12" xfId="0" applyFont="1" applyBorder="1"/>
    <xf numFmtId="0" fontId="6" fillId="0" borderId="5" xfId="0" applyFont="1" applyBorder="1"/>
    <xf numFmtId="0" fontId="2" fillId="0" borderId="17" xfId="0" applyFont="1" applyBorder="1" applyAlignment="1">
      <alignment horizontal="center"/>
    </xf>
    <xf numFmtId="0" fontId="2" fillId="0" borderId="15" xfId="0" applyFont="1" applyBorder="1" applyAlignment="1">
      <alignment horizontal="right"/>
    </xf>
    <xf numFmtId="14" fontId="0" fillId="0" borderId="17" xfId="0" applyNumberFormat="1" applyBorder="1" applyAlignment="1">
      <alignment horizontal="center"/>
    </xf>
    <xf numFmtId="0" fontId="8" fillId="0" borderId="0" xfId="0" applyFont="1"/>
    <xf numFmtId="0" fontId="0" fillId="0" borderId="14" xfId="0" applyBorder="1"/>
    <xf numFmtId="0" fontId="0" fillId="0" borderId="8" xfId="0" applyBorder="1"/>
    <xf numFmtId="0" fontId="0" fillId="0" borderId="7" xfId="0" applyBorder="1"/>
    <xf numFmtId="0" fontId="2" fillId="6" borderId="0" xfId="0" applyFont="1" applyFill="1"/>
    <xf numFmtId="0" fontId="5" fillId="0" borderId="0" xfId="0" applyFont="1"/>
    <xf numFmtId="0" fontId="2" fillId="0" borderId="0" xfId="0" applyFont="1" applyAlignment="1">
      <alignment horizontal="right"/>
    </xf>
    <xf numFmtId="14" fontId="0" fillId="0" borderId="11" xfId="0" applyNumberFormat="1" applyBorder="1" applyAlignment="1">
      <alignment horizontal="center"/>
    </xf>
    <xf numFmtId="0" fontId="0" fillId="0" borderId="11" xfId="0" applyBorder="1" applyAlignment="1">
      <alignment horizontal="center"/>
    </xf>
    <xf numFmtId="0" fontId="2" fillId="0" borderId="18" xfId="0" applyFont="1" applyBorder="1" applyAlignment="1">
      <alignment horizontal="right"/>
    </xf>
    <xf numFmtId="14" fontId="0" fillId="0" borderId="20" xfId="0" applyNumberFormat="1" applyBorder="1" applyAlignment="1">
      <alignment horizontal="center"/>
    </xf>
    <xf numFmtId="0" fontId="2" fillId="0" borderId="22" xfId="0" applyFont="1" applyBorder="1" applyAlignment="1">
      <alignment horizontal="right"/>
    </xf>
    <xf numFmtId="0" fontId="0" fillId="0" borderId="23" xfId="0" applyBorder="1" applyAlignment="1">
      <alignment horizontal="center"/>
    </xf>
    <xf numFmtId="1" fontId="0" fillId="0" borderId="19" xfId="0" applyNumberFormat="1" applyBorder="1" applyAlignment="1">
      <alignment horizontal="center"/>
    </xf>
    <xf numFmtId="0" fontId="0" fillId="0" borderId="21" xfId="0" applyBorder="1" applyAlignment="1">
      <alignment horizontal="center" wrapText="1"/>
    </xf>
    <xf numFmtId="0" fontId="0" fillId="0" borderId="0" xfId="0" applyAlignment="1">
      <alignment horizontal="left" vertical="top" wrapText="1"/>
    </xf>
    <xf numFmtId="0" fontId="0" fillId="0" borderId="1" xfId="0" applyBorder="1" applyAlignment="1">
      <alignment horizontal="left" wrapText="1"/>
    </xf>
    <xf numFmtId="0" fontId="2" fillId="2" borderId="0" xfId="0" applyFont="1" applyFill="1" applyAlignment="1">
      <alignment horizontal="left" vertical="top" wrapText="1"/>
    </xf>
    <xf numFmtId="0" fontId="2" fillId="2" borderId="1" xfId="0" applyFont="1" applyFill="1" applyBorder="1" applyAlignment="1">
      <alignment horizontal="left" vertical="top" wrapText="1"/>
    </xf>
    <xf numFmtId="14" fontId="0" fillId="0" borderId="0" xfId="0" applyNumberFormat="1" applyAlignment="1">
      <alignment horizontal="left" vertical="top" wrapText="1"/>
    </xf>
    <xf numFmtId="164" fontId="0" fillId="0" borderId="0" xfId="0" applyNumberFormat="1" applyAlignment="1">
      <alignment horizontal="left" vertical="top" wrapText="1"/>
    </xf>
    <xf numFmtId="14" fontId="0" fillId="0" borderId="1" xfId="0" applyNumberFormat="1" applyBorder="1" applyAlignment="1">
      <alignment horizontal="left" vertical="top" wrapText="1"/>
    </xf>
    <xf numFmtId="14" fontId="1" fillId="3" borderId="0" xfId="0" applyNumberFormat="1" applyFont="1" applyFill="1" applyAlignment="1">
      <alignment horizontal="left" vertical="top" wrapText="1"/>
    </xf>
    <xf numFmtId="0" fontId="1" fillId="3" borderId="0" xfId="0" applyFont="1" applyFill="1" applyAlignment="1">
      <alignment horizontal="left" vertical="top" wrapText="1"/>
    </xf>
    <xf numFmtId="164" fontId="1" fillId="3" borderId="0" xfId="0" applyNumberFormat="1" applyFont="1" applyFill="1" applyAlignment="1">
      <alignment horizontal="left" vertical="top" wrapText="1"/>
    </xf>
    <xf numFmtId="0" fontId="1" fillId="3" borderId="1" xfId="0" applyFont="1" applyFill="1" applyBorder="1" applyAlignment="1">
      <alignment horizontal="left" vertical="top" wrapText="1"/>
    </xf>
    <xf numFmtId="0" fontId="1" fillId="2" borderId="0" xfId="0" applyFont="1" applyFill="1" applyAlignment="1">
      <alignment horizontal="left" vertical="top" wrapText="1"/>
    </xf>
    <xf numFmtId="0" fontId="2" fillId="3" borderId="0" xfId="0" applyFont="1" applyFill="1" applyAlignment="1">
      <alignment horizontal="left" vertical="top" wrapText="1"/>
    </xf>
    <xf numFmtId="14" fontId="1" fillId="3" borderId="1" xfId="0" applyNumberFormat="1" applyFont="1" applyFill="1" applyBorder="1" applyAlignment="1">
      <alignment horizontal="left" vertical="top" wrapText="1"/>
    </xf>
    <xf numFmtId="0" fontId="2" fillId="3" borderId="1" xfId="0" applyFont="1" applyFill="1" applyBorder="1" applyAlignment="1">
      <alignment horizontal="left" vertical="top" wrapText="1"/>
    </xf>
    <xf numFmtId="0" fontId="2" fillId="0" borderId="0" xfId="0" applyFont="1" applyAlignment="1">
      <alignment horizontal="left" vertical="top" wrapText="1"/>
    </xf>
    <xf numFmtId="164" fontId="1" fillId="0" borderId="0" xfId="0" applyNumberFormat="1" applyFont="1" applyAlignment="1">
      <alignment horizontal="left" vertical="top" wrapText="1"/>
    </xf>
    <xf numFmtId="0" fontId="0" fillId="0" borderId="0" xfId="0" applyAlignment="1">
      <alignment horizontal="left" vertical="top"/>
    </xf>
    <xf numFmtId="14" fontId="0" fillId="0" borderId="0" xfId="0" applyNumberFormat="1" applyAlignment="1">
      <alignment horizontal="left" wrapText="1"/>
    </xf>
    <xf numFmtId="164" fontId="0" fillId="0" borderId="0" xfId="0" applyNumberFormat="1" applyAlignment="1">
      <alignment horizontal="left" wrapText="1"/>
    </xf>
    <xf numFmtId="14" fontId="0" fillId="0" borderId="1" xfId="0" applyNumberFormat="1" applyBorder="1" applyAlignment="1">
      <alignment horizontal="left" wrapText="1"/>
    </xf>
    <xf numFmtId="165" fontId="1" fillId="0" borderId="1" xfId="0" applyNumberFormat="1" applyFont="1" applyBorder="1" applyAlignment="1">
      <alignment horizontal="center" vertical="top" wrapText="1"/>
    </xf>
    <xf numFmtId="165" fontId="2" fillId="0" borderId="8" xfId="0" applyNumberFormat="1" applyFont="1" applyBorder="1" applyAlignment="1">
      <alignment horizontal="center" wrapText="1"/>
    </xf>
    <xf numFmtId="1" fontId="0" fillId="2" borderId="11" xfId="0" applyNumberFormat="1" applyFill="1" applyBorder="1" applyAlignment="1">
      <alignment horizontal="center" vertical="top" wrapText="1"/>
    </xf>
    <xf numFmtId="1" fontId="0" fillId="2" borderId="17" xfId="0" applyNumberFormat="1" applyFill="1" applyBorder="1" applyAlignment="1">
      <alignment horizontal="center" vertical="top" wrapText="1"/>
    </xf>
    <xf numFmtId="165" fontId="0" fillId="2" borderId="0" xfId="0" applyNumberFormat="1" applyFill="1" applyAlignment="1">
      <alignment horizontal="center" vertical="top" wrapText="1"/>
    </xf>
    <xf numFmtId="0" fontId="2" fillId="0" borderId="0" xfId="0" applyFont="1" applyAlignment="1">
      <alignment horizontal="center" wrapText="1"/>
    </xf>
    <xf numFmtId="0" fontId="3" fillId="0" borderId="0" xfId="0" applyFont="1" applyAlignment="1">
      <alignment wrapText="1"/>
    </xf>
    <xf numFmtId="49" fontId="0" fillId="0" borderId="0" xfId="0" applyNumberFormat="1" applyAlignment="1">
      <alignment horizontal="left" vertical="top" wrapText="1"/>
    </xf>
    <xf numFmtId="49" fontId="0" fillId="0" borderId="0" xfId="0" applyNumberFormat="1" applyAlignment="1">
      <alignment horizontal="left" wrapText="1"/>
    </xf>
    <xf numFmtId="0" fontId="0" fillId="0" borderId="0" xfId="0" applyAlignment="1">
      <alignment horizontal="center" vertical="center"/>
    </xf>
    <xf numFmtId="0" fontId="2" fillId="0" borderId="0" xfId="0" applyFont="1" applyAlignment="1">
      <alignment horizontal="center" vertical="center" wrapText="1"/>
    </xf>
    <xf numFmtId="0" fontId="2" fillId="2" borderId="6" xfId="0" applyFont="1" applyFill="1" applyBorder="1" applyAlignment="1">
      <alignment horizontal="right"/>
    </xf>
    <xf numFmtId="0" fontId="2" fillId="2" borderId="7" xfId="0" applyFont="1" applyFill="1" applyBorder="1"/>
    <xf numFmtId="165" fontId="0" fillId="0" borderId="0" xfId="0" applyNumberFormat="1" applyAlignment="1">
      <alignment horizontal="center" vertical="top" wrapText="1"/>
    </xf>
    <xf numFmtId="0" fontId="0" fillId="0" borderId="0" xfId="0" pivotButton="1" applyAlignment="1">
      <alignment horizontal="left" vertical="top" wrapText="1"/>
    </xf>
    <xf numFmtId="0" fontId="2" fillId="0" borderId="0" xfId="0" applyFont="1" applyAlignment="1">
      <alignment horizontal="left" vertical="top"/>
    </xf>
    <xf numFmtId="0" fontId="0" fillId="0" borderId="11" xfId="0" applyBorder="1"/>
    <xf numFmtId="14" fontId="2" fillId="0" borderId="0" xfId="0" applyNumberFormat="1" applyFont="1" applyAlignment="1">
      <alignment wrapText="1"/>
    </xf>
    <xf numFmtId="0" fontId="0" fillId="0" borderId="0" xfId="0" applyAlignment="1">
      <alignment horizontal="left" wrapText="1"/>
    </xf>
    <xf numFmtId="0" fontId="0" fillId="0" borderId="24" xfId="0" applyBorder="1" applyAlignment="1">
      <alignment horizontal="left" vertical="top" wrapText="1"/>
    </xf>
    <xf numFmtId="0" fontId="2" fillId="3" borderId="24" xfId="0" applyFont="1" applyFill="1" applyBorder="1" applyAlignment="1">
      <alignment horizontal="left" vertical="top" wrapText="1"/>
    </xf>
    <xf numFmtId="14" fontId="2" fillId="0" borderId="24" xfId="0" applyNumberFormat="1" applyFont="1" applyBorder="1" applyAlignment="1">
      <alignment wrapText="1"/>
    </xf>
    <xf numFmtId="0" fontId="0" fillId="0" borderId="24" xfId="0" applyBorder="1"/>
    <xf numFmtId="0" fontId="0" fillId="0" borderId="24" xfId="0" applyBorder="1" applyAlignment="1">
      <alignment wrapText="1"/>
    </xf>
    <xf numFmtId="0" fontId="2" fillId="3" borderId="24" xfId="0" applyFont="1" applyFill="1" applyBorder="1" applyAlignment="1">
      <alignment wrapText="1"/>
    </xf>
    <xf numFmtId="1" fontId="2" fillId="0" borderId="4" xfId="0" applyNumberFormat="1" applyFont="1" applyBorder="1" applyAlignment="1">
      <alignment horizontal="center"/>
    </xf>
    <xf numFmtId="1" fontId="2" fillId="4" borderId="1" xfId="0" applyNumberFormat="1" applyFont="1" applyFill="1" applyBorder="1" applyAlignment="1">
      <alignment horizontal="center"/>
    </xf>
    <xf numFmtId="1" fontId="2" fillId="0" borderId="1" xfId="0" applyNumberFormat="1" applyFont="1" applyBorder="1" applyAlignment="1">
      <alignment horizontal="center"/>
    </xf>
    <xf numFmtId="1" fontId="2" fillId="2" borderId="8" xfId="0" applyNumberFormat="1" applyFont="1" applyFill="1" applyBorder="1" applyAlignment="1">
      <alignment horizontal="center"/>
    </xf>
    <xf numFmtId="0" fontId="0" fillId="0" borderId="3" xfId="0" applyBorder="1" applyAlignment="1">
      <alignment horizontal="center"/>
    </xf>
    <xf numFmtId="1" fontId="0" fillId="4" borderId="0" xfId="0" applyNumberFormat="1" applyFill="1" applyAlignment="1">
      <alignment horizontal="center"/>
    </xf>
    <xf numFmtId="0" fontId="0" fillId="4" borderId="0" xfId="0" applyFill="1" applyAlignment="1">
      <alignment horizontal="center"/>
    </xf>
    <xf numFmtId="1" fontId="0" fillId="2" borderId="7" xfId="0" applyNumberFormat="1" applyFill="1" applyBorder="1" applyAlignment="1">
      <alignment horizontal="center"/>
    </xf>
    <xf numFmtId="1" fontId="0" fillId="0" borderId="0" xfId="0" applyNumberFormat="1" applyAlignment="1">
      <alignment horizontal="center"/>
    </xf>
    <xf numFmtId="0" fontId="0" fillId="0" borderId="11" xfId="0" applyBorder="1" applyAlignment="1">
      <alignment wrapText="1"/>
    </xf>
    <xf numFmtId="0" fontId="0" fillId="4" borderId="11" xfId="0" applyFill="1" applyBorder="1"/>
    <xf numFmtId="0" fontId="0" fillId="8" borderId="11" xfId="0" applyFill="1" applyBorder="1"/>
    <xf numFmtId="0" fontId="0" fillId="8" borderId="11" xfId="0" applyFill="1" applyBorder="1" applyAlignment="1">
      <alignment wrapText="1"/>
    </xf>
    <xf numFmtId="0" fontId="0" fillId="7" borderId="11" xfId="0" applyFill="1" applyBorder="1" applyAlignment="1">
      <alignment wrapText="1"/>
    </xf>
    <xf numFmtId="0" fontId="9" fillId="0" borderId="0" xfId="0" applyFont="1"/>
    <xf numFmtId="0" fontId="0" fillId="0" borderId="5" xfId="0" applyBorder="1" applyAlignment="1">
      <alignment horizontal="left" wrapText="1"/>
    </xf>
    <xf numFmtId="2" fontId="2" fillId="0" borderId="0" xfId="0" applyNumberFormat="1" applyFont="1" applyAlignment="1">
      <alignment horizontal="center" wrapText="1"/>
    </xf>
    <xf numFmtId="2" fontId="0" fillId="0" borderId="0" xfId="0" applyNumberFormat="1" applyAlignment="1">
      <alignment horizontal="center"/>
    </xf>
    <xf numFmtId="49" fontId="0" fillId="0" borderId="0" xfId="0" applyNumberFormat="1" applyAlignment="1">
      <alignment horizontal="center" vertical="top" wrapText="1"/>
    </xf>
    <xf numFmtId="18" fontId="0" fillId="0" borderId="0" xfId="0" applyNumberFormat="1"/>
    <xf numFmtId="0" fontId="2" fillId="0" borderId="0" xfId="0" applyFont="1" applyAlignment="1">
      <alignment horizontal="center"/>
    </xf>
    <xf numFmtId="0" fontId="0" fillId="5" borderId="0" xfId="0" applyFill="1"/>
    <xf numFmtId="0" fontId="2" fillId="5" borderId="0" xfId="0" applyFont="1" applyFill="1" applyAlignment="1">
      <alignment wrapText="1"/>
    </xf>
    <xf numFmtId="0" fontId="2" fillId="0" borderId="0" xfId="0" applyFont="1" applyAlignment="1">
      <alignment horizontal="center" vertical="center"/>
    </xf>
    <xf numFmtId="0" fontId="2" fillId="0" borderId="9" xfId="0" applyFont="1" applyBorder="1" applyAlignment="1">
      <alignment horizontal="center" vertical="top" wrapText="1"/>
    </xf>
    <xf numFmtId="2" fontId="2" fillId="0" borderId="9" xfId="0" applyNumberFormat="1" applyFont="1" applyBorder="1" applyAlignment="1">
      <alignment horizontal="center" vertical="top" wrapText="1"/>
    </xf>
    <xf numFmtId="1" fontId="2" fillId="0" borderId="0" xfId="0" applyNumberFormat="1" applyFont="1" applyAlignment="1">
      <alignment horizontal="center"/>
    </xf>
    <xf numFmtId="0" fontId="2" fillId="0" borderId="0" xfId="0" applyFont="1" applyAlignment="1">
      <alignment vertical="top" wrapText="1"/>
    </xf>
    <xf numFmtId="0" fontId="0" fillId="5" borderId="0" xfId="0" applyFill="1" applyAlignment="1">
      <alignment horizontal="center"/>
    </xf>
    <xf numFmtId="0" fontId="0" fillId="8" borderId="11" xfId="0" applyFill="1" applyBorder="1" applyAlignment="1">
      <alignment horizontal="center" wrapText="1"/>
    </xf>
    <xf numFmtId="0" fontId="0" fillId="0" borderId="11" xfId="0" applyBorder="1" applyAlignment="1">
      <alignment horizontal="center" wrapText="1"/>
    </xf>
    <xf numFmtId="0" fontId="0" fillId="8" borderId="11" xfId="0" applyFill="1" applyBorder="1" applyAlignment="1">
      <alignment horizontal="center"/>
    </xf>
    <xf numFmtId="9" fontId="0" fillId="8" borderId="11" xfId="1" applyFont="1" applyFill="1" applyBorder="1" applyAlignment="1">
      <alignment horizontal="center"/>
    </xf>
    <xf numFmtId="0" fontId="0" fillId="4" borderId="11" xfId="0" applyFill="1" applyBorder="1" applyAlignment="1">
      <alignment horizontal="center"/>
    </xf>
    <xf numFmtId="9" fontId="0" fillId="4" borderId="11" xfId="1" applyFont="1" applyFill="1" applyBorder="1" applyAlignment="1">
      <alignment horizontal="center"/>
    </xf>
    <xf numFmtId="9" fontId="0" fillId="0" borderId="11" xfId="1" applyFont="1" applyFill="1" applyBorder="1" applyAlignment="1">
      <alignment horizontal="center"/>
    </xf>
    <xf numFmtId="0" fontId="0" fillId="9" borderId="0" xfId="0" applyFill="1"/>
    <xf numFmtId="0" fontId="0" fillId="9" borderId="0" xfId="0" applyFill="1" applyAlignment="1">
      <alignment horizontal="center"/>
    </xf>
    <xf numFmtId="0" fontId="0" fillId="9" borderId="0" xfId="0" applyFill="1" applyAlignment="1">
      <alignment horizontal="right"/>
    </xf>
    <xf numFmtId="1" fontId="0" fillId="9" borderId="0" xfId="0" applyNumberFormat="1" applyFill="1" applyAlignment="1">
      <alignment horizontal="center"/>
    </xf>
    <xf numFmtId="1" fontId="2" fillId="9" borderId="0" xfId="0" applyNumberFormat="1" applyFont="1" applyFill="1" applyAlignment="1">
      <alignment horizontal="center"/>
    </xf>
    <xf numFmtId="0" fontId="0" fillId="9" borderId="5" xfId="0" applyFill="1" applyBorder="1" applyAlignment="1">
      <alignment horizontal="right"/>
    </xf>
    <xf numFmtId="1" fontId="2" fillId="9" borderId="1" xfId="0" applyNumberFormat="1" applyFont="1" applyFill="1" applyBorder="1" applyAlignment="1">
      <alignment horizontal="center"/>
    </xf>
    <xf numFmtId="0" fontId="0" fillId="0" borderId="0" xfId="0" applyAlignment="1">
      <alignment vertical="top" wrapText="1"/>
    </xf>
    <xf numFmtId="0" fontId="0" fillId="7" borderId="11" xfId="0" applyFill="1" applyBorder="1" applyAlignment="1">
      <alignment horizontal="center" vertical="center" wrapText="1"/>
    </xf>
    <xf numFmtId="0" fontId="0" fillId="0" borderId="11" xfId="0" applyBorder="1" applyAlignment="1">
      <alignment horizontal="center" vertical="center"/>
    </xf>
    <xf numFmtId="0" fontId="0" fillId="4" borderId="11" xfId="0" applyFill="1" applyBorder="1" applyAlignment="1">
      <alignment horizontal="center" vertical="center"/>
    </xf>
    <xf numFmtId="0" fontId="2" fillId="6" borderId="12" xfId="0" applyFont="1" applyFill="1" applyBorder="1"/>
    <xf numFmtId="0" fontId="0" fillId="6" borderId="13" xfId="0" applyFill="1" applyBorder="1"/>
    <xf numFmtId="0" fontId="0" fillId="6" borderId="14" xfId="0" applyFill="1" applyBorder="1"/>
    <xf numFmtId="0" fontId="0" fillId="6" borderId="0" xfId="0" applyFill="1"/>
    <xf numFmtId="0" fontId="0" fillId="6" borderId="1" xfId="0" applyFill="1" applyBorder="1"/>
    <xf numFmtId="0" fontId="0" fillId="6" borderId="7" xfId="0" applyFill="1" applyBorder="1"/>
    <xf numFmtId="0" fontId="0" fillId="6" borderId="8" xfId="0" applyFill="1" applyBorder="1"/>
    <xf numFmtId="0" fontId="0" fillId="6" borderId="13" xfId="0" applyFill="1" applyBorder="1" applyAlignment="1">
      <alignment horizontal="center" vertical="center"/>
    </xf>
    <xf numFmtId="0" fontId="0" fillId="4" borderId="0" xfId="0" applyFill="1" applyAlignment="1">
      <alignment horizontal="center" vertical="center"/>
    </xf>
    <xf numFmtId="0" fontId="12" fillId="0" borderId="0" xfId="2" applyFont="1" applyAlignment="1"/>
    <xf numFmtId="0" fontId="11" fillId="6" borderId="5" xfId="2" applyFill="1" applyBorder="1"/>
    <xf numFmtId="0" fontId="11" fillId="6" borderId="6" xfId="2" applyFill="1" applyBorder="1"/>
    <xf numFmtId="0" fontId="11" fillId="6" borderId="0" xfId="2" applyFill="1" applyBorder="1" applyAlignment="1">
      <alignment horizontal="left" vertical="center"/>
    </xf>
    <xf numFmtId="0" fontId="11" fillId="6" borderId="7" xfId="2" applyFill="1" applyBorder="1" applyAlignment="1">
      <alignment horizontal="left" vertical="center"/>
    </xf>
    <xf numFmtId="0" fontId="11" fillId="6" borderId="0" xfId="2" applyFill="1" applyBorder="1"/>
    <xf numFmtId="0" fontId="0" fillId="3" borderId="0" xfId="0" applyFill="1"/>
    <xf numFmtId="0" fontId="0" fillId="3" borderId="0" xfId="0" applyFill="1" applyAlignment="1">
      <alignment horizontal="center"/>
    </xf>
    <xf numFmtId="0" fontId="2" fillId="3" borderId="0" xfId="0" applyFont="1" applyFill="1" applyAlignment="1">
      <alignment vertical="top" wrapText="1"/>
    </xf>
    <xf numFmtId="0" fontId="2" fillId="0" borderId="0" xfId="0" applyFont="1" applyAlignment="1">
      <alignment horizontal="center" vertical="top" wrapText="1"/>
    </xf>
    <xf numFmtId="0" fontId="2" fillId="0" borderId="0" xfId="0" applyFont="1" applyAlignment="1">
      <alignment horizontal="center" vertical="top"/>
    </xf>
    <xf numFmtId="0" fontId="2" fillId="0" borderId="11" xfId="0" applyFont="1" applyBorder="1"/>
    <xf numFmtId="0" fontId="2" fillId="8" borderId="11" xfId="0" applyFont="1" applyFill="1" applyBorder="1" applyAlignment="1">
      <alignment horizontal="center"/>
    </xf>
    <xf numFmtId="9" fontId="2" fillId="8" borderId="11" xfId="1" applyFont="1" applyFill="1" applyBorder="1" applyAlignment="1">
      <alignment horizontal="center"/>
    </xf>
    <xf numFmtId="0" fontId="2" fillId="0" borderId="11" xfId="0" applyFont="1" applyBorder="1" applyAlignment="1">
      <alignment horizontal="center" vertical="center"/>
    </xf>
    <xf numFmtId="0" fontId="2" fillId="0" borderId="11" xfId="0" applyFont="1" applyBorder="1" applyAlignment="1">
      <alignment horizontal="center"/>
    </xf>
    <xf numFmtId="9" fontId="2" fillId="0" borderId="11" xfId="1" applyFont="1" applyFill="1" applyBorder="1" applyAlignment="1">
      <alignment horizontal="center"/>
    </xf>
    <xf numFmtId="0" fontId="2" fillId="8" borderId="11" xfId="0" applyFont="1" applyFill="1" applyBorder="1"/>
    <xf numFmtId="9" fontId="0" fillId="0" borderId="0" xfId="0" applyNumberFormat="1"/>
    <xf numFmtId="1" fontId="0" fillId="4" borderId="0" xfId="0" applyNumberFormat="1" applyFill="1"/>
    <xf numFmtId="0" fontId="4" fillId="0" borderId="7" xfId="0" applyFont="1" applyBorder="1"/>
    <xf numFmtId="0" fontId="0" fillId="0" borderId="0" xfId="0" applyAlignment="1">
      <alignment vertical="center" wrapText="1"/>
    </xf>
    <xf numFmtId="9" fontId="0" fillId="0" borderId="0" xfId="0" applyNumberFormat="1" applyAlignment="1">
      <alignment vertical="center"/>
    </xf>
    <xf numFmtId="0" fontId="0" fillId="0" borderId="0" xfId="0" applyAlignment="1">
      <alignment vertical="center"/>
    </xf>
    <xf numFmtId="0" fontId="13" fillId="0" borderId="16" xfId="0" applyFont="1" applyBorder="1" applyAlignment="1">
      <alignment horizontal="center"/>
    </xf>
    <xf numFmtId="0" fontId="13" fillId="0" borderId="24" xfId="0" applyFont="1" applyBorder="1" applyAlignment="1">
      <alignment horizontal="center"/>
    </xf>
    <xf numFmtId="0" fontId="14" fillId="11" borderId="0" xfId="0" applyFont="1" applyFill="1" applyAlignment="1">
      <alignment horizontal="center"/>
    </xf>
    <xf numFmtId="1" fontId="14" fillId="11" borderId="0" xfId="0" applyNumberFormat="1" applyFont="1" applyFill="1" applyAlignment="1">
      <alignment horizontal="center"/>
    </xf>
    <xf numFmtId="0" fontId="2" fillId="4" borderId="24" xfId="0" applyFont="1" applyFill="1" applyBorder="1"/>
    <xf numFmtId="0" fontId="15" fillId="0" borderId="0" xfId="0" applyFont="1" applyAlignment="1">
      <alignment horizontal="center"/>
    </xf>
    <xf numFmtId="1" fontId="15" fillId="0" borderId="0" xfId="0" applyNumberFormat="1" applyFont="1" applyAlignment="1">
      <alignment horizontal="center"/>
    </xf>
    <xf numFmtId="1" fontId="0" fillId="0" borderId="0" xfId="0" applyNumberFormat="1"/>
    <xf numFmtId="0" fontId="14" fillId="4" borderId="0" xfId="0" applyFont="1" applyFill="1" applyAlignment="1">
      <alignment horizontal="center"/>
    </xf>
    <xf numFmtId="1" fontId="14" fillId="4" borderId="0" xfId="0" applyNumberFormat="1" applyFont="1" applyFill="1" applyAlignment="1">
      <alignment horizontal="center"/>
    </xf>
    <xf numFmtId="1" fontId="14" fillId="0" borderId="0" xfId="0" applyNumberFormat="1" applyFont="1" applyAlignment="1">
      <alignment horizontal="center"/>
    </xf>
    <xf numFmtId="1" fontId="2" fillId="0" borderId="24" xfId="0" applyNumberFormat="1" applyFont="1" applyBorder="1"/>
    <xf numFmtId="0" fontId="16" fillId="11" borderId="0" xfId="0" applyFont="1" applyFill="1" applyAlignment="1">
      <alignment horizontal="center"/>
    </xf>
    <xf numFmtId="1" fontId="16" fillId="11" borderId="0" xfId="0" applyNumberFormat="1" applyFont="1" applyFill="1" applyAlignment="1">
      <alignment horizontal="center"/>
    </xf>
    <xf numFmtId="1" fontId="2" fillId="4" borderId="0" xfId="0" applyNumberFormat="1" applyFont="1" applyFill="1" applyAlignment="1">
      <alignment horizontal="center"/>
    </xf>
    <xf numFmtId="1" fontId="2" fillId="4" borderId="0" xfId="0" applyNumberFormat="1" applyFont="1" applyFill="1"/>
    <xf numFmtId="1" fontId="2" fillId="0" borderId="0" xfId="0" applyNumberFormat="1" applyFont="1"/>
    <xf numFmtId="0" fontId="2" fillId="0" borderId="25" xfId="0" applyFont="1" applyBorder="1"/>
    <xf numFmtId="0" fontId="0" fillId="0" borderId="26" xfId="0" applyBorder="1"/>
    <xf numFmtId="0" fontId="0" fillId="0" borderId="27" xfId="0" applyBorder="1"/>
    <xf numFmtId="0" fontId="0" fillId="0" borderId="28" xfId="0" applyBorder="1"/>
    <xf numFmtId="0" fontId="13" fillId="0" borderId="29" xfId="0" applyFont="1" applyBorder="1" applyAlignment="1">
      <alignment horizontal="center"/>
    </xf>
    <xf numFmtId="0" fontId="2" fillId="10" borderId="28" xfId="0" applyFont="1" applyFill="1" applyBorder="1"/>
    <xf numFmtId="0" fontId="0" fillId="0" borderId="29" xfId="0" applyBorder="1"/>
    <xf numFmtId="0" fontId="2" fillId="4" borderId="28" xfId="0" applyFont="1" applyFill="1" applyBorder="1"/>
    <xf numFmtId="1" fontId="0" fillId="0" borderId="29" xfId="0" applyNumberFormat="1" applyBorder="1"/>
    <xf numFmtId="49" fontId="0" fillId="0" borderId="28" xfId="0" applyNumberFormat="1" applyBorder="1"/>
    <xf numFmtId="0" fontId="2" fillId="10" borderId="28" xfId="0" applyFont="1" applyFill="1" applyBorder="1" applyAlignment="1">
      <alignment horizontal="center"/>
    </xf>
    <xf numFmtId="0" fontId="2" fillId="0" borderId="28" xfId="0" applyFont="1" applyBorder="1" applyAlignment="1">
      <alignment horizontal="center"/>
    </xf>
    <xf numFmtId="0" fontId="0" fillId="0" borderId="30" xfId="0" applyBorder="1"/>
    <xf numFmtId="0" fontId="0" fillId="0" borderId="31" xfId="0" applyBorder="1"/>
    <xf numFmtId="0" fontId="0" fillId="0" borderId="32" xfId="0" applyBorder="1"/>
    <xf numFmtId="0" fontId="2" fillId="0" borderId="3" xfId="0" applyFont="1" applyBorder="1" applyAlignment="1">
      <alignment horizontal="center"/>
    </xf>
    <xf numFmtId="9" fontId="0" fillId="0" borderId="0" xfId="1" applyFont="1"/>
    <xf numFmtId="0" fontId="17" fillId="0" borderId="0" xfId="0" applyFont="1"/>
    <xf numFmtId="0" fontId="0" fillId="0" borderId="5" xfId="0" applyBorder="1" applyAlignment="1">
      <alignment horizontal="left" vertical="top" wrapText="1"/>
    </xf>
    <xf numFmtId="0" fontId="0" fillId="0" borderId="1" xfId="0" applyBorder="1" applyAlignment="1">
      <alignment horizontal="left" vertical="top" wrapText="1"/>
    </xf>
    <xf numFmtId="49" fontId="1" fillId="2" borderId="0" xfId="0" applyNumberFormat="1" applyFont="1" applyFill="1" applyAlignment="1">
      <alignment horizontal="left" vertical="top" wrapText="1"/>
    </xf>
    <xf numFmtId="1" fontId="0" fillId="2" borderId="7" xfId="0" applyNumberFormat="1" applyFill="1" applyBorder="1"/>
    <xf numFmtId="9" fontId="0" fillId="4" borderId="0" xfId="0" applyNumberFormat="1" applyFill="1" applyAlignment="1">
      <alignment vertical="center"/>
    </xf>
    <xf numFmtId="2" fontId="2" fillId="4" borderId="24" xfId="0" applyNumberFormat="1" applyFont="1" applyFill="1" applyBorder="1"/>
    <xf numFmtId="2" fontId="0" fillId="0" borderId="24" xfId="0" applyNumberFormat="1" applyBorder="1"/>
    <xf numFmtId="2" fontId="2" fillId="0" borderId="24" xfId="0" applyNumberFormat="1" applyFont="1" applyBorder="1"/>
    <xf numFmtId="0" fontId="1" fillId="2" borderId="5" xfId="0" applyFont="1" applyFill="1" applyBorder="1" applyAlignment="1">
      <alignment horizontal="center" wrapText="1"/>
    </xf>
    <xf numFmtId="0" fontId="1" fillId="2" borderId="0" xfId="0" applyFont="1" applyFill="1" applyAlignment="1">
      <alignment horizontal="center" wrapText="1"/>
    </xf>
    <xf numFmtId="0" fontId="1" fillId="2" borderId="1" xfId="0" applyFont="1" applyFill="1" applyBorder="1" applyAlignment="1">
      <alignment horizontal="center" wrapText="1"/>
    </xf>
    <xf numFmtId="0" fontId="1" fillId="2" borderId="5" xfId="0" applyFont="1" applyFill="1" applyBorder="1" applyAlignment="1">
      <alignment horizontal="center" vertical="top" wrapText="1"/>
    </xf>
    <xf numFmtId="0" fontId="1" fillId="2" borderId="0" xfId="0" applyFont="1" applyFill="1" applyAlignment="1">
      <alignment horizontal="center" vertical="top" wrapText="1"/>
    </xf>
    <xf numFmtId="0" fontId="1" fillId="2" borderId="1" xfId="0" applyFont="1" applyFill="1" applyBorder="1" applyAlignment="1">
      <alignment horizontal="center" vertical="top" wrapText="1"/>
    </xf>
    <xf numFmtId="0" fontId="1" fillId="3" borderId="5" xfId="0" applyFont="1" applyFill="1" applyBorder="1" applyAlignment="1">
      <alignment horizontal="center" vertical="top" wrapText="1"/>
    </xf>
    <xf numFmtId="0" fontId="1" fillId="3" borderId="1" xfId="0" applyFont="1" applyFill="1" applyBorder="1" applyAlignment="1">
      <alignment horizontal="center" vertical="top" wrapText="1"/>
    </xf>
    <xf numFmtId="0" fontId="0" fillId="0" borderId="12" xfId="0" applyBorder="1" applyAlignment="1">
      <alignment horizontal="left" vertical="top" wrapText="1"/>
    </xf>
    <xf numFmtId="0" fontId="0" fillId="0" borderId="13" xfId="0" applyBorder="1" applyAlignment="1">
      <alignment horizontal="left" vertical="top" wrapText="1"/>
    </xf>
    <xf numFmtId="0" fontId="0" fillId="0" borderId="14" xfId="0" applyBorder="1" applyAlignment="1">
      <alignment horizontal="left" vertical="top" wrapText="1"/>
    </xf>
    <xf numFmtId="0" fontId="0" fillId="0" borderId="5" xfId="0" applyBorder="1" applyAlignment="1">
      <alignment horizontal="left" vertical="top" wrapText="1"/>
    </xf>
    <xf numFmtId="0" fontId="0" fillId="0" borderId="0" xfId="0" applyAlignment="1">
      <alignment horizontal="left" vertical="top" wrapText="1"/>
    </xf>
    <xf numFmtId="0" fontId="0" fillId="0" borderId="1" xfId="0" applyBorder="1" applyAlignment="1">
      <alignment horizontal="left" vertical="top" wrapText="1"/>
    </xf>
    <xf numFmtId="0" fontId="0" fillId="0" borderId="6" xfId="0" applyBorder="1" applyAlignment="1">
      <alignment horizontal="left" vertical="top" wrapText="1"/>
    </xf>
    <xf numFmtId="0" fontId="0" fillId="0" borderId="7" xfId="0" applyBorder="1" applyAlignment="1">
      <alignment horizontal="left" vertical="top" wrapText="1"/>
    </xf>
    <xf numFmtId="0" fontId="0" fillId="0" borderId="8" xfId="0" applyBorder="1" applyAlignment="1">
      <alignment horizontal="left" vertical="top" wrapText="1"/>
    </xf>
    <xf numFmtId="0" fontId="0" fillId="0" borderId="0" xfId="0" applyAlignment="1">
      <alignment horizontal="left" wrapText="1"/>
    </xf>
    <xf numFmtId="0" fontId="2" fillId="0" borderId="12" xfId="0" applyFont="1" applyBorder="1" applyAlignment="1">
      <alignment horizontal="left" vertical="top" wrapText="1"/>
    </xf>
    <xf numFmtId="0" fontId="2" fillId="0" borderId="13" xfId="0" applyFont="1" applyBorder="1" applyAlignment="1">
      <alignment horizontal="left" vertical="top" wrapText="1"/>
    </xf>
    <xf numFmtId="0" fontId="2" fillId="0" borderId="14" xfId="0" applyFont="1" applyBorder="1" applyAlignment="1">
      <alignment horizontal="left" vertical="top" wrapText="1"/>
    </xf>
    <xf numFmtId="0" fontId="2" fillId="0" borderId="5" xfId="0" applyFont="1" applyBorder="1" applyAlignment="1">
      <alignment horizontal="left" vertical="top" wrapText="1"/>
    </xf>
    <xf numFmtId="0" fontId="2" fillId="0" borderId="0" xfId="0" applyFont="1" applyAlignment="1">
      <alignment horizontal="left" vertical="top" wrapText="1"/>
    </xf>
    <xf numFmtId="0" fontId="2" fillId="0" borderId="1" xfId="0" applyFont="1" applyBorder="1" applyAlignment="1">
      <alignment horizontal="left" vertical="top" wrapText="1"/>
    </xf>
    <xf numFmtId="0" fontId="2" fillId="0" borderId="6" xfId="0" applyFont="1" applyBorder="1" applyAlignment="1">
      <alignment horizontal="left" vertical="top" wrapText="1"/>
    </xf>
    <xf numFmtId="0" fontId="2" fillId="0" borderId="7" xfId="0" applyFont="1" applyBorder="1" applyAlignment="1">
      <alignment horizontal="left" vertical="top" wrapText="1"/>
    </xf>
    <xf numFmtId="0" fontId="2" fillId="0" borderId="8" xfId="0" applyFont="1" applyBorder="1" applyAlignment="1">
      <alignment horizontal="left" vertical="top" wrapText="1"/>
    </xf>
    <xf numFmtId="0" fontId="2" fillId="4" borderId="0" xfId="0" applyFont="1" applyFill="1" applyAlignment="1">
      <alignment horizontal="center" vertical="top"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12" xfId="0" applyBorder="1" applyAlignment="1">
      <alignment horizontal="left" vertical="top"/>
    </xf>
    <xf numFmtId="0" fontId="0" fillId="0" borderId="13" xfId="0" applyBorder="1" applyAlignment="1">
      <alignment horizontal="left" vertical="top"/>
    </xf>
    <xf numFmtId="0" fontId="0" fillId="0" borderId="14" xfId="0" applyBorder="1" applyAlignment="1">
      <alignment horizontal="left" vertical="top"/>
    </xf>
    <xf numFmtId="0" fontId="0" fillId="0" borderId="5" xfId="0" applyBorder="1" applyAlignment="1">
      <alignment horizontal="left" vertical="top"/>
    </xf>
    <xf numFmtId="0" fontId="0" fillId="0" borderId="0" xfId="0" applyAlignment="1">
      <alignment horizontal="left" vertical="top"/>
    </xf>
    <xf numFmtId="0" fontId="0" fillId="0" borderId="1" xfId="0" applyBorder="1" applyAlignment="1">
      <alignment horizontal="left" vertical="top"/>
    </xf>
    <xf numFmtId="0" fontId="0" fillId="0" borderId="6"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1" fontId="2" fillId="8" borderId="12" xfId="0" applyNumberFormat="1" applyFont="1" applyFill="1" applyBorder="1" applyAlignment="1">
      <alignment horizontal="center"/>
    </xf>
    <xf numFmtId="1" fontId="2" fillId="8" borderId="13" xfId="0" applyNumberFormat="1" applyFont="1" applyFill="1" applyBorder="1" applyAlignment="1">
      <alignment horizontal="center"/>
    </xf>
    <xf numFmtId="1" fontId="2" fillId="8" borderId="14" xfId="0" applyNumberFormat="1" applyFont="1" applyFill="1" applyBorder="1" applyAlignment="1">
      <alignment horizontal="center"/>
    </xf>
    <xf numFmtId="0" fontId="0" fillId="8" borderId="15" xfId="0" applyFill="1" applyBorder="1" applyAlignment="1">
      <alignment horizontal="center"/>
    </xf>
    <xf numFmtId="0" fontId="0" fillId="8" borderId="16" xfId="0" applyFill="1" applyBorder="1" applyAlignment="1">
      <alignment horizontal="center"/>
    </xf>
    <xf numFmtId="0" fontId="0" fillId="8" borderId="17" xfId="0" applyFill="1" applyBorder="1" applyAlignment="1">
      <alignment horizontal="center"/>
    </xf>
  </cellXfs>
  <cellStyles count="3">
    <cellStyle name="Hyperlink" xfId="2" builtinId="8"/>
    <cellStyle name="Normal" xfId="0" builtinId="0"/>
    <cellStyle name="Percent" xfId="1" builtinId="5"/>
  </cellStyles>
  <dxfs count="264">
    <dxf>
      <alignment wrapText="1" indent="0" readingOrder="0"/>
    </dxf>
    <dxf>
      <alignment vertical="top" readingOrder="0"/>
    </dxf>
    <dxf>
      <alignment horizontal="left" readingOrder="0"/>
    </dxf>
    <dxf>
      <alignment wrapText="1" readingOrder="0"/>
    </dxf>
    <dxf>
      <alignment wrapText="1" indent="0" readingOrder="0"/>
    </dxf>
    <dxf>
      <alignment vertical="top" readingOrder="0"/>
    </dxf>
    <dxf>
      <alignment horizontal="left" readingOrder="0"/>
    </dxf>
    <dxf>
      <alignment wrapText="1" readingOrder="0"/>
    </dxf>
    <dxf>
      <alignment horizontal="left" readingOrder="0"/>
    </dxf>
    <dxf>
      <alignment vertical="top" readingOrder="0"/>
    </dxf>
    <dxf>
      <alignment wrapText="1" indent="0" readingOrder="0"/>
    </dxf>
    <dxf>
      <alignment horizontal="left" readingOrder="0"/>
    </dxf>
    <dxf>
      <alignment vertical="top" readingOrder="0"/>
    </dxf>
    <dxf>
      <alignment wrapText="1" inden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1"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1"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1"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1"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1"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1"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1"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1"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numFmt numFmtId="2" formatCode="0.00"/>
      <alignment horizontal="center" textRotation="0" indent="0" justifyLastLine="0" shrinkToFit="0" readingOrder="0"/>
    </dxf>
    <dxf>
      <numFmt numFmtId="2" formatCode="0.00"/>
      <alignment horizontal="center" textRotation="0" indent="0" justifyLastLine="0" shrinkToFit="0" readingOrder="0"/>
    </dxf>
    <dxf>
      <numFmt numFmtId="2" formatCode="0.00"/>
      <alignment horizontal="center" textRotation="0" indent="0" justifyLastLine="0" shrinkToFit="0" readingOrder="0"/>
    </dxf>
    <dxf>
      <numFmt numFmtId="2" formatCode="0.00"/>
      <alignment horizontal="center" textRotation="0" indent="0" justifyLastLine="0" shrinkToFit="0" readingOrder="0"/>
    </dxf>
    <dxf>
      <numFmt numFmtId="2" formatCode="0.00"/>
      <alignment horizontal="center" textRotation="0" indent="0" justifyLastLine="0" shrinkToFit="0" readingOrder="0"/>
    </dxf>
    <dxf>
      <numFmt numFmtId="2" formatCode="0.00"/>
      <alignment horizontal="center" textRotation="0" indent="0" justifyLastLine="0" shrinkToFit="0" readingOrder="0"/>
    </dxf>
    <dxf>
      <alignment horizontal="center" vertical="center" textRotation="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1" indent="0" justifyLastLine="0" shrinkToFit="0" readingOrder="0"/>
    </dxf>
    <dxf>
      <alignment horizontal="center" textRotation="0" indent="0" justifyLastLine="0" shrinkToFit="0" readingOrder="0"/>
    </dxf>
    <dxf>
      <alignment horizontal="center" textRotation="0" indent="0" justifyLastLine="0" shrinkToFit="0" readingOrder="0"/>
    </dxf>
    <dxf>
      <alignment horizontal="center" textRotation="0" indent="0" justifyLastLine="0" shrinkToFit="0" readingOrder="0"/>
    </dxf>
    <dxf>
      <alignment horizontal="center" textRotation="0" indent="0" justifyLastLine="0" shrinkToFit="0" readingOrder="0"/>
    </dxf>
    <dxf>
      <alignment horizontal="center" textRotation="0" indent="0" justifyLastLine="0" shrinkToFit="0" readingOrder="0"/>
    </dxf>
    <dxf>
      <alignment horizontal="center" textRotation="0" indent="0" justifyLastLine="0" shrinkToFit="0" readingOrder="0"/>
    </dxf>
    <dxf>
      <alignment horizontal="center" textRotation="0" indent="0" justifyLastLine="0" shrinkToFit="0" readingOrder="0"/>
    </dxf>
    <dxf>
      <alignment horizontal="center" textRotation="0" indent="0" justifyLastLine="0" shrinkToFit="0" readingOrder="0"/>
    </dxf>
    <dxf>
      <alignment horizontal="center" textRotation="0" indent="0" justifyLastLine="0" shrinkToFit="0" readingOrder="0"/>
    </dxf>
    <dxf>
      <alignment horizontal="center" textRotation="0" indent="0" justifyLastLine="0" shrinkToFit="0" readingOrder="0"/>
    </dxf>
    <dxf>
      <alignment horizontal="center" textRotation="0" indent="0" justifyLastLine="0" shrinkToFit="0" readingOrder="0"/>
    </dxf>
    <dxf>
      <alignment horizontal="center" textRotation="0" indent="0" justifyLastLine="0" shrinkToFit="0" readingOrder="0"/>
    </dxf>
    <dxf>
      <fill>
        <patternFill patternType="solid">
          <fgColor indexed="64"/>
          <bgColor theme="0" tint="-0.499984740745262"/>
        </patternFill>
      </fill>
    </dxf>
    <dxf>
      <alignment horizontal="center" textRotation="0" indent="0" justifyLastLine="0" shrinkToFit="0" readingOrder="0"/>
    </dxf>
    <dxf>
      <alignment horizontal="center" textRotation="0" indent="0" justifyLastLine="0" shrinkToFit="0" readingOrder="0"/>
    </dxf>
    <dxf>
      <alignment horizontal="center" textRotation="0" indent="0" justifyLastLine="0" shrinkToFit="0" readingOrder="0"/>
    </dxf>
    <dxf>
      <alignment horizontal="center" textRotation="0" indent="0" justifyLastLine="0" shrinkToFit="0" readingOrder="0"/>
    </dxf>
    <dxf>
      <alignment horizontal="center" textRotation="0" indent="0" justifyLastLine="0" shrinkToFit="0" readingOrder="0"/>
    </dxf>
    <dxf>
      <alignment horizontal="center" textRotation="0" indent="0" justifyLastLine="0" shrinkToFit="0" readingOrder="0"/>
    </dxf>
    <dxf>
      <numFmt numFmtId="0" formatCode="General"/>
      <alignment horizontal="center" textRotation="0" 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alignment horizontal="left" vertical="top" textRotation="0" wrapText="1" indent="0" justifyLastLine="0" shrinkToFit="0" readingOrder="0"/>
      <border diagonalUp="0" diagonalDown="0" outline="0">
        <left style="thin">
          <color auto="1"/>
        </left>
        <right style="thin">
          <color indexed="64"/>
        </right>
        <top/>
        <bottom/>
      </border>
    </dxf>
    <dxf>
      <alignment horizontal="left" vertical="top" textRotation="0" wrapText="1" indent="0" justifyLastLine="0" shrinkToFit="0" readingOrder="0"/>
      <border diagonalUp="0" diagonalDown="0" outline="0">
        <left/>
        <right style="thin">
          <color auto="1"/>
        </right>
        <top/>
        <bottom/>
      </border>
    </dxf>
    <dxf>
      <alignment horizontal="left" vertical="top" textRotation="0" wrapText="1" indent="0" justifyLastLine="0" shrinkToFit="0" readingOrder="0"/>
    </dxf>
    <dxf>
      <alignment horizontal="left" vertical="top" textRotation="0" wrapText="1" indent="0" justifyLastLine="0" shrinkToFit="0" readingOrder="0"/>
      <border diagonalUp="0" diagonalDown="0" outline="0">
        <left/>
        <right style="thin">
          <color indexed="64"/>
        </right>
        <top/>
        <bottom/>
      </border>
    </dxf>
    <dxf>
      <numFmt numFmtId="19" formatCode="m/d/yyyy"/>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border diagonalUp="0" diagonalDown="0" outline="0">
        <left/>
        <right style="thin">
          <color auto="1"/>
        </right>
        <top/>
        <bottom/>
      </border>
    </dxf>
    <dxf>
      <alignment horizontal="left" vertical="top" textRotation="0" wrapText="1" indent="0" justifyLastLine="0" shrinkToFit="0" readingOrder="0"/>
    </dxf>
    <dxf>
      <numFmt numFmtId="19" formatCode="m/d/yyyy"/>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numFmt numFmtId="30" formatCode="@"/>
      <alignment horizontal="center" vertical="top" textRotation="0" wrapText="1" indent="0" justifyLastLine="0" shrinkToFit="0" readingOrder="0"/>
    </dxf>
    <dxf>
      <numFmt numFmtId="30" formatCode="@"/>
      <alignment horizontal="left" vertical="top" textRotation="0" wrapText="1" indent="0" justifyLastLine="0" shrinkToFit="0" readingOrder="0"/>
    </dxf>
    <dxf>
      <alignment horizontal="left" vertical="top" textRotation="0" wrapText="1" indent="0" justifyLastLine="0" shrinkToFit="0" readingOrder="0"/>
      <border outline="0">
        <left style="thin">
          <color auto="1"/>
        </left>
        <right/>
      </border>
    </dxf>
    <dxf>
      <numFmt numFmtId="19" formatCode="m/d/yyyy"/>
      <alignment horizontal="left" vertical="top" textRotation="0" wrapText="1" indent="0" justifyLastLine="0" shrinkToFit="0" readingOrder="0"/>
      <border diagonalUp="0" diagonalDown="0" outline="0">
        <left/>
        <right style="thin">
          <color auto="1"/>
        </right>
        <top/>
        <bottom/>
      </border>
    </dxf>
    <dxf>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border diagonalUp="0" diagonalDown="0" outline="0">
        <left/>
        <right style="thin">
          <color auto="1"/>
        </right>
        <top/>
        <bottom/>
      </border>
    </dxf>
    <dxf>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border diagonalUp="0" diagonalDown="0" outline="0">
        <left style="thin">
          <color indexed="64"/>
        </left>
        <right/>
        <top/>
        <bottom/>
      </border>
    </dxf>
    <dxf>
      <alignment horizontal="left" vertical="top" textRotation="0" wrapText="1" indent="0" justifyLastLine="0" shrinkToFit="0" readingOrder="0"/>
      <border diagonalUp="0" diagonalDown="0" outline="0">
        <left/>
        <right style="thin">
          <color auto="1"/>
        </right>
        <top/>
        <bottom/>
      </border>
    </dxf>
    <dxf>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border outline="0">
        <left style="thin">
          <color auto="1"/>
        </left>
      </border>
    </dxf>
    <dxf>
      <alignment horizontal="left" vertical="top" textRotation="0" wrapText="1" indent="0" justifyLastLine="0" shrinkToFit="0" readingOrder="0"/>
      <border diagonalUp="0" diagonalDown="0" outline="0">
        <left/>
        <right style="thin">
          <color auto="1"/>
        </right>
        <top/>
        <bottom/>
      </border>
    </dxf>
    <dxf>
      <numFmt numFmtId="164" formatCode="[$-F400]h:mm:ss\ AM/PM"/>
      <alignment horizontal="left" vertical="top" textRotation="0" wrapText="1" indent="0" justifyLastLine="0" shrinkToFit="0" readingOrder="0"/>
    </dxf>
    <dxf>
      <alignment horizontal="left" vertical="top" textRotation="0" wrapText="1" indent="0" justifyLastLine="0" shrinkToFit="0" readingOrder="0"/>
    </dxf>
    <dxf>
      <numFmt numFmtId="19" formatCode="m/d/yyyy"/>
      <alignment horizontal="left" vertical="top" textRotation="0" wrapText="1" indent="0" justifyLastLine="0" shrinkToFit="0" readingOrder="0"/>
    </dxf>
    <dxf>
      <numFmt numFmtId="19" formatCode="m/d/yyyy"/>
      <alignment horizontal="left" vertical="top" textRotation="0" wrapText="1" indent="0" justifyLastLine="0" shrinkToFit="0" readingOrder="0"/>
      <border outline="0">
        <left style="thin">
          <color auto="1"/>
        </left>
      </border>
    </dxf>
    <dxf>
      <numFmt numFmtId="1" formatCode="0"/>
      <fill>
        <patternFill>
          <fgColor indexed="64"/>
          <bgColor theme="0" tint="-0.34998626667073579"/>
        </patternFill>
      </fill>
      <alignment horizontal="center" vertical="top" textRotation="0" wrapText="1" indent="0" justifyLastLine="0" shrinkToFit="0" readingOrder="0"/>
    </dxf>
    <dxf>
      <alignment horizontal="left" vertical="top" textRotation="0" wrapText="1" indent="0" justifyLastLine="0" shrinkToFit="0" readingOrder="0"/>
    </dxf>
    <dxf>
      <alignment horizontal="left" vertical="bottom" textRotation="0" wrapText="1" indent="0" justifyLastLine="0" shrinkToFit="0" readingOrder="0"/>
    </dxf>
    <dxf>
      <alignment horizontal="general" vertical="bottom" textRotation="0" wrapText="1" indent="0" justifyLastLine="0" shrinkToFit="0" readingOrder="0"/>
      <border diagonalUp="0" diagonalDown="0">
        <left style="thin">
          <color auto="1"/>
        </left>
        <right style="thin">
          <color indexed="64"/>
        </right>
        <top/>
        <bottom/>
        <vertical/>
        <horizontal/>
      </border>
    </dxf>
    <dxf>
      <alignment horizontal="general" vertical="bottom" textRotation="0" wrapText="1" indent="0" justifyLastLine="0" shrinkToFit="0" readingOrder="0"/>
      <border diagonalUp="0" diagonalDown="0">
        <left/>
        <right style="thin">
          <color auto="1"/>
        </right>
        <top/>
        <bottom/>
        <vertical/>
        <horizontal/>
      </border>
    </dxf>
    <dxf>
      <alignment horizontal="general" vertical="bottom" textRotation="0" wrapText="1" indent="0" justifyLastLine="0" shrinkToFit="0" readingOrder="0"/>
    </dxf>
    <dxf>
      <alignment horizontal="general" vertical="bottom" textRotation="0" wrapText="1" indent="0" justifyLastLine="0" shrinkToFit="0" readingOrder="0"/>
      <border diagonalUp="0" diagonalDown="0">
        <left/>
        <right style="thin">
          <color indexed="64"/>
        </right>
        <top/>
        <bottom/>
        <vertical/>
        <horizontal/>
      </border>
    </dxf>
    <dxf>
      <numFmt numFmtId="19" formatCode="m/d/yyyy"/>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border diagonalUp="0" diagonalDown="0">
        <left/>
        <right style="thin">
          <color auto="1"/>
        </right>
        <top/>
        <bottom/>
        <vertical/>
        <horizontal/>
      </border>
    </dxf>
    <dxf>
      <alignment horizontal="general" vertical="bottom" textRotation="0" wrapText="1" indent="0" justifyLastLine="0" shrinkToFit="0" readingOrder="0"/>
    </dxf>
    <dxf>
      <numFmt numFmtId="19" formatCode="m/d/yyyy"/>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border diagonalUp="0" diagonalDown="0">
        <left/>
        <right style="thin">
          <color auto="1"/>
        </right>
        <top/>
        <bottom/>
        <vertical/>
        <horizontal/>
      </border>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border outline="0">
        <left style="thin">
          <color auto="1"/>
        </left>
      </border>
    </dxf>
    <dxf>
      <numFmt numFmtId="19" formatCode="m/d/yyyy"/>
      <alignment horizontal="general" vertical="bottom" textRotation="0" wrapText="1" indent="0" justifyLastLine="0" shrinkToFit="0" readingOrder="0"/>
      <border diagonalUp="0" diagonalDown="0" outline="0">
        <left/>
        <right style="thin">
          <color auto="1"/>
        </right>
        <top/>
        <bottom/>
      </border>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border diagonalUp="0" diagonalDown="0">
        <left/>
        <right style="thin">
          <color auto="1"/>
        </right>
        <top/>
        <bottom/>
        <vertical/>
        <horizontal/>
      </border>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border diagonalUp="0" diagonalDown="0">
        <left/>
        <right style="thin">
          <color auto="1"/>
        </right>
        <top/>
        <bottom/>
        <vertical/>
        <horizontal/>
      </border>
    </dxf>
    <dxf>
      <alignment horizontal="general" vertical="bottom" textRotation="0" wrapText="1" indent="0" justifyLastLine="0" shrinkToFit="0" readingOrder="0"/>
    </dxf>
    <dxf>
      <alignment horizontal="general" vertical="bottom" textRotation="0" wrapText="1" indent="0" justifyLastLine="0" shrinkToFit="0" readingOrder="0"/>
      <border diagonalUp="0" diagonalDown="0">
        <left/>
        <right style="thin">
          <color auto="1"/>
        </right>
        <top/>
        <bottom/>
        <vertical/>
        <horizontal/>
      </border>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border diagonalUp="0" diagonalDown="0">
        <left/>
        <right style="thin">
          <color auto="1"/>
        </right>
        <top/>
        <bottom/>
        <vertical/>
        <horizontal/>
      </border>
    </dxf>
    <dxf>
      <numFmt numFmtId="164" formatCode="[$-F400]h:mm:ss\ AM/PM"/>
      <alignment horizontal="general" vertical="bottom" textRotation="0" wrapText="1" indent="0" justifyLastLine="0" shrinkToFit="0" readingOrder="0"/>
    </dxf>
    <dxf>
      <alignment horizontal="general" vertical="bottom" textRotation="0" wrapText="1" indent="0" justifyLastLine="0" shrinkToFit="0" readingOrder="0"/>
    </dxf>
    <dxf>
      <numFmt numFmtId="19" formatCode="m/d/yyyy"/>
      <alignment horizontal="general" vertical="bottom" textRotation="0" wrapText="1" indent="0" justifyLastLine="0" shrinkToFit="0" readingOrder="0"/>
    </dxf>
    <dxf>
      <numFmt numFmtId="19" formatCode="m/d/yyyy"/>
      <alignment horizontal="general" vertical="bottom" textRotation="0" wrapText="1" indent="0" justifyLastLine="0" shrinkToFit="0" readingOrder="0"/>
    </dxf>
    <dxf>
      <numFmt numFmtId="19" formatCode="m/d/yyyy"/>
      <fill>
        <patternFill patternType="solid">
          <fgColor indexed="64"/>
          <bgColor theme="0" tint="-0.249977111117893"/>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sharedStrings" Target="sharedStrings.xml"/><Relationship Id="rId30" Type="http://schemas.microsoft.com/office/2006/relationships/vbaProject" Target="vbaProject.bin"/></Relationships>
</file>

<file path=xl/charts/_rels/chart84.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Where alleged incidents occur</c:v>
          </c:tx>
          <c:invertIfNegative val="0"/>
          <c:cat>
            <c:strRef>
              <c:f>'General Stats'!$A$7:$A$17</c:f>
              <c:strCache>
                <c:ptCount val="11"/>
                <c:pt idx="0">
                  <c:v>Bathroom</c:v>
                </c:pt>
                <c:pt idx="1">
                  <c:v>Bedroom</c:v>
                </c:pt>
                <c:pt idx="2">
                  <c:v>Cafeteria</c:v>
                </c:pt>
                <c:pt idx="3">
                  <c:v>Classroom</c:v>
                </c:pt>
                <c:pt idx="4">
                  <c:v>Closet</c:v>
                </c:pt>
                <c:pt idx="5">
                  <c:v>Dayroom</c:v>
                </c:pt>
                <c:pt idx="6">
                  <c:v>Hallway</c:v>
                </c:pt>
                <c:pt idx="7">
                  <c:v>Control Station</c:v>
                </c:pt>
                <c:pt idx="8">
                  <c:v>Front Field</c:v>
                </c:pt>
                <c:pt idx="9">
                  <c:v>Stairwell</c:v>
                </c:pt>
                <c:pt idx="10">
                  <c:v>General Unit</c:v>
                </c:pt>
              </c:strCache>
            </c:strRef>
          </c:cat>
          <c:val>
            <c:numRef>
              <c:f>'General Stats'!$B$7:$B$17</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B985-604D-ADA9-904359585312}"/>
            </c:ext>
          </c:extLst>
        </c:ser>
        <c:dLbls>
          <c:showLegendKey val="0"/>
          <c:showVal val="0"/>
          <c:showCatName val="0"/>
          <c:showSerName val="0"/>
          <c:showPercent val="0"/>
          <c:showBubbleSize val="0"/>
        </c:dLbls>
        <c:gapWidth val="150"/>
        <c:axId val="125876864"/>
        <c:axId val="125878656"/>
      </c:barChart>
      <c:catAx>
        <c:axId val="125876864"/>
        <c:scaling>
          <c:orientation val="minMax"/>
        </c:scaling>
        <c:delete val="0"/>
        <c:axPos val="b"/>
        <c:numFmt formatCode="General" sourceLinked="0"/>
        <c:majorTickMark val="out"/>
        <c:minorTickMark val="none"/>
        <c:tickLblPos val="nextTo"/>
        <c:crossAx val="125878656"/>
        <c:crosses val="autoZero"/>
        <c:auto val="1"/>
        <c:lblAlgn val="ctr"/>
        <c:lblOffset val="100"/>
        <c:noMultiLvlLbl val="0"/>
      </c:catAx>
      <c:valAx>
        <c:axId val="125878656"/>
        <c:scaling>
          <c:orientation val="minMax"/>
        </c:scaling>
        <c:delete val="0"/>
        <c:axPos val="l"/>
        <c:majorGridlines/>
        <c:numFmt formatCode="General" sourceLinked="1"/>
        <c:majorTickMark val="out"/>
        <c:minorTickMark val="none"/>
        <c:tickLblPos val="nextTo"/>
        <c:crossAx val="12587686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en-US"/>
              <a:t>Types of Grievances</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'General Stats'!$A$24:$A$31</c:f>
              <c:strCache>
                <c:ptCount val="8"/>
                <c:pt idx="0">
                  <c:v>Direct Care</c:v>
                </c:pt>
                <c:pt idx="1">
                  <c:v>Residential Programming</c:v>
                </c:pt>
                <c:pt idx="2">
                  <c:v>Environment</c:v>
                </c:pt>
                <c:pt idx="3">
                  <c:v>Dietary</c:v>
                </c:pt>
                <c:pt idx="4">
                  <c:v>Safety</c:v>
                </c:pt>
                <c:pt idx="5">
                  <c:v>Education Programming</c:v>
                </c:pt>
                <c:pt idx="6">
                  <c:v>Religious</c:v>
                </c:pt>
                <c:pt idx="7">
                  <c:v>Physical Health</c:v>
                </c:pt>
              </c:strCache>
            </c:strRef>
          </c:cat>
          <c:val>
            <c:numRef>
              <c:f>'General Stats'!$B$24:$B$31</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2D51-1547-81F0-64AD5CEF8CB8}"/>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'General Stats'!$A$40:$A$46</c:f>
              <c:strCache>
                <c:ptCount val="7"/>
                <c:pt idx="0">
                  <c:v>Internal Investigation</c:v>
                </c:pt>
                <c:pt idx="1">
                  <c:v>Grievance Process</c:v>
                </c:pt>
                <c:pt idx="2">
                  <c:v>Safety Concern</c:v>
                </c:pt>
                <c:pt idx="3">
                  <c:v>Therapeutic Concern</c:v>
                </c:pt>
                <c:pt idx="4">
                  <c:v>Self-Advocacy</c:v>
                </c:pt>
                <c:pt idx="5">
                  <c:v>Appeal </c:v>
                </c:pt>
                <c:pt idx="6">
                  <c:v>Dismissal</c:v>
                </c:pt>
              </c:strCache>
            </c:strRef>
          </c:cat>
          <c:val>
            <c:numRef>
              <c:f>'General Stats'!$B$40:$B$46</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D0A6-8043-858B-F8B9B0D5D774}"/>
            </c:ext>
          </c:extLst>
        </c:ser>
        <c:dLbls>
          <c:showLegendKey val="0"/>
          <c:showVal val="0"/>
          <c:showCatName val="0"/>
          <c:showSerName val="0"/>
          <c:showPercent val="0"/>
          <c:showBubbleSize val="0"/>
        </c:dLbls>
        <c:gapWidth val="150"/>
        <c:axId val="127738240"/>
        <c:axId val="127739776"/>
      </c:barChart>
      <c:catAx>
        <c:axId val="127738240"/>
        <c:scaling>
          <c:orientation val="minMax"/>
        </c:scaling>
        <c:delete val="0"/>
        <c:axPos val="b"/>
        <c:numFmt formatCode="General" sourceLinked="0"/>
        <c:majorTickMark val="out"/>
        <c:minorTickMark val="none"/>
        <c:tickLblPos val="nextTo"/>
        <c:crossAx val="127739776"/>
        <c:crosses val="autoZero"/>
        <c:auto val="1"/>
        <c:lblAlgn val="ctr"/>
        <c:lblOffset val="100"/>
        <c:noMultiLvlLbl val="0"/>
      </c:catAx>
      <c:valAx>
        <c:axId val="127739776"/>
        <c:scaling>
          <c:orientation val="minMax"/>
        </c:scaling>
        <c:delete val="0"/>
        <c:axPos val="l"/>
        <c:majorGridlines/>
        <c:numFmt formatCode="General" sourceLinked="1"/>
        <c:majorTickMark val="out"/>
        <c:minorTickMark val="none"/>
        <c:tickLblPos val="nextTo"/>
        <c:crossAx val="12773824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Severity of Concerns</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'General Stats'!$A$40:$A$46</c:f>
              <c:strCache>
                <c:ptCount val="7"/>
                <c:pt idx="0">
                  <c:v>Internal Investigation</c:v>
                </c:pt>
                <c:pt idx="1">
                  <c:v>Grievance Process</c:v>
                </c:pt>
                <c:pt idx="2">
                  <c:v>Safety Concern</c:v>
                </c:pt>
                <c:pt idx="3">
                  <c:v>Therapeutic Concern</c:v>
                </c:pt>
                <c:pt idx="4">
                  <c:v>Self-Advocacy</c:v>
                </c:pt>
                <c:pt idx="5">
                  <c:v>Appeal </c:v>
                </c:pt>
                <c:pt idx="6">
                  <c:v>Dismissal</c:v>
                </c:pt>
              </c:strCache>
            </c:strRef>
          </c:cat>
          <c:val>
            <c:numRef>
              <c:f>'General Stats'!$B$40:$B$46</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62D0-494F-A7FF-5080144ABB98}"/>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727211973246674E-2"/>
          <c:y val="3.0937007222701384E-2"/>
          <c:w val="0.82225948142519145"/>
          <c:h val="0.75351566564756134"/>
        </c:manualLayout>
      </c:layout>
      <c:lineChart>
        <c:grouping val="standard"/>
        <c:varyColors val="0"/>
        <c:ser>
          <c:idx val="0"/>
          <c:order val="0"/>
          <c:tx>
            <c:strRef>
              <c:f>'Times per unit'!$A$9</c:f>
              <c:strCache>
                <c:ptCount val="1"/>
                <c:pt idx="0">
                  <c:v>Amount of alleged incidents within each time period</c:v>
                </c:pt>
              </c:strCache>
            </c:strRef>
          </c:tx>
          <c:marker>
            <c:symbol val="none"/>
          </c:marker>
          <c:cat>
            <c:strRef>
              <c:f>'Times per unit'!$A$11:$A$34</c:f>
              <c:strCache>
                <c:ptCount val="24"/>
                <c:pt idx="0">
                  <c:v>12:00 to 12:59 AM</c:v>
                </c:pt>
                <c:pt idx="1">
                  <c:v>1:00 to 1:59 AM</c:v>
                </c:pt>
                <c:pt idx="2">
                  <c:v>2:00 to 2:59 AM</c:v>
                </c:pt>
                <c:pt idx="3">
                  <c:v>3:00 to 3:59 AM</c:v>
                </c:pt>
                <c:pt idx="4">
                  <c:v>4:00 to 4:59 AM</c:v>
                </c:pt>
                <c:pt idx="5">
                  <c:v>5:00 to 5:59 AM</c:v>
                </c:pt>
                <c:pt idx="6">
                  <c:v>6:00 to 6:59 AM</c:v>
                </c:pt>
                <c:pt idx="7">
                  <c:v>7:00 to 7:59 AM</c:v>
                </c:pt>
                <c:pt idx="8">
                  <c:v>8:00 to 8:59 AM</c:v>
                </c:pt>
                <c:pt idx="9">
                  <c:v>9:00 to 9:59 AM</c:v>
                </c:pt>
                <c:pt idx="10">
                  <c:v>10:00 to 10:59 AM</c:v>
                </c:pt>
                <c:pt idx="11">
                  <c:v>11:00 to 11:59 AM</c:v>
                </c:pt>
                <c:pt idx="12">
                  <c:v>12:00 to 12:59 PM</c:v>
                </c:pt>
                <c:pt idx="13">
                  <c:v>1:00 to 1:59 PM</c:v>
                </c:pt>
                <c:pt idx="14">
                  <c:v>2:00 to 2:59 PM</c:v>
                </c:pt>
                <c:pt idx="15">
                  <c:v>3:00 to 3:59 PM</c:v>
                </c:pt>
                <c:pt idx="16">
                  <c:v>4:00 to 4:59 PM</c:v>
                </c:pt>
                <c:pt idx="17">
                  <c:v>5:00 to 5:59 PM</c:v>
                </c:pt>
                <c:pt idx="18">
                  <c:v>6:00 to 6:59 PM</c:v>
                </c:pt>
                <c:pt idx="19">
                  <c:v>7:00 to 7:59 PM</c:v>
                </c:pt>
                <c:pt idx="20">
                  <c:v>8:00 to 8:59 PM</c:v>
                </c:pt>
                <c:pt idx="21">
                  <c:v>9:00 to 9:59 PM</c:v>
                </c:pt>
                <c:pt idx="22">
                  <c:v>10:00 to 10:59 PM</c:v>
                </c:pt>
                <c:pt idx="23">
                  <c:v>11:00 to 11:59 PM</c:v>
                </c:pt>
              </c:strCache>
            </c:strRef>
          </c:cat>
          <c:val>
            <c:numRef>
              <c:f>'Times per unit'!$B$11:$B$34</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0-9EEA-AA48-B669-5808196F84A3}"/>
            </c:ext>
          </c:extLst>
        </c:ser>
        <c:dLbls>
          <c:showLegendKey val="0"/>
          <c:showVal val="0"/>
          <c:showCatName val="0"/>
          <c:showSerName val="0"/>
          <c:showPercent val="0"/>
          <c:showBubbleSize val="0"/>
        </c:dLbls>
        <c:dropLines/>
        <c:smooth val="0"/>
        <c:axId val="127152896"/>
        <c:axId val="127154432"/>
      </c:lineChart>
      <c:catAx>
        <c:axId val="127152896"/>
        <c:scaling>
          <c:orientation val="minMax"/>
        </c:scaling>
        <c:delete val="0"/>
        <c:axPos val="b"/>
        <c:numFmt formatCode="General" sourceLinked="0"/>
        <c:majorTickMark val="none"/>
        <c:minorTickMark val="none"/>
        <c:tickLblPos val="nextTo"/>
        <c:crossAx val="127154432"/>
        <c:crosses val="autoZero"/>
        <c:auto val="1"/>
        <c:lblAlgn val="ctr"/>
        <c:lblOffset val="100"/>
        <c:noMultiLvlLbl val="0"/>
      </c:catAx>
      <c:valAx>
        <c:axId val="127154432"/>
        <c:scaling>
          <c:orientation val="minMax"/>
        </c:scaling>
        <c:delete val="0"/>
        <c:axPos val="l"/>
        <c:majorGridlines/>
        <c:numFmt formatCode="General" sourceLinked="1"/>
        <c:majorTickMark val="out"/>
        <c:minorTickMark val="none"/>
        <c:tickLblPos val="nextTo"/>
        <c:crossAx val="127152896"/>
        <c:crosses val="autoZero"/>
        <c:crossBetween val="between"/>
      </c:valAx>
    </c:plotArea>
    <c:legend>
      <c:legendPos val="r"/>
      <c:layout>
        <c:manualLayout>
          <c:xMode val="edge"/>
          <c:yMode val="edge"/>
          <c:x val="0.85603529024990976"/>
          <c:y val="0.20730353139831317"/>
          <c:w val="0.13575115738869398"/>
          <c:h val="0.52130377669677752"/>
        </c:manualLayout>
      </c:layout>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Grievances/Complaints Occurred on:</c:v>
          </c:tx>
          <c:invertIfNegative val="0"/>
          <c:cat>
            <c:strRef>
              <c:f>'Times per unit'!$A$39:$A$46</c:f>
              <c:strCache>
                <c:ptCount val="8"/>
                <c:pt idx="0">
                  <c:v>Monday</c:v>
                </c:pt>
                <c:pt idx="1">
                  <c:v>Tuesday</c:v>
                </c:pt>
                <c:pt idx="2">
                  <c:v>Wednesday</c:v>
                </c:pt>
                <c:pt idx="3">
                  <c:v>Thursday</c:v>
                </c:pt>
                <c:pt idx="4">
                  <c:v>Friday</c:v>
                </c:pt>
                <c:pt idx="5">
                  <c:v>Saturday</c:v>
                </c:pt>
                <c:pt idx="6">
                  <c:v>Sunday</c:v>
                </c:pt>
                <c:pt idx="7">
                  <c:v>Over a period of time</c:v>
                </c:pt>
              </c:strCache>
            </c:strRef>
          </c:cat>
          <c:val>
            <c:numRef>
              <c:f>'Times per unit'!$B$39:$B$46</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E3B3-2D43-A36C-831901718EA5}"/>
            </c:ext>
          </c:extLst>
        </c:ser>
        <c:dLbls>
          <c:showLegendKey val="0"/>
          <c:showVal val="0"/>
          <c:showCatName val="0"/>
          <c:showSerName val="0"/>
          <c:showPercent val="0"/>
          <c:showBubbleSize val="0"/>
        </c:dLbls>
        <c:gapWidth val="150"/>
        <c:axId val="127176704"/>
        <c:axId val="127178240"/>
      </c:barChart>
      <c:catAx>
        <c:axId val="127176704"/>
        <c:scaling>
          <c:orientation val="minMax"/>
        </c:scaling>
        <c:delete val="0"/>
        <c:axPos val="b"/>
        <c:numFmt formatCode="General" sourceLinked="0"/>
        <c:majorTickMark val="out"/>
        <c:minorTickMark val="none"/>
        <c:tickLblPos val="nextTo"/>
        <c:crossAx val="127178240"/>
        <c:crosses val="autoZero"/>
        <c:auto val="1"/>
        <c:lblAlgn val="ctr"/>
        <c:lblOffset val="100"/>
        <c:noMultiLvlLbl val="0"/>
      </c:catAx>
      <c:valAx>
        <c:axId val="127178240"/>
        <c:scaling>
          <c:orientation val="minMax"/>
        </c:scaling>
        <c:delete val="0"/>
        <c:axPos val="l"/>
        <c:majorGridlines/>
        <c:numFmt formatCode="General" sourceLinked="1"/>
        <c:majorTickMark val="out"/>
        <c:minorTickMark val="none"/>
        <c:tickLblPos val="nextTo"/>
        <c:crossAx val="1271767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Times for New Choices </a:t>
            </a:r>
          </a:p>
        </c:rich>
      </c:tx>
      <c:overlay val="0"/>
    </c:title>
    <c:autoTitleDeleted val="0"/>
    <c:plotArea>
      <c:layout/>
      <c:lineChart>
        <c:grouping val="standard"/>
        <c:varyColors val="0"/>
        <c:ser>
          <c:idx val="0"/>
          <c:order val="0"/>
          <c:tx>
            <c:strRef>
              <c:f>'Times per unit'!$A$9</c:f>
              <c:strCache>
                <c:ptCount val="1"/>
                <c:pt idx="0">
                  <c:v>Amount of alleged incidents within each time period</c:v>
                </c:pt>
              </c:strCache>
            </c:strRef>
          </c:tx>
          <c:marker>
            <c:symbol val="none"/>
          </c:marker>
          <c:cat>
            <c:strRef>
              <c:f>'Times per unit'!$A$53:$A$76</c:f>
              <c:strCache>
                <c:ptCount val="24"/>
                <c:pt idx="0">
                  <c:v>12:00 to 12:59 AM</c:v>
                </c:pt>
                <c:pt idx="1">
                  <c:v>1:00 to 1:59 AM</c:v>
                </c:pt>
                <c:pt idx="2">
                  <c:v>2:00 to 2:59 AM</c:v>
                </c:pt>
                <c:pt idx="3">
                  <c:v>3:00 to 3:59 AM</c:v>
                </c:pt>
                <c:pt idx="4">
                  <c:v>4:00 to 4:59 AM</c:v>
                </c:pt>
                <c:pt idx="5">
                  <c:v>5:00 to 5:59 AM</c:v>
                </c:pt>
                <c:pt idx="6">
                  <c:v>6:00 to 6:59 AM</c:v>
                </c:pt>
                <c:pt idx="7">
                  <c:v>7:00 to 7:59 AM</c:v>
                </c:pt>
                <c:pt idx="8">
                  <c:v>8:00 to 8:59 AM</c:v>
                </c:pt>
                <c:pt idx="9">
                  <c:v>9:00 to 9:59 AM</c:v>
                </c:pt>
                <c:pt idx="10">
                  <c:v>10:00 to 10:59 AM</c:v>
                </c:pt>
                <c:pt idx="11">
                  <c:v>11:00 to 11:59 AM</c:v>
                </c:pt>
                <c:pt idx="12">
                  <c:v>12:00 to 12:59 PM</c:v>
                </c:pt>
                <c:pt idx="13">
                  <c:v>1:00 to 1:59 PM</c:v>
                </c:pt>
                <c:pt idx="14">
                  <c:v>2:00 to 2:59 PM</c:v>
                </c:pt>
                <c:pt idx="15">
                  <c:v>3:00 to 3:59 PM</c:v>
                </c:pt>
                <c:pt idx="16">
                  <c:v>4:00 to 4:59 PM</c:v>
                </c:pt>
                <c:pt idx="17">
                  <c:v>5:00 to 5:59 PM</c:v>
                </c:pt>
                <c:pt idx="18">
                  <c:v>6:00 to 6:59 PM</c:v>
                </c:pt>
                <c:pt idx="19">
                  <c:v>7:00 to 7:59 PM</c:v>
                </c:pt>
                <c:pt idx="20">
                  <c:v>8:00 to 8:59 PM</c:v>
                </c:pt>
                <c:pt idx="21">
                  <c:v>9:00 to 9:59 PM</c:v>
                </c:pt>
                <c:pt idx="22">
                  <c:v>10:00 to 10:59 PM</c:v>
                </c:pt>
                <c:pt idx="23">
                  <c:v>11:00 to 11:59 PM</c:v>
                </c:pt>
              </c:strCache>
            </c:strRef>
          </c:cat>
          <c:val>
            <c:numRef>
              <c:f>'Times per unit'!$B$53:$B$76</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0-1F72-E945-BA92-A9D2720386A5}"/>
            </c:ext>
          </c:extLst>
        </c:ser>
        <c:dLbls>
          <c:showLegendKey val="0"/>
          <c:showVal val="0"/>
          <c:showCatName val="0"/>
          <c:showSerName val="0"/>
          <c:showPercent val="0"/>
          <c:showBubbleSize val="0"/>
        </c:dLbls>
        <c:smooth val="0"/>
        <c:axId val="127272832"/>
        <c:axId val="127274368"/>
      </c:lineChart>
      <c:catAx>
        <c:axId val="127272832"/>
        <c:scaling>
          <c:orientation val="minMax"/>
        </c:scaling>
        <c:delete val="0"/>
        <c:axPos val="b"/>
        <c:numFmt formatCode="General" sourceLinked="0"/>
        <c:majorTickMark val="none"/>
        <c:minorTickMark val="none"/>
        <c:tickLblPos val="nextTo"/>
        <c:crossAx val="127274368"/>
        <c:crosses val="autoZero"/>
        <c:auto val="1"/>
        <c:lblAlgn val="ctr"/>
        <c:lblOffset val="100"/>
        <c:noMultiLvlLbl val="0"/>
      </c:catAx>
      <c:valAx>
        <c:axId val="127274368"/>
        <c:scaling>
          <c:orientation val="minMax"/>
        </c:scaling>
        <c:delete val="0"/>
        <c:axPos val="l"/>
        <c:majorGridlines/>
        <c:numFmt formatCode="General" sourceLinked="1"/>
        <c:majorTickMark val="none"/>
        <c:minorTickMark val="none"/>
        <c:tickLblPos val="nextTo"/>
        <c:spPr>
          <a:ln w="9525">
            <a:noFill/>
          </a:ln>
        </c:spPr>
        <c:crossAx val="127272832"/>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NC Grievances/ Complaints occurred on:</a:t>
            </a:r>
          </a:p>
        </c:rich>
      </c:tx>
      <c:overlay val="0"/>
    </c:title>
    <c:autoTitleDeleted val="0"/>
    <c:plotArea>
      <c:layout/>
      <c:barChart>
        <c:barDir val="col"/>
        <c:grouping val="clustered"/>
        <c:varyColors val="0"/>
        <c:ser>
          <c:idx val="0"/>
          <c:order val="0"/>
          <c:tx>
            <c:strRef>
              <c:f>'Times per unit'!$A$37</c:f>
              <c:strCache>
                <c:ptCount val="1"/>
                <c:pt idx="0">
                  <c:v>Grievances/ Complaints occurred on:</c:v>
                </c:pt>
              </c:strCache>
            </c:strRef>
          </c:tx>
          <c:invertIfNegative val="0"/>
          <c:cat>
            <c:strRef>
              <c:f>'Times per unit'!$A$79:$A$86</c:f>
              <c:strCache>
                <c:ptCount val="8"/>
                <c:pt idx="0">
                  <c:v>Monday</c:v>
                </c:pt>
                <c:pt idx="1">
                  <c:v>Tuesday</c:v>
                </c:pt>
                <c:pt idx="2">
                  <c:v>Wednesday</c:v>
                </c:pt>
                <c:pt idx="3">
                  <c:v>Thursday</c:v>
                </c:pt>
                <c:pt idx="4">
                  <c:v>Friday</c:v>
                </c:pt>
                <c:pt idx="5">
                  <c:v>Saturday</c:v>
                </c:pt>
                <c:pt idx="6">
                  <c:v>Sunday</c:v>
                </c:pt>
                <c:pt idx="7">
                  <c:v>Over a period of time</c:v>
                </c:pt>
              </c:strCache>
            </c:strRef>
          </c:cat>
          <c:val>
            <c:numRef>
              <c:f>'Times per unit'!$B$79:$B$86</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5A72-0844-8AB3-9418AA0FCA96}"/>
            </c:ext>
          </c:extLst>
        </c:ser>
        <c:dLbls>
          <c:showLegendKey val="0"/>
          <c:showVal val="0"/>
          <c:showCatName val="0"/>
          <c:showSerName val="0"/>
          <c:showPercent val="0"/>
          <c:showBubbleSize val="0"/>
        </c:dLbls>
        <c:gapWidth val="75"/>
        <c:axId val="127310848"/>
        <c:axId val="127316736"/>
      </c:barChart>
      <c:catAx>
        <c:axId val="127310848"/>
        <c:scaling>
          <c:orientation val="minMax"/>
        </c:scaling>
        <c:delete val="0"/>
        <c:axPos val="b"/>
        <c:numFmt formatCode="General" sourceLinked="0"/>
        <c:majorTickMark val="none"/>
        <c:minorTickMark val="none"/>
        <c:tickLblPos val="nextTo"/>
        <c:crossAx val="127316736"/>
        <c:crosses val="autoZero"/>
        <c:auto val="1"/>
        <c:lblAlgn val="ctr"/>
        <c:lblOffset val="100"/>
        <c:noMultiLvlLbl val="0"/>
      </c:catAx>
      <c:valAx>
        <c:axId val="127316736"/>
        <c:scaling>
          <c:orientation val="minMax"/>
        </c:scaling>
        <c:delete val="0"/>
        <c:axPos val="l"/>
        <c:majorGridlines/>
        <c:numFmt formatCode="General" sourceLinked="1"/>
        <c:majorTickMark val="none"/>
        <c:minorTickMark val="none"/>
        <c:tickLblPos val="nextTo"/>
        <c:spPr>
          <a:ln w="9525">
            <a:noFill/>
          </a:ln>
        </c:spPr>
        <c:crossAx val="127310848"/>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'Times per unit'!$A$91</c:f>
              <c:strCache>
                <c:ptCount val="1"/>
                <c:pt idx="0">
                  <c:v>Times for Safe Harbor</c:v>
                </c:pt>
              </c:strCache>
            </c:strRef>
          </c:tx>
          <c:marker>
            <c:symbol val="none"/>
          </c:marker>
          <c:cat>
            <c:strRef>
              <c:f>'Times per unit'!$A$93:$A$116</c:f>
              <c:strCache>
                <c:ptCount val="24"/>
                <c:pt idx="0">
                  <c:v>12:00 to 12:59 AM</c:v>
                </c:pt>
                <c:pt idx="1">
                  <c:v>1:00 to 1:59 AM</c:v>
                </c:pt>
                <c:pt idx="2">
                  <c:v>2:00 to 2:59 AM</c:v>
                </c:pt>
                <c:pt idx="3">
                  <c:v>3:00 to 3:59 AM</c:v>
                </c:pt>
                <c:pt idx="4">
                  <c:v>4:00 to 4:59 AM</c:v>
                </c:pt>
                <c:pt idx="5">
                  <c:v>5:00 to 5:59 AM</c:v>
                </c:pt>
                <c:pt idx="6">
                  <c:v>6:00 to 6:59 AM</c:v>
                </c:pt>
                <c:pt idx="7">
                  <c:v>7:00 to 7:59 AM</c:v>
                </c:pt>
                <c:pt idx="8">
                  <c:v>8:00 to 8:59 AM</c:v>
                </c:pt>
                <c:pt idx="9">
                  <c:v>9:00 to 9:59 AM</c:v>
                </c:pt>
                <c:pt idx="10">
                  <c:v>10:00 to 10:59 AM</c:v>
                </c:pt>
                <c:pt idx="11">
                  <c:v>11:00 to 11:59 AM</c:v>
                </c:pt>
                <c:pt idx="12">
                  <c:v>12:00 to 12:59 PM</c:v>
                </c:pt>
                <c:pt idx="13">
                  <c:v>1:00 to 1:59 PM</c:v>
                </c:pt>
                <c:pt idx="14">
                  <c:v>2:00 to 2:59 PM</c:v>
                </c:pt>
                <c:pt idx="15">
                  <c:v>3:00 to 3:59 PM</c:v>
                </c:pt>
                <c:pt idx="16">
                  <c:v>4:00 to 4:59 PM</c:v>
                </c:pt>
                <c:pt idx="17">
                  <c:v>5:00 to 5:59 PM</c:v>
                </c:pt>
                <c:pt idx="18">
                  <c:v>6:00 to 6:59 PM</c:v>
                </c:pt>
                <c:pt idx="19">
                  <c:v>7:00 to 7:59 PM</c:v>
                </c:pt>
                <c:pt idx="20">
                  <c:v>8:00 to 8:59 PM</c:v>
                </c:pt>
                <c:pt idx="21">
                  <c:v>9:00 to 9:59 PM</c:v>
                </c:pt>
                <c:pt idx="22">
                  <c:v>10:00 to 10:59 PM</c:v>
                </c:pt>
                <c:pt idx="23">
                  <c:v>11:00 to 11:59 PM</c:v>
                </c:pt>
              </c:strCache>
            </c:strRef>
          </c:cat>
          <c:val>
            <c:numRef>
              <c:f>'Times per unit'!$B$93:$B$116</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0-DB9D-864C-B524-49E6C2B06A06}"/>
            </c:ext>
          </c:extLst>
        </c:ser>
        <c:dLbls>
          <c:showLegendKey val="0"/>
          <c:showVal val="0"/>
          <c:showCatName val="0"/>
          <c:showSerName val="0"/>
          <c:showPercent val="0"/>
          <c:showBubbleSize val="0"/>
        </c:dLbls>
        <c:smooth val="0"/>
        <c:axId val="127808256"/>
        <c:axId val="127809792"/>
      </c:lineChart>
      <c:catAx>
        <c:axId val="127808256"/>
        <c:scaling>
          <c:orientation val="minMax"/>
        </c:scaling>
        <c:delete val="0"/>
        <c:axPos val="b"/>
        <c:numFmt formatCode="General" sourceLinked="0"/>
        <c:majorTickMark val="none"/>
        <c:minorTickMark val="none"/>
        <c:tickLblPos val="nextTo"/>
        <c:crossAx val="127809792"/>
        <c:crosses val="autoZero"/>
        <c:auto val="1"/>
        <c:lblAlgn val="ctr"/>
        <c:lblOffset val="100"/>
        <c:noMultiLvlLbl val="0"/>
      </c:catAx>
      <c:valAx>
        <c:axId val="127809792"/>
        <c:scaling>
          <c:orientation val="minMax"/>
        </c:scaling>
        <c:delete val="0"/>
        <c:axPos val="l"/>
        <c:majorGridlines/>
        <c:numFmt formatCode="General" sourceLinked="1"/>
        <c:majorTickMark val="none"/>
        <c:minorTickMark val="none"/>
        <c:tickLblPos val="nextTo"/>
        <c:spPr>
          <a:ln w="9525">
            <a:noFill/>
          </a:ln>
        </c:spPr>
        <c:crossAx val="127808256"/>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'Times per unit'!$A$37</c:f>
              <c:strCache>
                <c:ptCount val="1"/>
                <c:pt idx="0">
                  <c:v>Grievances/ Complaints occurred on:</c:v>
                </c:pt>
              </c:strCache>
            </c:strRef>
          </c:tx>
          <c:invertIfNegative val="0"/>
          <c:cat>
            <c:strRef>
              <c:f>'Times per unit'!$A$119:$A$126</c:f>
              <c:strCache>
                <c:ptCount val="8"/>
                <c:pt idx="0">
                  <c:v>Monday</c:v>
                </c:pt>
                <c:pt idx="1">
                  <c:v>Tuesday</c:v>
                </c:pt>
                <c:pt idx="2">
                  <c:v>Wednesday</c:v>
                </c:pt>
                <c:pt idx="3">
                  <c:v>Thursday</c:v>
                </c:pt>
                <c:pt idx="4">
                  <c:v>Friday</c:v>
                </c:pt>
                <c:pt idx="5">
                  <c:v>Saturday</c:v>
                </c:pt>
                <c:pt idx="6">
                  <c:v>Sunday</c:v>
                </c:pt>
                <c:pt idx="7">
                  <c:v>Over a period of time</c:v>
                </c:pt>
              </c:strCache>
            </c:strRef>
          </c:cat>
          <c:val>
            <c:numRef>
              <c:f>'Times per unit'!$B$119:$B$126</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391B-A940-894C-E0F698483AB8}"/>
            </c:ext>
          </c:extLst>
        </c:ser>
        <c:dLbls>
          <c:showLegendKey val="0"/>
          <c:showVal val="0"/>
          <c:showCatName val="0"/>
          <c:showSerName val="0"/>
          <c:showPercent val="0"/>
          <c:showBubbleSize val="0"/>
        </c:dLbls>
        <c:gapWidth val="150"/>
        <c:axId val="127829888"/>
        <c:axId val="127831424"/>
      </c:barChart>
      <c:catAx>
        <c:axId val="127829888"/>
        <c:scaling>
          <c:orientation val="minMax"/>
        </c:scaling>
        <c:delete val="0"/>
        <c:axPos val="b"/>
        <c:numFmt formatCode="General" sourceLinked="0"/>
        <c:majorTickMark val="out"/>
        <c:minorTickMark val="none"/>
        <c:tickLblPos val="nextTo"/>
        <c:crossAx val="127831424"/>
        <c:crosses val="autoZero"/>
        <c:auto val="1"/>
        <c:lblAlgn val="ctr"/>
        <c:lblOffset val="100"/>
        <c:noMultiLvlLbl val="0"/>
      </c:catAx>
      <c:valAx>
        <c:axId val="127831424"/>
        <c:scaling>
          <c:orientation val="minMax"/>
        </c:scaling>
        <c:delete val="0"/>
        <c:axPos val="l"/>
        <c:majorGridlines/>
        <c:numFmt formatCode="General" sourceLinked="1"/>
        <c:majorTickMark val="out"/>
        <c:minorTickMark val="none"/>
        <c:tickLblPos val="nextTo"/>
        <c:crossAx val="1278298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Times for Starting Point</a:t>
            </a:r>
          </a:p>
        </c:rich>
      </c:tx>
      <c:overlay val="0"/>
    </c:title>
    <c:autoTitleDeleted val="0"/>
    <c:plotArea>
      <c:layout/>
      <c:lineChart>
        <c:grouping val="standard"/>
        <c:varyColors val="0"/>
        <c:ser>
          <c:idx val="0"/>
          <c:order val="0"/>
          <c:tx>
            <c:strRef>
              <c:f>'Times per unit'!$A$9</c:f>
              <c:strCache>
                <c:ptCount val="1"/>
                <c:pt idx="0">
                  <c:v>Amount of alleged incidents within each time period</c:v>
                </c:pt>
              </c:strCache>
            </c:strRef>
          </c:tx>
          <c:marker>
            <c:symbol val="none"/>
          </c:marker>
          <c:cat>
            <c:strRef>
              <c:f>'Times per unit'!$A$133:$A$156</c:f>
              <c:strCache>
                <c:ptCount val="24"/>
                <c:pt idx="0">
                  <c:v>12:00 to 12:59 AM</c:v>
                </c:pt>
                <c:pt idx="1">
                  <c:v>1:00 to 1:59 AM</c:v>
                </c:pt>
                <c:pt idx="2">
                  <c:v>2:00 to 2:59 AM</c:v>
                </c:pt>
                <c:pt idx="3">
                  <c:v>3:00 to 3:59 AM</c:v>
                </c:pt>
                <c:pt idx="4">
                  <c:v>4:00 to 4:59 AM</c:v>
                </c:pt>
                <c:pt idx="5">
                  <c:v>5:00 to 5:59 AM</c:v>
                </c:pt>
                <c:pt idx="6">
                  <c:v>6:00 to 6:59 AM</c:v>
                </c:pt>
                <c:pt idx="7">
                  <c:v>7:00 to 7:59 AM</c:v>
                </c:pt>
                <c:pt idx="8">
                  <c:v>8:00 to 8:59 AM</c:v>
                </c:pt>
                <c:pt idx="9">
                  <c:v>9:00 to 9:59 AM</c:v>
                </c:pt>
                <c:pt idx="10">
                  <c:v>10:00 to 10:59 AM</c:v>
                </c:pt>
                <c:pt idx="11">
                  <c:v>11:00 to 11:59 AM</c:v>
                </c:pt>
                <c:pt idx="12">
                  <c:v>12:00 to 12:59 PM</c:v>
                </c:pt>
                <c:pt idx="13">
                  <c:v>1:00 to 1:59 PM</c:v>
                </c:pt>
                <c:pt idx="14">
                  <c:v>2:00 to 2:59 PM</c:v>
                </c:pt>
                <c:pt idx="15">
                  <c:v>3:00 to 3:59 PM</c:v>
                </c:pt>
                <c:pt idx="16">
                  <c:v>4:00 to 4:59 PM</c:v>
                </c:pt>
                <c:pt idx="17">
                  <c:v>5:00 to 5:59 PM</c:v>
                </c:pt>
                <c:pt idx="18">
                  <c:v>6:00 to 6:59 PM</c:v>
                </c:pt>
                <c:pt idx="19">
                  <c:v>7:00 to 7:59 PM</c:v>
                </c:pt>
                <c:pt idx="20">
                  <c:v>8:00 to 8:59 PM</c:v>
                </c:pt>
                <c:pt idx="21">
                  <c:v>9:00 to 9:59 PM</c:v>
                </c:pt>
                <c:pt idx="22">
                  <c:v>10:00 to 10:59 PM</c:v>
                </c:pt>
                <c:pt idx="23">
                  <c:v>11:00 to 11:59 PM</c:v>
                </c:pt>
              </c:strCache>
            </c:strRef>
          </c:cat>
          <c:val>
            <c:numRef>
              <c:f>'Times per unit'!$B$133:$B$156</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0-99E2-9946-A3D2-3B1EE56B2F41}"/>
            </c:ext>
          </c:extLst>
        </c:ser>
        <c:dLbls>
          <c:showLegendKey val="0"/>
          <c:showVal val="0"/>
          <c:showCatName val="0"/>
          <c:showSerName val="0"/>
          <c:showPercent val="0"/>
          <c:showBubbleSize val="0"/>
        </c:dLbls>
        <c:smooth val="0"/>
        <c:axId val="128462848"/>
        <c:axId val="128464384"/>
      </c:lineChart>
      <c:catAx>
        <c:axId val="128462848"/>
        <c:scaling>
          <c:orientation val="minMax"/>
        </c:scaling>
        <c:delete val="0"/>
        <c:axPos val="b"/>
        <c:numFmt formatCode="General" sourceLinked="0"/>
        <c:majorTickMark val="none"/>
        <c:minorTickMark val="none"/>
        <c:tickLblPos val="nextTo"/>
        <c:crossAx val="128464384"/>
        <c:crosses val="autoZero"/>
        <c:auto val="1"/>
        <c:lblAlgn val="ctr"/>
        <c:lblOffset val="100"/>
        <c:noMultiLvlLbl val="0"/>
      </c:catAx>
      <c:valAx>
        <c:axId val="128464384"/>
        <c:scaling>
          <c:orientation val="minMax"/>
        </c:scaling>
        <c:delete val="0"/>
        <c:axPos val="l"/>
        <c:majorGridlines/>
        <c:numFmt formatCode="General" sourceLinked="1"/>
        <c:majorTickMark val="none"/>
        <c:minorTickMark val="none"/>
        <c:tickLblPos val="nextTo"/>
        <c:spPr>
          <a:ln w="9525">
            <a:noFill/>
          </a:ln>
        </c:spPr>
        <c:crossAx val="128462848"/>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'Times per unit'!$A$37</c:f>
              <c:strCache>
                <c:ptCount val="1"/>
                <c:pt idx="0">
                  <c:v>Grievances/ Complaints occurred on:</c:v>
                </c:pt>
              </c:strCache>
            </c:strRef>
          </c:tx>
          <c:invertIfNegative val="0"/>
          <c:cat>
            <c:strRef>
              <c:f>'Times per unit'!$A$159:$A$166</c:f>
              <c:strCache>
                <c:ptCount val="8"/>
                <c:pt idx="0">
                  <c:v>Monday</c:v>
                </c:pt>
                <c:pt idx="1">
                  <c:v>Tuesday</c:v>
                </c:pt>
                <c:pt idx="2">
                  <c:v>Wednesday</c:v>
                </c:pt>
                <c:pt idx="3">
                  <c:v>Thursday</c:v>
                </c:pt>
                <c:pt idx="4">
                  <c:v>Friday</c:v>
                </c:pt>
                <c:pt idx="5">
                  <c:v>Saturday</c:v>
                </c:pt>
                <c:pt idx="6">
                  <c:v>Sunday</c:v>
                </c:pt>
                <c:pt idx="7">
                  <c:v>Over a period of time</c:v>
                </c:pt>
              </c:strCache>
            </c:strRef>
          </c:cat>
          <c:val>
            <c:numRef>
              <c:f>'Times per unit'!$B$159:$B$166</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1A02-9648-8318-EA4E5019F486}"/>
            </c:ext>
          </c:extLst>
        </c:ser>
        <c:dLbls>
          <c:showLegendKey val="0"/>
          <c:showVal val="0"/>
          <c:showCatName val="0"/>
          <c:showSerName val="0"/>
          <c:showPercent val="0"/>
          <c:showBubbleSize val="0"/>
        </c:dLbls>
        <c:gapWidth val="150"/>
        <c:axId val="128484480"/>
        <c:axId val="128486016"/>
      </c:barChart>
      <c:catAx>
        <c:axId val="128484480"/>
        <c:scaling>
          <c:orientation val="minMax"/>
        </c:scaling>
        <c:delete val="0"/>
        <c:axPos val="b"/>
        <c:numFmt formatCode="General" sourceLinked="0"/>
        <c:majorTickMark val="out"/>
        <c:minorTickMark val="none"/>
        <c:tickLblPos val="nextTo"/>
        <c:crossAx val="128486016"/>
        <c:crosses val="autoZero"/>
        <c:auto val="1"/>
        <c:lblAlgn val="ctr"/>
        <c:lblOffset val="100"/>
        <c:noMultiLvlLbl val="0"/>
      </c:catAx>
      <c:valAx>
        <c:axId val="128486016"/>
        <c:scaling>
          <c:orientation val="minMax"/>
        </c:scaling>
        <c:delete val="0"/>
        <c:axPos val="l"/>
        <c:majorGridlines/>
        <c:numFmt formatCode="General" sourceLinked="1"/>
        <c:majorTickMark val="out"/>
        <c:minorTickMark val="none"/>
        <c:tickLblPos val="nextTo"/>
        <c:crossAx val="1284844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Times for Transformations 1</a:t>
            </a:r>
          </a:p>
          <a:p>
            <a:pPr>
              <a:defRPr/>
            </a:pPr>
            <a:endParaRPr lang="en-US"/>
          </a:p>
        </c:rich>
      </c:tx>
      <c:overlay val="0"/>
    </c:title>
    <c:autoTitleDeleted val="0"/>
    <c:plotArea>
      <c:layout/>
      <c:lineChart>
        <c:grouping val="standard"/>
        <c:varyColors val="0"/>
        <c:ser>
          <c:idx val="0"/>
          <c:order val="0"/>
          <c:tx>
            <c:strRef>
              <c:f>'Times per unit'!$A$9</c:f>
              <c:strCache>
                <c:ptCount val="1"/>
                <c:pt idx="0">
                  <c:v>Amount of alleged incidents within each time period</c:v>
                </c:pt>
              </c:strCache>
            </c:strRef>
          </c:tx>
          <c:marker>
            <c:symbol val="none"/>
          </c:marker>
          <c:cat>
            <c:strRef>
              <c:f>'Times per unit'!$A$173:$A$196</c:f>
              <c:strCache>
                <c:ptCount val="24"/>
                <c:pt idx="0">
                  <c:v>12:00 to 12:59 AM</c:v>
                </c:pt>
                <c:pt idx="1">
                  <c:v>1:00 to 1:59 AM</c:v>
                </c:pt>
                <c:pt idx="2">
                  <c:v>2:00 to 2:59 AM</c:v>
                </c:pt>
                <c:pt idx="3">
                  <c:v>3:00 to 3:59 AM</c:v>
                </c:pt>
                <c:pt idx="4">
                  <c:v>4:00 to 4:59 AM</c:v>
                </c:pt>
                <c:pt idx="5">
                  <c:v>5:00 to 5:59 AM</c:v>
                </c:pt>
                <c:pt idx="6">
                  <c:v>6:00 to 6:59 AM</c:v>
                </c:pt>
                <c:pt idx="7">
                  <c:v>7:00 to 7:59 AM</c:v>
                </c:pt>
                <c:pt idx="8">
                  <c:v>8:00 to 8:59 AM</c:v>
                </c:pt>
                <c:pt idx="9">
                  <c:v>9:00 to 9:59 AM</c:v>
                </c:pt>
                <c:pt idx="10">
                  <c:v>10:00 to 10:59 AM</c:v>
                </c:pt>
                <c:pt idx="11">
                  <c:v>11:00 to 11:59 AM</c:v>
                </c:pt>
                <c:pt idx="12">
                  <c:v>12:00 to 12:59 PM</c:v>
                </c:pt>
                <c:pt idx="13">
                  <c:v>1:00 to 1:59 PM</c:v>
                </c:pt>
                <c:pt idx="14">
                  <c:v>2:00 to 2:59 PM</c:v>
                </c:pt>
                <c:pt idx="15">
                  <c:v>3:00 to 3:59 PM</c:v>
                </c:pt>
                <c:pt idx="16">
                  <c:v>4:00 to 4:59 PM</c:v>
                </c:pt>
                <c:pt idx="17">
                  <c:v>5:00 to 5:59 PM</c:v>
                </c:pt>
                <c:pt idx="18">
                  <c:v>6:00 to 6:59 PM</c:v>
                </c:pt>
                <c:pt idx="19">
                  <c:v>7:00 to 7:59 PM</c:v>
                </c:pt>
                <c:pt idx="20">
                  <c:v>8:00 to 8:59 PM</c:v>
                </c:pt>
                <c:pt idx="21">
                  <c:v>9:00 to 9:59 PM</c:v>
                </c:pt>
                <c:pt idx="22">
                  <c:v>10:00 to 10:59 PM</c:v>
                </c:pt>
                <c:pt idx="23">
                  <c:v>11:00 to 11:59 PM</c:v>
                </c:pt>
              </c:strCache>
            </c:strRef>
          </c:cat>
          <c:val>
            <c:numRef>
              <c:f>'Times per unit'!$B$173:$B$196</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0-A1C3-ED43-924A-3563C0E90D33}"/>
            </c:ext>
          </c:extLst>
        </c:ser>
        <c:dLbls>
          <c:showLegendKey val="0"/>
          <c:showVal val="0"/>
          <c:showCatName val="0"/>
          <c:showSerName val="0"/>
          <c:showPercent val="0"/>
          <c:showBubbleSize val="0"/>
        </c:dLbls>
        <c:smooth val="0"/>
        <c:axId val="128261120"/>
        <c:axId val="128267008"/>
      </c:lineChart>
      <c:catAx>
        <c:axId val="128261120"/>
        <c:scaling>
          <c:orientation val="minMax"/>
        </c:scaling>
        <c:delete val="0"/>
        <c:axPos val="b"/>
        <c:numFmt formatCode="General" sourceLinked="0"/>
        <c:majorTickMark val="none"/>
        <c:minorTickMark val="none"/>
        <c:tickLblPos val="nextTo"/>
        <c:crossAx val="128267008"/>
        <c:crosses val="autoZero"/>
        <c:auto val="1"/>
        <c:lblAlgn val="ctr"/>
        <c:lblOffset val="100"/>
        <c:noMultiLvlLbl val="0"/>
      </c:catAx>
      <c:valAx>
        <c:axId val="128267008"/>
        <c:scaling>
          <c:orientation val="minMax"/>
        </c:scaling>
        <c:delete val="0"/>
        <c:axPos val="l"/>
        <c:majorGridlines/>
        <c:numFmt formatCode="General" sourceLinked="1"/>
        <c:majorTickMark val="none"/>
        <c:minorTickMark val="none"/>
        <c:tickLblPos val="nextTo"/>
        <c:spPr>
          <a:ln w="9525">
            <a:noFill/>
          </a:ln>
        </c:spPr>
        <c:crossAx val="128261120"/>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'Times per unit'!$A$37</c:f>
              <c:strCache>
                <c:ptCount val="1"/>
                <c:pt idx="0">
                  <c:v>Grievances/ Complaints occurred on:</c:v>
                </c:pt>
              </c:strCache>
            </c:strRef>
          </c:tx>
          <c:invertIfNegative val="0"/>
          <c:cat>
            <c:strRef>
              <c:f>'Times per unit'!$A$199:$A$206</c:f>
              <c:strCache>
                <c:ptCount val="8"/>
                <c:pt idx="0">
                  <c:v>Monday</c:v>
                </c:pt>
                <c:pt idx="1">
                  <c:v>Tuesday</c:v>
                </c:pt>
                <c:pt idx="2">
                  <c:v>Wednesday</c:v>
                </c:pt>
                <c:pt idx="3">
                  <c:v>Thursday</c:v>
                </c:pt>
                <c:pt idx="4">
                  <c:v>Friday</c:v>
                </c:pt>
                <c:pt idx="5">
                  <c:v>Saturday</c:v>
                </c:pt>
                <c:pt idx="6">
                  <c:v>Sunday</c:v>
                </c:pt>
                <c:pt idx="7">
                  <c:v>Over a period of time</c:v>
                </c:pt>
              </c:strCache>
            </c:strRef>
          </c:cat>
          <c:val>
            <c:numRef>
              <c:f>'Times per unit'!$B$199:$B$206</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9F1E-0F4A-9832-4C69BA3BFEC3}"/>
            </c:ext>
          </c:extLst>
        </c:ser>
        <c:dLbls>
          <c:showLegendKey val="0"/>
          <c:showVal val="0"/>
          <c:showCatName val="0"/>
          <c:showSerName val="0"/>
          <c:showPercent val="0"/>
          <c:showBubbleSize val="0"/>
        </c:dLbls>
        <c:gapWidth val="75"/>
        <c:overlap val="-25"/>
        <c:axId val="128291200"/>
        <c:axId val="128292736"/>
      </c:barChart>
      <c:catAx>
        <c:axId val="128291200"/>
        <c:scaling>
          <c:orientation val="minMax"/>
        </c:scaling>
        <c:delete val="0"/>
        <c:axPos val="b"/>
        <c:numFmt formatCode="General" sourceLinked="0"/>
        <c:majorTickMark val="none"/>
        <c:minorTickMark val="none"/>
        <c:tickLblPos val="nextTo"/>
        <c:crossAx val="128292736"/>
        <c:crosses val="autoZero"/>
        <c:auto val="1"/>
        <c:lblAlgn val="ctr"/>
        <c:lblOffset val="100"/>
        <c:noMultiLvlLbl val="0"/>
      </c:catAx>
      <c:valAx>
        <c:axId val="128292736"/>
        <c:scaling>
          <c:orientation val="minMax"/>
        </c:scaling>
        <c:delete val="0"/>
        <c:axPos val="l"/>
        <c:majorGridlines/>
        <c:numFmt formatCode="General" sourceLinked="1"/>
        <c:majorTickMark val="none"/>
        <c:minorTickMark val="none"/>
        <c:tickLblPos val="nextTo"/>
        <c:spPr>
          <a:ln w="9525">
            <a:noFill/>
          </a:ln>
        </c:spPr>
        <c:crossAx val="128291200"/>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Times for Transformations 2</a:t>
            </a:r>
          </a:p>
        </c:rich>
      </c:tx>
      <c:overlay val="0"/>
    </c:title>
    <c:autoTitleDeleted val="0"/>
    <c:plotArea>
      <c:layout/>
      <c:lineChart>
        <c:grouping val="standard"/>
        <c:varyColors val="0"/>
        <c:ser>
          <c:idx val="0"/>
          <c:order val="0"/>
          <c:tx>
            <c:strRef>
              <c:f>'Times per unit'!$A$9</c:f>
              <c:strCache>
                <c:ptCount val="1"/>
                <c:pt idx="0">
                  <c:v>Amount of alleged incidents within each time period</c:v>
                </c:pt>
              </c:strCache>
            </c:strRef>
          </c:tx>
          <c:marker>
            <c:symbol val="none"/>
          </c:marker>
          <c:cat>
            <c:strRef>
              <c:f>'Times per unit'!$A$213:$A$236</c:f>
              <c:strCache>
                <c:ptCount val="24"/>
                <c:pt idx="0">
                  <c:v>12:00 to 12:59 AM</c:v>
                </c:pt>
                <c:pt idx="1">
                  <c:v>1:00 to 1:59 AM</c:v>
                </c:pt>
                <c:pt idx="2">
                  <c:v>2:00 to 2:59 AM</c:v>
                </c:pt>
                <c:pt idx="3">
                  <c:v>3:00 to 3:59 AM</c:v>
                </c:pt>
                <c:pt idx="4">
                  <c:v>4:00 to 4:59 AM</c:v>
                </c:pt>
                <c:pt idx="5">
                  <c:v>5:00 to 5:59 AM</c:v>
                </c:pt>
                <c:pt idx="6">
                  <c:v>6:00 to 6:59 AM</c:v>
                </c:pt>
                <c:pt idx="7">
                  <c:v>7:00 to 7:59 AM</c:v>
                </c:pt>
                <c:pt idx="8">
                  <c:v>8:00 to 8:59 AM</c:v>
                </c:pt>
                <c:pt idx="9">
                  <c:v>9:00 to 9:59 AM</c:v>
                </c:pt>
                <c:pt idx="10">
                  <c:v>10:00 to 10:59 AM</c:v>
                </c:pt>
                <c:pt idx="11">
                  <c:v>11:00 to 11:59 AM</c:v>
                </c:pt>
                <c:pt idx="12">
                  <c:v>12:00 to 12:59 PM</c:v>
                </c:pt>
                <c:pt idx="13">
                  <c:v>1:00 to 1:59 PM</c:v>
                </c:pt>
                <c:pt idx="14">
                  <c:v>2:00 to 2:59 PM</c:v>
                </c:pt>
                <c:pt idx="15">
                  <c:v>3:00 to 3:59 PM</c:v>
                </c:pt>
                <c:pt idx="16">
                  <c:v>4:00 to 4:59 PM</c:v>
                </c:pt>
                <c:pt idx="17">
                  <c:v>5:00 to 5:59 PM</c:v>
                </c:pt>
                <c:pt idx="18">
                  <c:v>6:00 to 6:59 PM</c:v>
                </c:pt>
                <c:pt idx="19">
                  <c:v>7:00 to 7:59 PM</c:v>
                </c:pt>
                <c:pt idx="20">
                  <c:v>8:00 to 8:59 PM</c:v>
                </c:pt>
                <c:pt idx="21">
                  <c:v>9:00 to 9:59 PM</c:v>
                </c:pt>
                <c:pt idx="22">
                  <c:v>10:00 to 10:59 PM</c:v>
                </c:pt>
                <c:pt idx="23">
                  <c:v>11:00 to 11:59 PM</c:v>
                </c:pt>
              </c:strCache>
            </c:strRef>
          </c:cat>
          <c:val>
            <c:numRef>
              <c:f>'Times per unit'!$B$213:$B$236</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0-2779-2541-A218-58F57E283C51}"/>
            </c:ext>
          </c:extLst>
        </c:ser>
        <c:dLbls>
          <c:showLegendKey val="0"/>
          <c:showVal val="0"/>
          <c:showCatName val="0"/>
          <c:showSerName val="0"/>
          <c:showPercent val="0"/>
          <c:showBubbleSize val="0"/>
        </c:dLbls>
        <c:smooth val="0"/>
        <c:axId val="128313600"/>
        <c:axId val="128315392"/>
      </c:lineChart>
      <c:catAx>
        <c:axId val="128313600"/>
        <c:scaling>
          <c:orientation val="minMax"/>
        </c:scaling>
        <c:delete val="0"/>
        <c:axPos val="b"/>
        <c:numFmt formatCode="General" sourceLinked="0"/>
        <c:majorTickMark val="none"/>
        <c:minorTickMark val="none"/>
        <c:tickLblPos val="nextTo"/>
        <c:crossAx val="128315392"/>
        <c:crosses val="autoZero"/>
        <c:auto val="1"/>
        <c:lblAlgn val="ctr"/>
        <c:lblOffset val="100"/>
        <c:noMultiLvlLbl val="0"/>
      </c:catAx>
      <c:valAx>
        <c:axId val="128315392"/>
        <c:scaling>
          <c:orientation val="minMax"/>
        </c:scaling>
        <c:delete val="0"/>
        <c:axPos val="l"/>
        <c:majorGridlines/>
        <c:numFmt formatCode="General" sourceLinked="1"/>
        <c:majorTickMark val="none"/>
        <c:minorTickMark val="none"/>
        <c:tickLblPos val="nextTo"/>
        <c:spPr>
          <a:ln w="9525">
            <a:noFill/>
          </a:ln>
        </c:spPr>
        <c:crossAx val="128313600"/>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'Times per unit'!$A$238</c:f>
              <c:strCache>
                <c:ptCount val="1"/>
                <c:pt idx="0">
                  <c:v>Days of the week:</c:v>
                </c:pt>
              </c:strCache>
            </c:strRef>
          </c:tx>
          <c:invertIfNegative val="0"/>
          <c:cat>
            <c:strRef>
              <c:f>'Times per unit'!$A$239:$A$246</c:f>
              <c:strCache>
                <c:ptCount val="8"/>
                <c:pt idx="0">
                  <c:v>Monday</c:v>
                </c:pt>
                <c:pt idx="1">
                  <c:v>Tuesday</c:v>
                </c:pt>
                <c:pt idx="2">
                  <c:v>Wednesday</c:v>
                </c:pt>
                <c:pt idx="3">
                  <c:v>Thursday</c:v>
                </c:pt>
                <c:pt idx="4">
                  <c:v>Friday</c:v>
                </c:pt>
                <c:pt idx="5">
                  <c:v>Saturday</c:v>
                </c:pt>
                <c:pt idx="6">
                  <c:v>Sunday</c:v>
                </c:pt>
                <c:pt idx="7">
                  <c:v>Over a period of time</c:v>
                </c:pt>
              </c:strCache>
            </c:strRef>
          </c:cat>
          <c:val>
            <c:numRef>
              <c:f>'Times per unit'!$B$239:$B$246</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A65F-AC4E-A230-8B9790E576E9}"/>
            </c:ext>
          </c:extLst>
        </c:ser>
        <c:dLbls>
          <c:showLegendKey val="0"/>
          <c:showVal val="0"/>
          <c:showCatName val="0"/>
          <c:showSerName val="0"/>
          <c:showPercent val="0"/>
          <c:showBubbleSize val="0"/>
        </c:dLbls>
        <c:gapWidth val="75"/>
        <c:overlap val="-25"/>
        <c:axId val="128339328"/>
        <c:axId val="128349312"/>
      </c:barChart>
      <c:catAx>
        <c:axId val="128339328"/>
        <c:scaling>
          <c:orientation val="minMax"/>
        </c:scaling>
        <c:delete val="0"/>
        <c:axPos val="b"/>
        <c:numFmt formatCode="General" sourceLinked="0"/>
        <c:majorTickMark val="none"/>
        <c:minorTickMark val="none"/>
        <c:tickLblPos val="nextTo"/>
        <c:crossAx val="128349312"/>
        <c:crosses val="autoZero"/>
        <c:auto val="1"/>
        <c:lblAlgn val="ctr"/>
        <c:lblOffset val="100"/>
        <c:noMultiLvlLbl val="0"/>
      </c:catAx>
      <c:valAx>
        <c:axId val="128349312"/>
        <c:scaling>
          <c:orientation val="minMax"/>
        </c:scaling>
        <c:delete val="0"/>
        <c:axPos val="l"/>
        <c:majorGridlines/>
        <c:numFmt formatCode="General" sourceLinked="1"/>
        <c:majorTickMark val="none"/>
        <c:minorTickMark val="none"/>
        <c:tickLblPos val="nextTo"/>
        <c:spPr>
          <a:ln w="9525">
            <a:noFill/>
          </a:ln>
        </c:spPr>
        <c:crossAx val="128339328"/>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Times for Triad</a:t>
            </a:r>
          </a:p>
        </c:rich>
      </c:tx>
      <c:overlay val="0"/>
    </c:title>
    <c:autoTitleDeleted val="0"/>
    <c:plotArea>
      <c:layout/>
      <c:lineChart>
        <c:grouping val="standard"/>
        <c:varyColors val="0"/>
        <c:ser>
          <c:idx val="0"/>
          <c:order val="0"/>
          <c:tx>
            <c:strRef>
              <c:f>'Times per unit'!$A$9</c:f>
              <c:strCache>
                <c:ptCount val="1"/>
                <c:pt idx="0">
                  <c:v>Amount of alleged incidents within each time period</c:v>
                </c:pt>
              </c:strCache>
            </c:strRef>
          </c:tx>
          <c:marker>
            <c:symbol val="none"/>
          </c:marker>
          <c:cat>
            <c:strRef>
              <c:f>'Times per unit'!$A$253:$A$276</c:f>
              <c:strCache>
                <c:ptCount val="24"/>
                <c:pt idx="0">
                  <c:v>12:00 to 12:59 AM</c:v>
                </c:pt>
                <c:pt idx="1">
                  <c:v>1:00 to 1:59 AM</c:v>
                </c:pt>
                <c:pt idx="2">
                  <c:v>2:00 to 2:59 AM</c:v>
                </c:pt>
                <c:pt idx="3">
                  <c:v>3:00 to 3:59 AM</c:v>
                </c:pt>
                <c:pt idx="4">
                  <c:v>4:00 to 4:59 AM</c:v>
                </c:pt>
                <c:pt idx="5">
                  <c:v>5:00 to 5:59 AM</c:v>
                </c:pt>
                <c:pt idx="6">
                  <c:v>6:00 to 6:59 AM</c:v>
                </c:pt>
                <c:pt idx="7">
                  <c:v>7:00 to 7:59 AM</c:v>
                </c:pt>
                <c:pt idx="8">
                  <c:v>8:00 to 8:59 AM</c:v>
                </c:pt>
                <c:pt idx="9">
                  <c:v>9:00 to 9:59 AM</c:v>
                </c:pt>
                <c:pt idx="10">
                  <c:v>10:00 to 10:59 AM</c:v>
                </c:pt>
                <c:pt idx="11">
                  <c:v>11:00 to 11:59 AM</c:v>
                </c:pt>
                <c:pt idx="12">
                  <c:v>12:00 to 12:59 PM</c:v>
                </c:pt>
                <c:pt idx="13">
                  <c:v>1:00 to 1:59 PM</c:v>
                </c:pt>
                <c:pt idx="14">
                  <c:v>2:00 to 2:59 PM</c:v>
                </c:pt>
                <c:pt idx="15">
                  <c:v>3:00 to 3:59 PM</c:v>
                </c:pt>
                <c:pt idx="16">
                  <c:v>4:00 to 4:59 PM</c:v>
                </c:pt>
                <c:pt idx="17">
                  <c:v>5:00 to 5:59 PM</c:v>
                </c:pt>
                <c:pt idx="18">
                  <c:v>6:00 to 6:59 PM</c:v>
                </c:pt>
                <c:pt idx="19">
                  <c:v>7:00 to 7:59 PM</c:v>
                </c:pt>
                <c:pt idx="20">
                  <c:v>8:00 to 8:59 PM</c:v>
                </c:pt>
                <c:pt idx="21">
                  <c:v>9:00 to 9:59 PM</c:v>
                </c:pt>
                <c:pt idx="22">
                  <c:v>10:00 to 10:59 PM</c:v>
                </c:pt>
                <c:pt idx="23">
                  <c:v>11:00 to 11:59 PM</c:v>
                </c:pt>
              </c:strCache>
            </c:strRef>
          </c:cat>
          <c:val>
            <c:numRef>
              <c:f>'Times per unit'!$B$253:$B$276</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0-DA4D-4C43-B5D2-E20CB486F8D6}"/>
            </c:ext>
          </c:extLst>
        </c:ser>
        <c:dLbls>
          <c:showLegendKey val="0"/>
          <c:showVal val="0"/>
          <c:showCatName val="0"/>
          <c:showSerName val="0"/>
          <c:showPercent val="0"/>
          <c:showBubbleSize val="0"/>
        </c:dLbls>
        <c:smooth val="0"/>
        <c:axId val="128378368"/>
        <c:axId val="128379904"/>
      </c:lineChart>
      <c:catAx>
        <c:axId val="128378368"/>
        <c:scaling>
          <c:orientation val="minMax"/>
        </c:scaling>
        <c:delete val="0"/>
        <c:axPos val="b"/>
        <c:numFmt formatCode="General" sourceLinked="0"/>
        <c:majorTickMark val="none"/>
        <c:minorTickMark val="none"/>
        <c:tickLblPos val="nextTo"/>
        <c:crossAx val="128379904"/>
        <c:crosses val="autoZero"/>
        <c:auto val="1"/>
        <c:lblAlgn val="ctr"/>
        <c:lblOffset val="100"/>
        <c:noMultiLvlLbl val="0"/>
      </c:catAx>
      <c:valAx>
        <c:axId val="128379904"/>
        <c:scaling>
          <c:orientation val="minMax"/>
        </c:scaling>
        <c:delete val="0"/>
        <c:axPos val="l"/>
        <c:majorGridlines/>
        <c:numFmt formatCode="General" sourceLinked="1"/>
        <c:majorTickMark val="none"/>
        <c:minorTickMark val="none"/>
        <c:tickLblPos val="nextTo"/>
        <c:spPr>
          <a:ln w="9525">
            <a:noFill/>
          </a:ln>
        </c:spPr>
        <c:crossAx val="128378368"/>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'Times per unit'!$A$278</c:f>
              <c:strCache>
                <c:ptCount val="1"/>
                <c:pt idx="0">
                  <c:v>Days of the week:</c:v>
                </c:pt>
              </c:strCache>
            </c:strRef>
          </c:tx>
          <c:invertIfNegative val="0"/>
          <c:cat>
            <c:strRef>
              <c:f>'Times per unit'!$A$279:$A$286</c:f>
              <c:strCache>
                <c:ptCount val="8"/>
                <c:pt idx="0">
                  <c:v>Monday</c:v>
                </c:pt>
                <c:pt idx="1">
                  <c:v>Tuesday</c:v>
                </c:pt>
                <c:pt idx="2">
                  <c:v>Wednesday</c:v>
                </c:pt>
                <c:pt idx="3">
                  <c:v>Thursday</c:v>
                </c:pt>
                <c:pt idx="4">
                  <c:v>Friday</c:v>
                </c:pt>
                <c:pt idx="5">
                  <c:v>Saturday</c:v>
                </c:pt>
                <c:pt idx="6">
                  <c:v>Sunday</c:v>
                </c:pt>
                <c:pt idx="7">
                  <c:v>Over a period of time</c:v>
                </c:pt>
              </c:strCache>
            </c:strRef>
          </c:cat>
          <c:val>
            <c:numRef>
              <c:f>'Times per unit'!$B$279:$B$286</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022F-0649-BEDC-66FF382C63E0}"/>
            </c:ext>
          </c:extLst>
        </c:ser>
        <c:dLbls>
          <c:showLegendKey val="0"/>
          <c:showVal val="0"/>
          <c:showCatName val="0"/>
          <c:showSerName val="0"/>
          <c:showPercent val="0"/>
          <c:showBubbleSize val="0"/>
        </c:dLbls>
        <c:gapWidth val="75"/>
        <c:overlap val="-25"/>
        <c:axId val="128785024"/>
        <c:axId val="128803200"/>
      </c:barChart>
      <c:catAx>
        <c:axId val="128785024"/>
        <c:scaling>
          <c:orientation val="minMax"/>
        </c:scaling>
        <c:delete val="0"/>
        <c:axPos val="b"/>
        <c:numFmt formatCode="General" sourceLinked="0"/>
        <c:majorTickMark val="none"/>
        <c:minorTickMark val="none"/>
        <c:tickLblPos val="nextTo"/>
        <c:crossAx val="128803200"/>
        <c:crosses val="autoZero"/>
        <c:auto val="1"/>
        <c:lblAlgn val="ctr"/>
        <c:lblOffset val="100"/>
        <c:noMultiLvlLbl val="0"/>
      </c:catAx>
      <c:valAx>
        <c:axId val="128803200"/>
        <c:scaling>
          <c:orientation val="minMax"/>
        </c:scaling>
        <c:delete val="0"/>
        <c:axPos val="l"/>
        <c:majorGridlines/>
        <c:numFmt formatCode="General" sourceLinked="1"/>
        <c:majorTickMark val="none"/>
        <c:minorTickMark val="none"/>
        <c:tickLblPos val="nextTo"/>
        <c:spPr>
          <a:ln w="9525">
            <a:noFill/>
          </a:ln>
        </c:spPr>
        <c:crossAx val="128785024"/>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Times for Turning Point</a:t>
            </a:r>
          </a:p>
        </c:rich>
      </c:tx>
      <c:overlay val="0"/>
    </c:title>
    <c:autoTitleDeleted val="0"/>
    <c:plotArea>
      <c:layout/>
      <c:lineChart>
        <c:grouping val="standard"/>
        <c:varyColors val="0"/>
        <c:ser>
          <c:idx val="0"/>
          <c:order val="0"/>
          <c:tx>
            <c:strRef>
              <c:f>'Times per unit'!$A$9</c:f>
              <c:strCache>
                <c:ptCount val="1"/>
                <c:pt idx="0">
                  <c:v>Amount of alleged incidents within each time period</c:v>
                </c:pt>
              </c:strCache>
            </c:strRef>
          </c:tx>
          <c:marker>
            <c:symbol val="none"/>
          </c:marker>
          <c:cat>
            <c:strRef>
              <c:f>'Times per unit'!$A$293:$A$316</c:f>
              <c:strCache>
                <c:ptCount val="24"/>
                <c:pt idx="0">
                  <c:v>12:00 to 12:59 AM</c:v>
                </c:pt>
                <c:pt idx="1">
                  <c:v>1:00 to 1:59 AM</c:v>
                </c:pt>
                <c:pt idx="2">
                  <c:v>2:00 to 2:59 AM</c:v>
                </c:pt>
                <c:pt idx="3">
                  <c:v>3:00 to 3:59 AM</c:v>
                </c:pt>
                <c:pt idx="4">
                  <c:v>4:00 to 4:59 AM</c:v>
                </c:pt>
                <c:pt idx="5">
                  <c:v>5:00 to 5:59 AM</c:v>
                </c:pt>
                <c:pt idx="6">
                  <c:v>6:00 to 6:59 AM</c:v>
                </c:pt>
                <c:pt idx="7">
                  <c:v>7:00 to 7:59 AM</c:v>
                </c:pt>
                <c:pt idx="8">
                  <c:v>8:00 to 8:59 AM</c:v>
                </c:pt>
                <c:pt idx="9">
                  <c:v>9:00 to 9:59 AM</c:v>
                </c:pt>
                <c:pt idx="10">
                  <c:v>10:00 to 10:59 AM</c:v>
                </c:pt>
                <c:pt idx="11">
                  <c:v>11:00 to 11:59 AM</c:v>
                </c:pt>
                <c:pt idx="12">
                  <c:v>12:00 to 12:59 PM</c:v>
                </c:pt>
                <c:pt idx="13">
                  <c:v>1:00 to 1:59 PM</c:v>
                </c:pt>
                <c:pt idx="14">
                  <c:v>2:00 to 2:59 PM</c:v>
                </c:pt>
                <c:pt idx="15">
                  <c:v>3:00 to 3:59 PM</c:v>
                </c:pt>
                <c:pt idx="16">
                  <c:v>4:00 to 4:59 PM</c:v>
                </c:pt>
                <c:pt idx="17">
                  <c:v>5:00 to 5:59 PM</c:v>
                </c:pt>
                <c:pt idx="18">
                  <c:v>6:00 to 6:59 PM</c:v>
                </c:pt>
                <c:pt idx="19">
                  <c:v>7:00 to 7:59 PM</c:v>
                </c:pt>
                <c:pt idx="20">
                  <c:v>8:00 to 8:59 PM</c:v>
                </c:pt>
                <c:pt idx="21">
                  <c:v>9:00 to 9:59 PM</c:v>
                </c:pt>
                <c:pt idx="22">
                  <c:v>10:00 to 10:59 PM</c:v>
                </c:pt>
                <c:pt idx="23">
                  <c:v>11:00 to 11:59 PM</c:v>
                </c:pt>
              </c:strCache>
            </c:strRef>
          </c:cat>
          <c:val>
            <c:numRef>
              <c:f>'Times per unit'!$B$293:$B$316</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0-46A8-584B-A488-AB3CE82024DE}"/>
            </c:ext>
          </c:extLst>
        </c:ser>
        <c:dLbls>
          <c:showLegendKey val="0"/>
          <c:showVal val="0"/>
          <c:showCatName val="0"/>
          <c:showSerName val="0"/>
          <c:showPercent val="0"/>
          <c:showBubbleSize val="0"/>
        </c:dLbls>
        <c:smooth val="0"/>
        <c:axId val="128840448"/>
        <c:axId val="128841984"/>
      </c:lineChart>
      <c:catAx>
        <c:axId val="128840448"/>
        <c:scaling>
          <c:orientation val="minMax"/>
        </c:scaling>
        <c:delete val="0"/>
        <c:axPos val="b"/>
        <c:numFmt formatCode="General" sourceLinked="0"/>
        <c:majorTickMark val="none"/>
        <c:minorTickMark val="none"/>
        <c:tickLblPos val="nextTo"/>
        <c:crossAx val="128841984"/>
        <c:crosses val="autoZero"/>
        <c:auto val="1"/>
        <c:lblAlgn val="ctr"/>
        <c:lblOffset val="100"/>
        <c:noMultiLvlLbl val="0"/>
      </c:catAx>
      <c:valAx>
        <c:axId val="128841984"/>
        <c:scaling>
          <c:orientation val="minMax"/>
        </c:scaling>
        <c:delete val="0"/>
        <c:axPos val="l"/>
        <c:majorGridlines/>
        <c:numFmt formatCode="General" sourceLinked="1"/>
        <c:majorTickMark val="none"/>
        <c:minorTickMark val="none"/>
        <c:tickLblPos val="nextTo"/>
        <c:spPr>
          <a:ln w="9525">
            <a:noFill/>
          </a:ln>
        </c:spPr>
        <c:crossAx val="128840448"/>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'Times per unit'!$A$318</c:f>
              <c:strCache>
                <c:ptCount val="1"/>
                <c:pt idx="0">
                  <c:v>Days of the week:</c:v>
                </c:pt>
              </c:strCache>
            </c:strRef>
          </c:tx>
          <c:invertIfNegative val="0"/>
          <c:cat>
            <c:strRef>
              <c:f>'Times per unit'!$A$319:$A$326</c:f>
              <c:strCache>
                <c:ptCount val="8"/>
                <c:pt idx="0">
                  <c:v>Monday</c:v>
                </c:pt>
                <c:pt idx="1">
                  <c:v>Tuesday</c:v>
                </c:pt>
                <c:pt idx="2">
                  <c:v>Wednesday</c:v>
                </c:pt>
                <c:pt idx="3">
                  <c:v>Thursday</c:v>
                </c:pt>
                <c:pt idx="4">
                  <c:v>Friday</c:v>
                </c:pt>
                <c:pt idx="5">
                  <c:v>Saturday</c:v>
                </c:pt>
                <c:pt idx="6">
                  <c:v>Sunday</c:v>
                </c:pt>
                <c:pt idx="7">
                  <c:v>Over a period of time</c:v>
                </c:pt>
              </c:strCache>
            </c:strRef>
          </c:cat>
          <c:val>
            <c:numRef>
              <c:f>'Times per unit'!$B$319:$B$326</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EBA6-3143-829A-AF3B9137CB86}"/>
            </c:ext>
          </c:extLst>
        </c:ser>
        <c:dLbls>
          <c:showLegendKey val="0"/>
          <c:showVal val="0"/>
          <c:showCatName val="0"/>
          <c:showSerName val="0"/>
          <c:showPercent val="0"/>
          <c:showBubbleSize val="0"/>
        </c:dLbls>
        <c:gapWidth val="75"/>
        <c:overlap val="-25"/>
        <c:axId val="128534400"/>
        <c:axId val="128535936"/>
      </c:barChart>
      <c:catAx>
        <c:axId val="128534400"/>
        <c:scaling>
          <c:orientation val="minMax"/>
        </c:scaling>
        <c:delete val="0"/>
        <c:axPos val="b"/>
        <c:numFmt formatCode="General" sourceLinked="0"/>
        <c:majorTickMark val="none"/>
        <c:minorTickMark val="none"/>
        <c:tickLblPos val="nextTo"/>
        <c:crossAx val="128535936"/>
        <c:crosses val="autoZero"/>
        <c:auto val="1"/>
        <c:lblAlgn val="ctr"/>
        <c:lblOffset val="100"/>
        <c:noMultiLvlLbl val="0"/>
      </c:catAx>
      <c:valAx>
        <c:axId val="128535936"/>
        <c:scaling>
          <c:orientation val="minMax"/>
        </c:scaling>
        <c:delete val="0"/>
        <c:axPos val="l"/>
        <c:majorGridlines/>
        <c:numFmt formatCode="General" sourceLinked="1"/>
        <c:majorTickMark val="none"/>
        <c:minorTickMark val="none"/>
        <c:tickLblPos val="nextTo"/>
        <c:spPr>
          <a:ln w="9525">
            <a:noFill/>
          </a:ln>
        </c:spPr>
        <c:crossAx val="128534400"/>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Times for Waypoint</a:t>
            </a:r>
          </a:p>
        </c:rich>
      </c:tx>
      <c:overlay val="0"/>
    </c:title>
    <c:autoTitleDeleted val="0"/>
    <c:plotArea>
      <c:layout/>
      <c:lineChart>
        <c:grouping val="standard"/>
        <c:varyColors val="0"/>
        <c:ser>
          <c:idx val="0"/>
          <c:order val="0"/>
          <c:tx>
            <c:strRef>
              <c:f>'Times per unit'!$A$9</c:f>
              <c:strCache>
                <c:ptCount val="1"/>
                <c:pt idx="0">
                  <c:v>Amount of alleged incidents within each time period</c:v>
                </c:pt>
              </c:strCache>
            </c:strRef>
          </c:tx>
          <c:marker>
            <c:symbol val="none"/>
          </c:marker>
          <c:cat>
            <c:strRef>
              <c:f>'Times per unit'!$A$333:$A$356</c:f>
              <c:strCache>
                <c:ptCount val="24"/>
                <c:pt idx="0">
                  <c:v>12:00 to 12:59 AM</c:v>
                </c:pt>
                <c:pt idx="1">
                  <c:v>1:00 to 1:59 AM</c:v>
                </c:pt>
                <c:pt idx="2">
                  <c:v>2:00 to 2:59 AM</c:v>
                </c:pt>
                <c:pt idx="3">
                  <c:v>3:00 to 3:59 AM</c:v>
                </c:pt>
                <c:pt idx="4">
                  <c:v>4:00 to 4:59 AM</c:v>
                </c:pt>
                <c:pt idx="5">
                  <c:v>5:00 to 5:59 AM</c:v>
                </c:pt>
                <c:pt idx="6">
                  <c:v>6:00 to 6:59 AM</c:v>
                </c:pt>
                <c:pt idx="7">
                  <c:v>7:00 to 7:59 AM</c:v>
                </c:pt>
                <c:pt idx="8">
                  <c:v>8:00 to 8:59 AM</c:v>
                </c:pt>
                <c:pt idx="9">
                  <c:v>9:00 to 9:59 AM</c:v>
                </c:pt>
                <c:pt idx="10">
                  <c:v>10:00 to 10:59 AM</c:v>
                </c:pt>
                <c:pt idx="11">
                  <c:v>11:00 to 11:59 AM</c:v>
                </c:pt>
                <c:pt idx="12">
                  <c:v>12:00 to 12:59 PM</c:v>
                </c:pt>
                <c:pt idx="13">
                  <c:v>1:00 to 1:59 PM</c:v>
                </c:pt>
                <c:pt idx="14">
                  <c:v>2:00 to 2:59 PM</c:v>
                </c:pt>
                <c:pt idx="15">
                  <c:v>3:00 to 3:59 PM</c:v>
                </c:pt>
                <c:pt idx="16">
                  <c:v>4:00 to 4:59 PM</c:v>
                </c:pt>
                <c:pt idx="17">
                  <c:v>5:00 to 5:59 PM</c:v>
                </c:pt>
                <c:pt idx="18">
                  <c:v>6:00 to 6:59 PM</c:v>
                </c:pt>
                <c:pt idx="19">
                  <c:v>7:00 to 7:59 PM</c:v>
                </c:pt>
                <c:pt idx="20">
                  <c:v>8:00 to 8:59 PM</c:v>
                </c:pt>
                <c:pt idx="21">
                  <c:v>9:00 to 9:59 PM</c:v>
                </c:pt>
                <c:pt idx="22">
                  <c:v>10:00 to 10:59 PM</c:v>
                </c:pt>
                <c:pt idx="23">
                  <c:v>11:00 to 11:59 PM</c:v>
                </c:pt>
              </c:strCache>
            </c:strRef>
          </c:cat>
          <c:val>
            <c:numRef>
              <c:f>'Times per unit'!$B$333:$B$356</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0-32DC-574F-8B60-2D53066545C6}"/>
            </c:ext>
          </c:extLst>
        </c:ser>
        <c:dLbls>
          <c:showLegendKey val="0"/>
          <c:showVal val="0"/>
          <c:showCatName val="0"/>
          <c:showSerName val="0"/>
          <c:showPercent val="0"/>
          <c:showBubbleSize val="0"/>
        </c:dLbls>
        <c:smooth val="0"/>
        <c:axId val="128569344"/>
        <c:axId val="128570880"/>
      </c:lineChart>
      <c:catAx>
        <c:axId val="128569344"/>
        <c:scaling>
          <c:orientation val="minMax"/>
        </c:scaling>
        <c:delete val="0"/>
        <c:axPos val="b"/>
        <c:numFmt formatCode="General" sourceLinked="0"/>
        <c:majorTickMark val="none"/>
        <c:minorTickMark val="none"/>
        <c:tickLblPos val="nextTo"/>
        <c:crossAx val="128570880"/>
        <c:crosses val="autoZero"/>
        <c:auto val="1"/>
        <c:lblAlgn val="ctr"/>
        <c:lblOffset val="100"/>
        <c:noMultiLvlLbl val="0"/>
      </c:catAx>
      <c:valAx>
        <c:axId val="128570880"/>
        <c:scaling>
          <c:orientation val="minMax"/>
        </c:scaling>
        <c:delete val="0"/>
        <c:axPos val="l"/>
        <c:majorGridlines/>
        <c:numFmt formatCode="General" sourceLinked="1"/>
        <c:majorTickMark val="none"/>
        <c:minorTickMark val="none"/>
        <c:tickLblPos val="nextTo"/>
        <c:spPr>
          <a:ln w="9525">
            <a:noFill/>
          </a:ln>
        </c:spPr>
        <c:crossAx val="128569344"/>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'Times per unit'!$A$358</c:f>
              <c:strCache>
                <c:ptCount val="1"/>
                <c:pt idx="0">
                  <c:v>Days of the week:</c:v>
                </c:pt>
              </c:strCache>
            </c:strRef>
          </c:tx>
          <c:invertIfNegative val="0"/>
          <c:cat>
            <c:strRef>
              <c:f>'Times per unit'!$A$359:$A$366</c:f>
              <c:strCache>
                <c:ptCount val="8"/>
                <c:pt idx="0">
                  <c:v>Monday</c:v>
                </c:pt>
                <c:pt idx="1">
                  <c:v>Tuesday</c:v>
                </c:pt>
                <c:pt idx="2">
                  <c:v>Wednesday</c:v>
                </c:pt>
                <c:pt idx="3">
                  <c:v>Thursday</c:v>
                </c:pt>
                <c:pt idx="4">
                  <c:v>Friday</c:v>
                </c:pt>
                <c:pt idx="5">
                  <c:v>Saturday</c:v>
                </c:pt>
                <c:pt idx="6">
                  <c:v>Sunday</c:v>
                </c:pt>
                <c:pt idx="7">
                  <c:v>Over a period of time</c:v>
                </c:pt>
              </c:strCache>
            </c:strRef>
          </c:cat>
          <c:val>
            <c:numRef>
              <c:f>'Times per unit'!$B$359:$B$366</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ADD9-F34F-86D1-E6CBBA0567DD}"/>
            </c:ext>
          </c:extLst>
        </c:ser>
        <c:dLbls>
          <c:showLegendKey val="0"/>
          <c:showVal val="0"/>
          <c:showCatName val="0"/>
          <c:showSerName val="0"/>
          <c:showPercent val="0"/>
          <c:showBubbleSize val="0"/>
        </c:dLbls>
        <c:gapWidth val="75"/>
        <c:overlap val="-25"/>
        <c:axId val="128590976"/>
        <c:axId val="128592512"/>
      </c:barChart>
      <c:catAx>
        <c:axId val="128590976"/>
        <c:scaling>
          <c:orientation val="minMax"/>
        </c:scaling>
        <c:delete val="0"/>
        <c:axPos val="b"/>
        <c:numFmt formatCode="General" sourceLinked="0"/>
        <c:majorTickMark val="none"/>
        <c:minorTickMark val="none"/>
        <c:tickLblPos val="nextTo"/>
        <c:crossAx val="128592512"/>
        <c:crosses val="autoZero"/>
        <c:auto val="1"/>
        <c:lblAlgn val="ctr"/>
        <c:lblOffset val="100"/>
        <c:noMultiLvlLbl val="0"/>
      </c:catAx>
      <c:valAx>
        <c:axId val="128592512"/>
        <c:scaling>
          <c:orientation val="minMax"/>
        </c:scaling>
        <c:delete val="0"/>
        <c:axPos val="l"/>
        <c:majorGridlines/>
        <c:numFmt formatCode="General" sourceLinked="1"/>
        <c:majorTickMark val="none"/>
        <c:minorTickMark val="none"/>
        <c:tickLblPos val="nextTo"/>
        <c:spPr>
          <a:ln w="9525">
            <a:noFill/>
          </a:ln>
        </c:spPr>
        <c:crossAx val="128590976"/>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New Choices Grievances</a:t>
            </a:r>
          </a:p>
        </c:rich>
      </c:tx>
      <c:overlay val="0"/>
    </c:title>
    <c:autoTitleDeleted val="0"/>
    <c:plotArea>
      <c:layout/>
      <c:lineChart>
        <c:grouping val="standard"/>
        <c:varyColors val="0"/>
        <c:ser>
          <c:idx val="0"/>
          <c:order val="0"/>
          <c:tx>
            <c:strRef>
              <c:f>'Unit Stats'!$A$18</c:f>
              <c:strCache>
                <c:ptCount val="1"/>
                <c:pt idx="0">
                  <c:v>FALSE</c:v>
                </c:pt>
              </c:strCache>
            </c:strRef>
          </c:tx>
          <c:marker>
            <c:symbol val="none"/>
          </c:marker>
          <c:cat>
            <c:strRef>
              <c:f>'Unit Stats'!$B$17:$M$17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Stats'!$B$18:$M$18</c:f>
              <c:numCache>
                <c:formatCode>0</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0-2B86-6B4C-99AB-4A61F16BC728}"/>
            </c:ext>
          </c:extLst>
        </c:ser>
        <c:ser>
          <c:idx val="1"/>
          <c:order val="1"/>
          <c:tx>
            <c:strRef>
              <c:f>'Unit Stats'!$A$21</c:f>
              <c:strCache>
                <c:ptCount val="1"/>
                <c:pt idx="0">
                  <c:v>TRUE</c:v>
                </c:pt>
              </c:strCache>
            </c:strRef>
          </c:tx>
          <c:marker>
            <c:symbol val="none"/>
          </c:marker>
          <c:cat>
            <c:strRef>
              <c:f>'Unit Stats'!$B$17:$M$17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Stats'!$B$21:$M$21</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1-2B86-6B4C-99AB-4A61F16BC728}"/>
            </c:ext>
          </c:extLst>
        </c:ser>
        <c:ser>
          <c:idx val="2"/>
          <c:order val="2"/>
          <c:tx>
            <c:strRef>
              <c:f>'Unit Stats'!$A$26</c:f>
              <c:strCache>
                <c:ptCount val="1"/>
                <c:pt idx="0">
                  <c:v>INCONCLUSIVE</c:v>
                </c:pt>
              </c:strCache>
            </c:strRef>
          </c:tx>
          <c:marker>
            <c:symbol val="none"/>
          </c:marker>
          <c:cat>
            <c:strRef>
              <c:f>'Unit Stats'!$B$17:$M$17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Stats'!$B$26:$M$26</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2-2B86-6B4C-99AB-4A61F16BC728}"/>
            </c:ext>
          </c:extLst>
        </c:ser>
        <c:ser>
          <c:idx val="3"/>
          <c:order val="3"/>
          <c:tx>
            <c:strRef>
              <c:f>'Unit Stats'!$A$27</c:f>
              <c:strCache>
                <c:ptCount val="1"/>
                <c:pt idx="0">
                  <c:v>Perception Complaints</c:v>
                </c:pt>
              </c:strCache>
            </c:strRef>
          </c:tx>
          <c:marker>
            <c:symbol val="none"/>
          </c:marker>
          <c:cat>
            <c:strRef>
              <c:f>'Unit Stats'!$B$17:$M$17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Stats'!$B$27:$M$27</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3-2B86-6B4C-99AB-4A61F16BC728}"/>
            </c:ext>
          </c:extLst>
        </c:ser>
        <c:ser>
          <c:idx val="4"/>
          <c:order val="4"/>
          <c:tx>
            <c:strRef>
              <c:f>'Unit Stats'!$A$28</c:f>
              <c:strCache>
                <c:ptCount val="1"/>
                <c:pt idx="0">
                  <c:v>PENDING</c:v>
                </c:pt>
              </c:strCache>
            </c:strRef>
          </c:tx>
          <c:marker>
            <c:symbol val="none"/>
          </c:marker>
          <c:cat>
            <c:strRef>
              <c:f>'Unit Stats'!$B$17:$M$17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Stats'!$B$28:$M$28</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4-2B86-6B4C-99AB-4A61F16BC728}"/>
            </c:ext>
          </c:extLst>
        </c:ser>
        <c:ser>
          <c:idx val="5"/>
          <c:order val="5"/>
          <c:tx>
            <c:strRef>
              <c:f>'Unit Stats'!$A$29</c:f>
              <c:strCache>
                <c:ptCount val="1"/>
                <c:pt idx="0">
                  <c:v>Total</c:v>
                </c:pt>
              </c:strCache>
            </c:strRef>
          </c:tx>
          <c:marker>
            <c:symbol val="none"/>
          </c:marker>
          <c:val>
            <c:numRef>
              <c:f>'Unit Stats'!$B$29:$M$29</c:f>
              <c:numCache>
                <c:formatCode>0</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5-2B86-6B4C-99AB-4A61F16BC728}"/>
            </c:ext>
          </c:extLst>
        </c:ser>
        <c:dLbls>
          <c:showLegendKey val="0"/>
          <c:showVal val="0"/>
          <c:showCatName val="0"/>
          <c:showSerName val="0"/>
          <c:showPercent val="0"/>
          <c:showBubbleSize val="0"/>
        </c:dLbls>
        <c:smooth val="0"/>
        <c:axId val="130767872"/>
        <c:axId val="130769664"/>
      </c:lineChart>
      <c:catAx>
        <c:axId val="130767872"/>
        <c:scaling>
          <c:orientation val="minMax"/>
        </c:scaling>
        <c:delete val="0"/>
        <c:axPos val="b"/>
        <c:numFmt formatCode="General" sourceLinked="0"/>
        <c:majorTickMark val="none"/>
        <c:minorTickMark val="none"/>
        <c:tickLblPos val="nextTo"/>
        <c:crossAx val="130769664"/>
        <c:crosses val="autoZero"/>
        <c:auto val="1"/>
        <c:lblAlgn val="ctr"/>
        <c:lblOffset val="100"/>
        <c:noMultiLvlLbl val="0"/>
      </c:catAx>
      <c:valAx>
        <c:axId val="130769664"/>
        <c:scaling>
          <c:orientation val="minMax"/>
        </c:scaling>
        <c:delete val="0"/>
        <c:axPos val="l"/>
        <c:majorGridlines/>
        <c:numFmt formatCode="0" sourceLinked="1"/>
        <c:majorTickMark val="none"/>
        <c:minorTickMark val="none"/>
        <c:tickLblPos val="nextTo"/>
        <c:crossAx val="130767872"/>
        <c:crosses val="autoZero"/>
        <c:crossBetween val="between"/>
      </c:valAx>
      <c:dTable>
        <c:showHorzBorder val="1"/>
        <c:showVertBorder val="1"/>
        <c:showOutline val="1"/>
        <c:showKeys val="1"/>
      </c:dTable>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Safe Harbor Grievances</a:t>
            </a:r>
          </a:p>
        </c:rich>
      </c:tx>
      <c:layout>
        <c:manualLayout>
          <c:xMode val="edge"/>
          <c:yMode val="edge"/>
          <c:x val="0.37801377952755905"/>
          <c:y val="2.7777777777777776E-2"/>
        </c:manualLayout>
      </c:layout>
      <c:overlay val="0"/>
    </c:title>
    <c:autoTitleDeleted val="0"/>
    <c:plotArea>
      <c:layout/>
      <c:lineChart>
        <c:grouping val="standard"/>
        <c:varyColors val="0"/>
        <c:ser>
          <c:idx val="0"/>
          <c:order val="0"/>
          <c:tx>
            <c:strRef>
              <c:f>'Unit Stats'!$A$32</c:f>
              <c:strCache>
                <c:ptCount val="1"/>
                <c:pt idx="0">
                  <c:v>FALSE</c:v>
                </c:pt>
              </c:strCache>
            </c:strRef>
          </c:tx>
          <c:marker>
            <c:symbol val="none"/>
          </c:marker>
          <c:cat>
            <c:strRef>
              <c:f>'Unit Stats'!$B$31:$M$31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Stats'!$B$32:$M$32</c:f>
              <c:numCache>
                <c:formatCode>0</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0-90B4-3843-AE52-AE583875DE6A}"/>
            </c:ext>
          </c:extLst>
        </c:ser>
        <c:ser>
          <c:idx val="1"/>
          <c:order val="1"/>
          <c:tx>
            <c:strRef>
              <c:f>'Unit Stats'!$A$35</c:f>
              <c:strCache>
                <c:ptCount val="1"/>
                <c:pt idx="0">
                  <c:v>TRUE</c:v>
                </c:pt>
              </c:strCache>
            </c:strRef>
          </c:tx>
          <c:marker>
            <c:symbol val="none"/>
          </c:marker>
          <c:cat>
            <c:strRef>
              <c:f>'Unit Stats'!$B$31:$M$31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Stats'!$B$35:$M$35</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1-90B4-3843-AE52-AE583875DE6A}"/>
            </c:ext>
          </c:extLst>
        </c:ser>
        <c:ser>
          <c:idx val="2"/>
          <c:order val="2"/>
          <c:tx>
            <c:strRef>
              <c:f>'Unit Stats'!$A$40</c:f>
              <c:strCache>
                <c:ptCount val="1"/>
                <c:pt idx="0">
                  <c:v>INCONCLUSIVE</c:v>
                </c:pt>
              </c:strCache>
            </c:strRef>
          </c:tx>
          <c:marker>
            <c:symbol val="none"/>
          </c:marker>
          <c:cat>
            <c:strRef>
              <c:f>'Unit Stats'!$B$31:$M$31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Stats'!$B$40:$M$40</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2-90B4-3843-AE52-AE583875DE6A}"/>
            </c:ext>
          </c:extLst>
        </c:ser>
        <c:ser>
          <c:idx val="3"/>
          <c:order val="3"/>
          <c:tx>
            <c:strRef>
              <c:f>'Unit Stats'!$A$41</c:f>
              <c:strCache>
                <c:ptCount val="1"/>
                <c:pt idx="0">
                  <c:v>Perception Complaints</c:v>
                </c:pt>
              </c:strCache>
            </c:strRef>
          </c:tx>
          <c:marker>
            <c:symbol val="none"/>
          </c:marker>
          <c:cat>
            <c:strRef>
              <c:f>'Unit Stats'!$B$31:$M$31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Stats'!$B$41:$M$41</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3-90B4-3843-AE52-AE583875DE6A}"/>
            </c:ext>
          </c:extLst>
        </c:ser>
        <c:ser>
          <c:idx val="4"/>
          <c:order val="4"/>
          <c:tx>
            <c:strRef>
              <c:f>'Unit Stats'!$A$42</c:f>
              <c:strCache>
                <c:ptCount val="1"/>
                <c:pt idx="0">
                  <c:v>PENDING</c:v>
                </c:pt>
              </c:strCache>
            </c:strRef>
          </c:tx>
          <c:marker>
            <c:symbol val="none"/>
          </c:marker>
          <c:cat>
            <c:strRef>
              <c:f>'Unit Stats'!$B$31:$M$31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Stats'!$B$42:$M$42</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4-90B4-3843-AE52-AE583875DE6A}"/>
            </c:ext>
          </c:extLst>
        </c:ser>
        <c:ser>
          <c:idx val="5"/>
          <c:order val="5"/>
          <c:tx>
            <c:strRef>
              <c:f>'Unit Stats'!$A$43</c:f>
              <c:strCache>
                <c:ptCount val="1"/>
                <c:pt idx="0">
                  <c:v>Total</c:v>
                </c:pt>
              </c:strCache>
            </c:strRef>
          </c:tx>
          <c:marker>
            <c:symbol val="none"/>
          </c:marker>
          <c:val>
            <c:numRef>
              <c:f>'Unit Stats'!$B$43:$M$43</c:f>
              <c:numCache>
                <c:formatCode>0</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5-90B4-3843-AE52-AE583875DE6A}"/>
            </c:ext>
          </c:extLst>
        </c:ser>
        <c:dLbls>
          <c:showLegendKey val="0"/>
          <c:showVal val="0"/>
          <c:showCatName val="0"/>
          <c:showSerName val="0"/>
          <c:showPercent val="0"/>
          <c:showBubbleSize val="0"/>
        </c:dLbls>
        <c:smooth val="0"/>
        <c:axId val="130893696"/>
        <c:axId val="130895232"/>
      </c:lineChart>
      <c:catAx>
        <c:axId val="130893696"/>
        <c:scaling>
          <c:orientation val="minMax"/>
        </c:scaling>
        <c:delete val="0"/>
        <c:axPos val="b"/>
        <c:numFmt formatCode="General" sourceLinked="0"/>
        <c:majorTickMark val="none"/>
        <c:minorTickMark val="none"/>
        <c:tickLblPos val="nextTo"/>
        <c:crossAx val="130895232"/>
        <c:crosses val="autoZero"/>
        <c:auto val="1"/>
        <c:lblAlgn val="ctr"/>
        <c:lblOffset val="100"/>
        <c:noMultiLvlLbl val="0"/>
      </c:catAx>
      <c:valAx>
        <c:axId val="130895232"/>
        <c:scaling>
          <c:orientation val="minMax"/>
        </c:scaling>
        <c:delete val="0"/>
        <c:axPos val="l"/>
        <c:majorGridlines/>
        <c:numFmt formatCode="0" sourceLinked="1"/>
        <c:majorTickMark val="none"/>
        <c:minorTickMark val="none"/>
        <c:tickLblPos val="nextTo"/>
        <c:crossAx val="130893696"/>
        <c:crosses val="autoZero"/>
        <c:crossBetween val="between"/>
      </c:valAx>
      <c:dTable>
        <c:showHorzBorder val="1"/>
        <c:showVertBorder val="1"/>
        <c:showOutline val="1"/>
        <c:showKeys val="1"/>
      </c:dTable>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Starting Point Grievances</a:t>
            </a:r>
          </a:p>
        </c:rich>
      </c:tx>
      <c:overlay val="0"/>
    </c:title>
    <c:autoTitleDeleted val="0"/>
    <c:plotArea>
      <c:layout/>
      <c:lineChart>
        <c:grouping val="standard"/>
        <c:varyColors val="0"/>
        <c:ser>
          <c:idx val="0"/>
          <c:order val="0"/>
          <c:tx>
            <c:strRef>
              <c:f>'Unit Stats'!$A$46</c:f>
              <c:strCache>
                <c:ptCount val="1"/>
                <c:pt idx="0">
                  <c:v>FALSE</c:v>
                </c:pt>
              </c:strCache>
            </c:strRef>
          </c:tx>
          <c:marker>
            <c:symbol val="none"/>
          </c:marker>
          <c:cat>
            <c:strRef>
              <c:f>'Unit Stats'!$B$45:$M$45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Stats'!$B$46:$M$46</c:f>
              <c:numCache>
                <c:formatCode>0</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0-9774-514D-A08C-B1C0FB3FB37F}"/>
            </c:ext>
          </c:extLst>
        </c:ser>
        <c:ser>
          <c:idx val="1"/>
          <c:order val="1"/>
          <c:tx>
            <c:strRef>
              <c:f>'Unit Stats'!$A$49</c:f>
              <c:strCache>
                <c:ptCount val="1"/>
                <c:pt idx="0">
                  <c:v>TRUE</c:v>
                </c:pt>
              </c:strCache>
            </c:strRef>
          </c:tx>
          <c:marker>
            <c:symbol val="none"/>
          </c:marker>
          <c:cat>
            <c:strRef>
              <c:f>'Unit Stats'!$B$45:$M$45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Stats'!$B$49:$M$49</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1-9774-514D-A08C-B1C0FB3FB37F}"/>
            </c:ext>
          </c:extLst>
        </c:ser>
        <c:ser>
          <c:idx val="2"/>
          <c:order val="2"/>
          <c:tx>
            <c:strRef>
              <c:f>'Unit Stats'!$A$54</c:f>
              <c:strCache>
                <c:ptCount val="1"/>
                <c:pt idx="0">
                  <c:v>INCONCLUSIVE</c:v>
                </c:pt>
              </c:strCache>
            </c:strRef>
          </c:tx>
          <c:marker>
            <c:symbol val="none"/>
          </c:marker>
          <c:cat>
            <c:strRef>
              <c:f>'Unit Stats'!$B$45:$M$45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Stats'!$B$54:$M$54</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2-9774-514D-A08C-B1C0FB3FB37F}"/>
            </c:ext>
          </c:extLst>
        </c:ser>
        <c:ser>
          <c:idx val="3"/>
          <c:order val="3"/>
          <c:tx>
            <c:strRef>
              <c:f>'Unit Stats'!$A$55</c:f>
              <c:strCache>
                <c:ptCount val="1"/>
                <c:pt idx="0">
                  <c:v>Perception Complaints</c:v>
                </c:pt>
              </c:strCache>
            </c:strRef>
          </c:tx>
          <c:marker>
            <c:symbol val="none"/>
          </c:marker>
          <c:cat>
            <c:strRef>
              <c:f>'Unit Stats'!$B$45:$M$45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Stats'!$B$55:$M$55</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3-9774-514D-A08C-B1C0FB3FB37F}"/>
            </c:ext>
          </c:extLst>
        </c:ser>
        <c:ser>
          <c:idx val="4"/>
          <c:order val="4"/>
          <c:tx>
            <c:strRef>
              <c:f>'Unit Stats'!$A$56</c:f>
              <c:strCache>
                <c:ptCount val="1"/>
                <c:pt idx="0">
                  <c:v>PENDING</c:v>
                </c:pt>
              </c:strCache>
            </c:strRef>
          </c:tx>
          <c:marker>
            <c:symbol val="none"/>
          </c:marker>
          <c:cat>
            <c:strRef>
              <c:f>'Unit Stats'!$B$45:$M$45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Stats'!$B$56:$M$56</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4-9774-514D-A08C-B1C0FB3FB37F}"/>
            </c:ext>
          </c:extLst>
        </c:ser>
        <c:ser>
          <c:idx val="5"/>
          <c:order val="5"/>
          <c:tx>
            <c:strRef>
              <c:f>'Unit Stats'!$A$57</c:f>
              <c:strCache>
                <c:ptCount val="1"/>
                <c:pt idx="0">
                  <c:v>Total</c:v>
                </c:pt>
              </c:strCache>
            </c:strRef>
          </c:tx>
          <c:marker>
            <c:symbol val="none"/>
          </c:marker>
          <c:val>
            <c:numRef>
              <c:f>'Unit Stats'!$B$57:$M$57</c:f>
              <c:numCache>
                <c:formatCode>0</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5-9774-514D-A08C-B1C0FB3FB37F}"/>
            </c:ext>
          </c:extLst>
        </c:ser>
        <c:dLbls>
          <c:showLegendKey val="0"/>
          <c:showVal val="0"/>
          <c:showCatName val="0"/>
          <c:showSerName val="0"/>
          <c:showPercent val="0"/>
          <c:showBubbleSize val="0"/>
        </c:dLbls>
        <c:smooth val="0"/>
        <c:axId val="130929408"/>
        <c:axId val="130930944"/>
      </c:lineChart>
      <c:catAx>
        <c:axId val="130929408"/>
        <c:scaling>
          <c:orientation val="minMax"/>
        </c:scaling>
        <c:delete val="0"/>
        <c:axPos val="b"/>
        <c:numFmt formatCode="General" sourceLinked="0"/>
        <c:majorTickMark val="none"/>
        <c:minorTickMark val="none"/>
        <c:tickLblPos val="nextTo"/>
        <c:crossAx val="130930944"/>
        <c:crosses val="autoZero"/>
        <c:auto val="1"/>
        <c:lblAlgn val="ctr"/>
        <c:lblOffset val="100"/>
        <c:noMultiLvlLbl val="0"/>
      </c:catAx>
      <c:valAx>
        <c:axId val="130930944"/>
        <c:scaling>
          <c:orientation val="minMax"/>
        </c:scaling>
        <c:delete val="0"/>
        <c:axPos val="l"/>
        <c:majorGridlines/>
        <c:numFmt formatCode="0" sourceLinked="1"/>
        <c:majorTickMark val="none"/>
        <c:minorTickMark val="none"/>
        <c:tickLblPos val="nextTo"/>
        <c:crossAx val="130929408"/>
        <c:crosses val="autoZero"/>
        <c:crossBetween val="between"/>
      </c:valAx>
      <c:dTable>
        <c:showHorzBorder val="1"/>
        <c:showVertBorder val="1"/>
        <c:showOutline val="1"/>
        <c:showKeys val="1"/>
      </c:dTable>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Transformations 1 Grievances</a:t>
            </a:r>
          </a:p>
        </c:rich>
      </c:tx>
      <c:overlay val="0"/>
    </c:title>
    <c:autoTitleDeleted val="0"/>
    <c:plotArea>
      <c:layout/>
      <c:lineChart>
        <c:grouping val="standard"/>
        <c:varyColors val="0"/>
        <c:ser>
          <c:idx val="0"/>
          <c:order val="0"/>
          <c:tx>
            <c:strRef>
              <c:f>'Unit Stats'!$A$60</c:f>
              <c:strCache>
                <c:ptCount val="1"/>
                <c:pt idx="0">
                  <c:v>FALSE</c:v>
                </c:pt>
              </c:strCache>
            </c:strRef>
          </c:tx>
          <c:marker>
            <c:symbol val="none"/>
          </c:marker>
          <c:cat>
            <c:strRef>
              <c:f>'Unit Stats'!$B$59:$M$59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Stats'!$B$60:$M$60</c:f>
              <c:numCache>
                <c:formatCode>0</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0-5D82-784E-8689-066269429C4F}"/>
            </c:ext>
          </c:extLst>
        </c:ser>
        <c:ser>
          <c:idx val="1"/>
          <c:order val="1"/>
          <c:tx>
            <c:strRef>
              <c:f>'Unit Stats'!$A$63</c:f>
              <c:strCache>
                <c:ptCount val="1"/>
                <c:pt idx="0">
                  <c:v>TRUE</c:v>
                </c:pt>
              </c:strCache>
            </c:strRef>
          </c:tx>
          <c:marker>
            <c:symbol val="none"/>
          </c:marker>
          <c:cat>
            <c:strRef>
              <c:f>'Unit Stats'!$B$59:$M$59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Stats'!$B$63:$M$63</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1-5D82-784E-8689-066269429C4F}"/>
            </c:ext>
          </c:extLst>
        </c:ser>
        <c:ser>
          <c:idx val="2"/>
          <c:order val="2"/>
          <c:tx>
            <c:strRef>
              <c:f>'Unit Stats'!$A$68</c:f>
              <c:strCache>
                <c:ptCount val="1"/>
                <c:pt idx="0">
                  <c:v>INCONCLUSIVE</c:v>
                </c:pt>
              </c:strCache>
            </c:strRef>
          </c:tx>
          <c:marker>
            <c:symbol val="none"/>
          </c:marker>
          <c:cat>
            <c:strRef>
              <c:f>'Unit Stats'!$B$59:$M$59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Stats'!$B$68:$M$68</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2-5D82-784E-8689-066269429C4F}"/>
            </c:ext>
          </c:extLst>
        </c:ser>
        <c:ser>
          <c:idx val="3"/>
          <c:order val="3"/>
          <c:tx>
            <c:strRef>
              <c:f>'Unit Stats'!$A$69</c:f>
              <c:strCache>
                <c:ptCount val="1"/>
                <c:pt idx="0">
                  <c:v>Perception Complaints</c:v>
                </c:pt>
              </c:strCache>
            </c:strRef>
          </c:tx>
          <c:marker>
            <c:symbol val="none"/>
          </c:marker>
          <c:cat>
            <c:strRef>
              <c:f>'Unit Stats'!$B$59:$M$59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Stats'!$B$69:$M$69</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3-5D82-784E-8689-066269429C4F}"/>
            </c:ext>
          </c:extLst>
        </c:ser>
        <c:ser>
          <c:idx val="4"/>
          <c:order val="4"/>
          <c:tx>
            <c:strRef>
              <c:f>'Unit Stats'!$A$70</c:f>
              <c:strCache>
                <c:ptCount val="1"/>
                <c:pt idx="0">
                  <c:v>PENDING</c:v>
                </c:pt>
              </c:strCache>
            </c:strRef>
          </c:tx>
          <c:marker>
            <c:symbol val="none"/>
          </c:marker>
          <c:cat>
            <c:strRef>
              <c:f>'Unit Stats'!$B$59:$M$59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Stats'!$B$70:$M$70</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4-5D82-784E-8689-066269429C4F}"/>
            </c:ext>
          </c:extLst>
        </c:ser>
        <c:ser>
          <c:idx val="5"/>
          <c:order val="5"/>
          <c:tx>
            <c:strRef>
              <c:f>'Unit Stats'!$A$71</c:f>
              <c:strCache>
                <c:ptCount val="1"/>
                <c:pt idx="0">
                  <c:v>Total</c:v>
                </c:pt>
              </c:strCache>
            </c:strRef>
          </c:tx>
          <c:marker>
            <c:symbol val="none"/>
          </c:marker>
          <c:val>
            <c:numRef>
              <c:f>'Unit Stats'!$B$71:$M$71</c:f>
              <c:numCache>
                <c:formatCode>0</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5-5D82-784E-8689-066269429C4F}"/>
            </c:ext>
          </c:extLst>
        </c:ser>
        <c:dLbls>
          <c:showLegendKey val="0"/>
          <c:showVal val="0"/>
          <c:showCatName val="0"/>
          <c:showSerName val="0"/>
          <c:showPercent val="0"/>
          <c:showBubbleSize val="0"/>
        </c:dLbls>
        <c:smooth val="0"/>
        <c:axId val="130973056"/>
        <c:axId val="130987136"/>
      </c:lineChart>
      <c:catAx>
        <c:axId val="130973056"/>
        <c:scaling>
          <c:orientation val="minMax"/>
        </c:scaling>
        <c:delete val="0"/>
        <c:axPos val="b"/>
        <c:numFmt formatCode="General" sourceLinked="0"/>
        <c:majorTickMark val="none"/>
        <c:minorTickMark val="none"/>
        <c:tickLblPos val="nextTo"/>
        <c:crossAx val="130987136"/>
        <c:crosses val="autoZero"/>
        <c:auto val="1"/>
        <c:lblAlgn val="ctr"/>
        <c:lblOffset val="100"/>
        <c:noMultiLvlLbl val="0"/>
      </c:catAx>
      <c:valAx>
        <c:axId val="130987136"/>
        <c:scaling>
          <c:orientation val="minMax"/>
        </c:scaling>
        <c:delete val="0"/>
        <c:axPos val="l"/>
        <c:majorGridlines/>
        <c:numFmt formatCode="0" sourceLinked="1"/>
        <c:majorTickMark val="none"/>
        <c:minorTickMark val="none"/>
        <c:tickLblPos val="nextTo"/>
        <c:crossAx val="130973056"/>
        <c:crosses val="autoZero"/>
        <c:crossBetween val="between"/>
      </c:valAx>
      <c:dTable>
        <c:showHorzBorder val="1"/>
        <c:showVertBorder val="1"/>
        <c:showOutline val="1"/>
        <c:showKeys val="1"/>
      </c:dTable>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Transformations 2 Grievances</a:t>
            </a:r>
          </a:p>
        </c:rich>
      </c:tx>
      <c:overlay val="0"/>
    </c:title>
    <c:autoTitleDeleted val="0"/>
    <c:plotArea>
      <c:layout/>
      <c:lineChart>
        <c:grouping val="standard"/>
        <c:varyColors val="0"/>
        <c:ser>
          <c:idx val="0"/>
          <c:order val="0"/>
          <c:tx>
            <c:strRef>
              <c:f>'Unit Stats'!$A$74</c:f>
              <c:strCache>
                <c:ptCount val="1"/>
                <c:pt idx="0">
                  <c:v>FALSE</c:v>
                </c:pt>
              </c:strCache>
            </c:strRef>
          </c:tx>
          <c:marker>
            <c:symbol val="none"/>
          </c:marker>
          <c:cat>
            <c:strRef>
              <c:f>'Unit Stats'!$B$73:$M$73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Stats'!$B$74:$M$74</c:f>
              <c:numCache>
                <c:formatCode>0</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0-ACB5-5244-B2D0-7B0CF2289EEB}"/>
            </c:ext>
          </c:extLst>
        </c:ser>
        <c:ser>
          <c:idx val="1"/>
          <c:order val="1"/>
          <c:tx>
            <c:strRef>
              <c:f>'Unit Stats'!$A$77</c:f>
              <c:strCache>
                <c:ptCount val="1"/>
                <c:pt idx="0">
                  <c:v>TRUE</c:v>
                </c:pt>
              </c:strCache>
            </c:strRef>
          </c:tx>
          <c:marker>
            <c:symbol val="none"/>
          </c:marker>
          <c:cat>
            <c:strRef>
              <c:f>'Unit Stats'!$B$73:$M$73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Stats'!$B$77:$M$77</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1-ACB5-5244-B2D0-7B0CF2289EEB}"/>
            </c:ext>
          </c:extLst>
        </c:ser>
        <c:ser>
          <c:idx val="2"/>
          <c:order val="2"/>
          <c:tx>
            <c:strRef>
              <c:f>'Unit Stats'!$A$82</c:f>
              <c:strCache>
                <c:ptCount val="1"/>
                <c:pt idx="0">
                  <c:v>INCONCLUSIVE</c:v>
                </c:pt>
              </c:strCache>
            </c:strRef>
          </c:tx>
          <c:marker>
            <c:symbol val="none"/>
          </c:marker>
          <c:cat>
            <c:strRef>
              <c:f>'Unit Stats'!$B$73:$M$73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Stats'!$B$82:$M$82</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2-ACB5-5244-B2D0-7B0CF2289EEB}"/>
            </c:ext>
          </c:extLst>
        </c:ser>
        <c:ser>
          <c:idx val="3"/>
          <c:order val="3"/>
          <c:tx>
            <c:strRef>
              <c:f>'Unit Stats'!$A$83</c:f>
              <c:strCache>
                <c:ptCount val="1"/>
                <c:pt idx="0">
                  <c:v>Perception Complaints</c:v>
                </c:pt>
              </c:strCache>
            </c:strRef>
          </c:tx>
          <c:marker>
            <c:symbol val="none"/>
          </c:marker>
          <c:cat>
            <c:strRef>
              <c:f>'Unit Stats'!$B$73:$M$73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Stats'!$B$83:$M$83</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3-ACB5-5244-B2D0-7B0CF2289EEB}"/>
            </c:ext>
          </c:extLst>
        </c:ser>
        <c:ser>
          <c:idx val="4"/>
          <c:order val="4"/>
          <c:tx>
            <c:strRef>
              <c:f>'Unit Stats'!$A$84</c:f>
              <c:strCache>
                <c:ptCount val="1"/>
                <c:pt idx="0">
                  <c:v>PENDING</c:v>
                </c:pt>
              </c:strCache>
            </c:strRef>
          </c:tx>
          <c:marker>
            <c:symbol val="none"/>
          </c:marker>
          <c:cat>
            <c:strRef>
              <c:f>'Unit Stats'!$B$73:$M$73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Stats'!$B$84:$M$84</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4-ACB5-5244-B2D0-7B0CF2289EEB}"/>
            </c:ext>
          </c:extLst>
        </c:ser>
        <c:ser>
          <c:idx val="5"/>
          <c:order val="5"/>
          <c:tx>
            <c:strRef>
              <c:f>'Unit Stats'!$A$85</c:f>
              <c:strCache>
                <c:ptCount val="1"/>
                <c:pt idx="0">
                  <c:v>Total</c:v>
                </c:pt>
              </c:strCache>
            </c:strRef>
          </c:tx>
          <c:marker>
            <c:symbol val="none"/>
          </c:marker>
          <c:val>
            <c:numRef>
              <c:f>'Unit Stats'!$B$85:$M$85</c:f>
              <c:numCache>
                <c:formatCode>0</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5-ACB5-5244-B2D0-7B0CF2289EEB}"/>
            </c:ext>
          </c:extLst>
        </c:ser>
        <c:dLbls>
          <c:showLegendKey val="0"/>
          <c:showVal val="0"/>
          <c:showCatName val="0"/>
          <c:showSerName val="0"/>
          <c:showPercent val="0"/>
          <c:showBubbleSize val="0"/>
        </c:dLbls>
        <c:smooth val="0"/>
        <c:axId val="131422464"/>
        <c:axId val="131436544"/>
      </c:lineChart>
      <c:catAx>
        <c:axId val="131422464"/>
        <c:scaling>
          <c:orientation val="minMax"/>
        </c:scaling>
        <c:delete val="0"/>
        <c:axPos val="b"/>
        <c:numFmt formatCode="General" sourceLinked="0"/>
        <c:majorTickMark val="none"/>
        <c:minorTickMark val="none"/>
        <c:tickLblPos val="nextTo"/>
        <c:crossAx val="131436544"/>
        <c:crosses val="autoZero"/>
        <c:auto val="1"/>
        <c:lblAlgn val="ctr"/>
        <c:lblOffset val="100"/>
        <c:noMultiLvlLbl val="0"/>
      </c:catAx>
      <c:valAx>
        <c:axId val="131436544"/>
        <c:scaling>
          <c:orientation val="minMax"/>
        </c:scaling>
        <c:delete val="0"/>
        <c:axPos val="l"/>
        <c:majorGridlines/>
        <c:numFmt formatCode="0" sourceLinked="1"/>
        <c:majorTickMark val="none"/>
        <c:minorTickMark val="none"/>
        <c:tickLblPos val="nextTo"/>
        <c:crossAx val="131422464"/>
        <c:crosses val="autoZero"/>
        <c:crossBetween val="between"/>
      </c:valAx>
      <c:dTable>
        <c:showHorzBorder val="1"/>
        <c:showVertBorder val="1"/>
        <c:showOutline val="1"/>
        <c:showKeys val="1"/>
      </c:dTable>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Triad Grievances</a:t>
            </a:r>
          </a:p>
        </c:rich>
      </c:tx>
      <c:overlay val="0"/>
    </c:title>
    <c:autoTitleDeleted val="0"/>
    <c:plotArea>
      <c:layout/>
      <c:lineChart>
        <c:grouping val="standard"/>
        <c:varyColors val="0"/>
        <c:ser>
          <c:idx val="0"/>
          <c:order val="0"/>
          <c:tx>
            <c:strRef>
              <c:f>'Unit Stats'!$A$88</c:f>
              <c:strCache>
                <c:ptCount val="1"/>
                <c:pt idx="0">
                  <c:v>FALSE</c:v>
                </c:pt>
              </c:strCache>
            </c:strRef>
          </c:tx>
          <c:marker>
            <c:symbol val="none"/>
          </c:marker>
          <c:cat>
            <c:strRef>
              <c:f>'Unit Stats'!$B$87:$M$87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Stats'!$B$88:$M$88</c:f>
              <c:numCache>
                <c:formatCode>0</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0-7F5A-1541-AF45-4EE0CF0EDF51}"/>
            </c:ext>
          </c:extLst>
        </c:ser>
        <c:ser>
          <c:idx val="1"/>
          <c:order val="1"/>
          <c:tx>
            <c:strRef>
              <c:f>'Unit Stats'!$A$91</c:f>
              <c:strCache>
                <c:ptCount val="1"/>
                <c:pt idx="0">
                  <c:v>TRUE</c:v>
                </c:pt>
              </c:strCache>
            </c:strRef>
          </c:tx>
          <c:marker>
            <c:symbol val="none"/>
          </c:marker>
          <c:cat>
            <c:strRef>
              <c:f>'Unit Stats'!$B$87:$M$87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Stats'!$B$91:$M$91</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1-7F5A-1541-AF45-4EE0CF0EDF51}"/>
            </c:ext>
          </c:extLst>
        </c:ser>
        <c:ser>
          <c:idx val="2"/>
          <c:order val="2"/>
          <c:tx>
            <c:strRef>
              <c:f>'Unit Stats'!$A$96</c:f>
              <c:strCache>
                <c:ptCount val="1"/>
                <c:pt idx="0">
                  <c:v>INCONCLUSIVE</c:v>
                </c:pt>
              </c:strCache>
            </c:strRef>
          </c:tx>
          <c:marker>
            <c:symbol val="none"/>
          </c:marker>
          <c:cat>
            <c:strRef>
              <c:f>'Unit Stats'!$B$87:$M$87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Stats'!$B$96:$M$96</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2-7F5A-1541-AF45-4EE0CF0EDF51}"/>
            </c:ext>
          </c:extLst>
        </c:ser>
        <c:ser>
          <c:idx val="3"/>
          <c:order val="3"/>
          <c:tx>
            <c:strRef>
              <c:f>'Unit Stats'!$A$97</c:f>
              <c:strCache>
                <c:ptCount val="1"/>
                <c:pt idx="0">
                  <c:v>Perception Complaints</c:v>
                </c:pt>
              </c:strCache>
            </c:strRef>
          </c:tx>
          <c:marker>
            <c:symbol val="none"/>
          </c:marker>
          <c:cat>
            <c:strRef>
              <c:f>'Unit Stats'!$B$87:$M$87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Stats'!$B$97:$M$97</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3-7F5A-1541-AF45-4EE0CF0EDF51}"/>
            </c:ext>
          </c:extLst>
        </c:ser>
        <c:ser>
          <c:idx val="4"/>
          <c:order val="4"/>
          <c:tx>
            <c:strRef>
              <c:f>'Unit Stats'!$A$98</c:f>
              <c:strCache>
                <c:ptCount val="1"/>
                <c:pt idx="0">
                  <c:v>PENDING</c:v>
                </c:pt>
              </c:strCache>
            </c:strRef>
          </c:tx>
          <c:marker>
            <c:symbol val="none"/>
          </c:marker>
          <c:cat>
            <c:strRef>
              <c:f>'Unit Stats'!$B$87:$M$87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Stats'!$B$98:$M$98</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4-7F5A-1541-AF45-4EE0CF0EDF51}"/>
            </c:ext>
          </c:extLst>
        </c:ser>
        <c:ser>
          <c:idx val="5"/>
          <c:order val="5"/>
          <c:tx>
            <c:strRef>
              <c:f>'Unit Stats'!$A$99</c:f>
              <c:strCache>
                <c:ptCount val="1"/>
                <c:pt idx="0">
                  <c:v>Total</c:v>
                </c:pt>
              </c:strCache>
            </c:strRef>
          </c:tx>
          <c:marker>
            <c:symbol val="none"/>
          </c:marker>
          <c:val>
            <c:numRef>
              <c:f>'Unit Stats'!$B$99:$M$99</c:f>
              <c:numCache>
                <c:formatCode>0</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5-7F5A-1541-AF45-4EE0CF0EDF51}"/>
            </c:ext>
          </c:extLst>
        </c:ser>
        <c:dLbls>
          <c:showLegendKey val="0"/>
          <c:showVal val="0"/>
          <c:showCatName val="0"/>
          <c:showSerName val="0"/>
          <c:showPercent val="0"/>
          <c:showBubbleSize val="0"/>
        </c:dLbls>
        <c:smooth val="0"/>
        <c:axId val="131019904"/>
        <c:axId val="131021440"/>
      </c:lineChart>
      <c:catAx>
        <c:axId val="131019904"/>
        <c:scaling>
          <c:orientation val="minMax"/>
        </c:scaling>
        <c:delete val="0"/>
        <c:axPos val="b"/>
        <c:numFmt formatCode="General" sourceLinked="0"/>
        <c:majorTickMark val="none"/>
        <c:minorTickMark val="none"/>
        <c:tickLblPos val="nextTo"/>
        <c:crossAx val="131021440"/>
        <c:crosses val="autoZero"/>
        <c:auto val="1"/>
        <c:lblAlgn val="ctr"/>
        <c:lblOffset val="100"/>
        <c:noMultiLvlLbl val="0"/>
      </c:catAx>
      <c:valAx>
        <c:axId val="131021440"/>
        <c:scaling>
          <c:orientation val="minMax"/>
        </c:scaling>
        <c:delete val="0"/>
        <c:axPos val="l"/>
        <c:majorGridlines/>
        <c:numFmt formatCode="0" sourceLinked="1"/>
        <c:majorTickMark val="none"/>
        <c:minorTickMark val="none"/>
        <c:tickLblPos val="nextTo"/>
        <c:crossAx val="131019904"/>
        <c:crosses val="autoZero"/>
        <c:crossBetween val="between"/>
      </c:valAx>
      <c:dTable>
        <c:showHorzBorder val="1"/>
        <c:showVertBorder val="1"/>
        <c:showOutline val="1"/>
        <c:showKeys val="1"/>
      </c:dTable>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Turning Point Grievances</a:t>
            </a:r>
          </a:p>
        </c:rich>
      </c:tx>
      <c:overlay val="0"/>
    </c:title>
    <c:autoTitleDeleted val="0"/>
    <c:plotArea>
      <c:layout/>
      <c:lineChart>
        <c:grouping val="standard"/>
        <c:varyColors val="0"/>
        <c:ser>
          <c:idx val="0"/>
          <c:order val="0"/>
          <c:tx>
            <c:strRef>
              <c:f>'Unit Stats'!$A$102</c:f>
              <c:strCache>
                <c:ptCount val="1"/>
                <c:pt idx="0">
                  <c:v>FALSE</c:v>
                </c:pt>
              </c:strCache>
            </c:strRef>
          </c:tx>
          <c:marker>
            <c:symbol val="none"/>
          </c:marker>
          <c:cat>
            <c:strRef>
              <c:f>'Unit Stats'!$B$101:$M$101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Stats'!$B$102:$M$102</c:f>
              <c:numCache>
                <c:formatCode>0</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0-62CE-9542-A6A9-3A08C77872CC}"/>
            </c:ext>
          </c:extLst>
        </c:ser>
        <c:ser>
          <c:idx val="1"/>
          <c:order val="1"/>
          <c:tx>
            <c:strRef>
              <c:f>'Unit Stats'!$A$105</c:f>
              <c:strCache>
                <c:ptCount val="1"/>
                <c:pt idx="0">
                  <c:v>TRUE</c:v>
                </c:pt>
              </c:strCache>
            </c:strRef>
          </c:tx>
          <c:marker>
            <c:symbol val="none"/>
          </c:marker>
          <c:cat>
            <c:strRef>
              <c:f>'Unit Stats'!$B$101:$M$101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Stats'!$B$105:$M$105</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1-62CE-9542-A6A9-3A08C77872CC}"/>
            </c:ext>
          </c:extLst>
        </c:ser>
        <c:ser>
          <c:idx val="2"/>
          <c:order val="2"/>
          <c:tx>
            <c:strRef>
              <c:f>'Unit Stats'!$A$110</c:f>
              <c:strCache>
                <c:ptCount val="1"/>
                <c:pt idx="0">
                  <c:v>INCONCLUSIVE</c:v>
                </c:pt>
              </c:strCache>
            </c:strRef>
          </c:tx>
          <c:marker>
            <c:symbol val="none"/>
          </c:marker>
          <c:cat>
            <c:strRef>
              <c:f>'Unit Stats'!$B$101:$M$101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Stats'!$B$110:$M$110</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2-62CE-9542-A6A9-3A08C77872CC}"/>
            </c:ext>
          </c:extLst>
        </c:ser>
        <c:ser>
          <c:idx val="3"/>
          <c:order val="3"/>
          <c:tx>
            <c:strRef>
              <c:f>'Unit Stats'!$A$111</c:f>
              <c:strCache>
                <c:ptCount val="1"/>
                <c:pt idx="0">
                  <c:v>Perception Complaints</c:v>
                </c:pt>
              </c:strCache>
            </c:strRef>
          </c:tx>
          <c:marker>
            <c:symbol val="none"/>
          </c:marker>
          <c:cat>
            <c:strRef>
              <c:f>'Unit Stats'!$B$101:$M$101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Stats'!$B$111:$M$111</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3-62CE-9542-A6A9-3A08C77872CC}"/>
            </c:ext>
          </c:extLst>
        </c:ser>
        <c:ser>
          <c:idx val="4"/>
          <c:order val="4"/>
          <c:tx>
            <c:strRef>
              <c:f>'Unit Stats'!$A$112</c:f>
              <c:strCache>
                <c:ptCount val="1"/>
                <c:pt idx="0">
                  <c:v>PENDING</c:v>
                </c:pt>
              </c:strCache>
            </c:strRef>
          </c:tx>
          <c:marker>
            <c:symbol val="none"/>
          </c:marker>
          <c:cat>
            <c:strRef>
              <c:f>'Unit Stats'!$B$101:$M$101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Stats'!$B$112:$M$112</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4-62CE-9542-A6A9-3A08C77872CC}"/>
            </c:ext>
          </c:extLst>
        </c:ser>
        <c:ser>
          <c:idx val="5"/>
          <c:order val="5"/>
          <c:tx>
            <c:strRef>
              <c:f>'Unit Stats'!$A$113</c:f>
              <c:strCache>
                <c:ptCount val="1"/>
                <c:pt idx="0">
                  <c:v>Total</c:v>
                </c:pt>
              </c:strCache>
            </c:strRef>
          </c:tx>
          <c:marker>
            <c:symbol val="none"/>
          </c:marker>
          <c:val>
            <c:numRef>
              <c:f>'Unit Stats'!$B$113:$M$113</c:f>
              <c:numCache>
                <c:formatCode>0</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5-62CE-9542-A6A9-3A08C77872CC}"/>
            </c:ext>
          </c:extLst>
        </c:ser>
        <c:dLbls>
          <c:showLegendKey val="0"/>
          <c:showVal val="0"/>
          <c:showCatName val="0"/>
          <c:showSerName val="0"/>
          <c:showPercent val="0"/>
          <c:showBubbleSize val="0"/>
        </c:dLbls>
        <c:smooth val="0"/>
        <c:axId val="131203072"/>
        <c:axId val="131204608"/>
      </c:lineChart>
      <c:catAx>
        <c:axId val="131203072"/>
        <c:scaling>
          <c:orientation val="minMax"/>
        </c:scaling>
        <c:delete val="0"/>
        <c:axPos val="b"/>
        <c:numFmt formatCode="General" sourceLinked="0"/>
        <c:majorTickMark val="none"/>
        <c:minorTickMark val="none"/>
        <c:tickLblPos val="nextTo"/>
        <c:crossAx val="131204608"/>
        <c:crosses val="autoZero"/>
        <c:auto val="1"/>
        <c:lblAlgn val="ctr"/>
        <c:lblOffset val="100"/>
        <c:noMultiLvlLbl val="0"/>
      </c:catAx>
      <c:valAx>
        <c:axId val="131204608"/>
        <c:scaling>
          <c:orientation val="minMax"/>
        </c:scaling>
        <c:delete val="0"/>
        <c:axPos val="l"/>
        <c:majorGridlines/>
        <c:numFmt formatCode="0" sourceLinked="1"/>
        <c:majorTickMark val="none"/>
        <c:minorTickMark val="none"/>
        <c:tickLblPos val="nextTo"/>
        <c:crossAx val="131203072"/>
        <c:crosses val="autoZero"/>
        <c:crossBetween val="between"/>
      </c:valAx>
      <c:dTable>
        <c:showHorzBorder val="1"/>
        <c:showVertBorder val="1"/>
        <c:showOutline val="1"/>
        <c:showKeys val="1"/>
      </c:dTable>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Waypoint Grievances</a:t>
            </a:r>
          </a:p>
        </c:rich>
      </c:tx>
      <c:overlay val="0"/>
    </c:title>
    <c:autoTitleDeleted val="0"/>
    <c:plotArea>
      <c:layout/>
      <c:lineChart>
        <c:grouping val="standard"/>
        <c:varyColors val="0"/>
        <c:ser>
          <c:idx val="0"/>
          <c:order val="0"/>
          <c:tx>
            <c:strRef>
              <c:f>'Unit Stats'!$A$116</c:f>
              <c:strCache>
                <c:ptCount val="1"/>
                <c:pt idx="0">
                  <c:v>FALSE</c:v>
                </c:pt>
              </c:strCache>
            </c:strRef>
          </c:tx>
          <c:marker>
            <c:symbol val="none"/>
          </c:marker>
          <c:cat>
            <c:strRef>
              <c:f>'Unit Stats'!$B$115:$M$115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Stats'!$B$116:$M$116</c:f>
              <c:numCache>
                <c:formatCode>0</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0-7ED4-6E42-9037-5EA44766BE42}"/>
            </c:ext>
          </c:extLst>
        </c:ser>
        <c:ser>
          <c:idx val="1"/>
          <c:order val="1"/>
          <c:tx>
            <c:strRef>
              <c:f>'Unit Stats'!$A$119</c:f>
              <c:strCache>
                <c:ptCount val="1"/>
                <c:pt idx="0">
                  <c:v>TRUE</c:v>
                </c:pt>
              </c:strCache>
            </c:strRef>
          </c:tx>
          <c:marker>
            <c:symbol val="none"/>
          </c:marker>
          <c:cat>
            <c:strRef>
              <c:f>'Unit Stats'!$B$115:$M$115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Stats'!$B$119:$M$119</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1-7ED4-6E42-9037-5EA44766BE42}"/>
            </c:ext>
          </c:extLst>
        </c:ser>
        <c:ser>
          <c:idx val="2"/>
          <c:order val="2"/>
          <c:tx>
            <c:strRef>
              <c:f>'Unit Stats'!$A$124</c:f>
              <c:strCache>
                <c:ptCount val="1"/>
                <c:pt idx="0">
                  <c:v>INCONCLUSIVE</c:v>
                </c:pt>
              </c:strCache>
            </c:strRef>
          </c:tx>
          <c:marker>
            <c:symbol val="none"/>
          </c:marker>
          <c:cat>
            <c:strRef>
              <c:f>'Unit Stats'!$B$115:$M$115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Stats'!$B$124:$M$124</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2-7ED4-6E42-9037-5EA44766BE42}"/>
            </c:ext>
          </c:extLst>
        </c:ser>
        <c:ser>
          <c:idx val="3"/>
          <c:order val="3"/>
          <c:tx>
            <c:strRef>
              <c:f>'Unit Stats'!$A$125</c:f>
              <c:strCache>
                <c:ptCount val="1"/>
                <c:pt idx="0">
                  <c:v>Perception Complaints</c:v>
                </c:pt>
              </c:strCache>
            </c:strRef>
          </c:tx>
          <c:marker>
            <c:symbol val="none"/>
          </c:marker>
          <c:cat>
            <c:strRef>
              <c:f>'Unit Stats'!$B$115:$M$115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Stats'!$B$125:$M$125</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3-7ED4-6E42-9037-5EA44766BE42}"/>
            </c:ext>
          </c:extLst>
        </c:ser>
        <c:ser>
          <c:idx val="4"/>
          <c:order val="4"/>
          <c:tx>
            <c:strRef>
              <c:f>'Unit Stats'!$A$126</c:f>
              <c:strCache>
                <c:ptCount val="1"/>
                <c:pt idx="0">
                  <c:v>PENDING</c:v>
                </c:pt>
              </c:strCache>
            </c:strRef>
          </c:tx>
          <c:marker>
            <c:symbol val="none"/>
          </c:marker>
          <c:cat>
            <c:strRef>
              <c:f>'Unit Stats'!$B$115:$M$115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Stats'!$B$126:$M$126</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4-7ED4-6E42-9037-5EA44766BE42}"/>
            </c:ext>
          </c:extLst>
        </c:ser>
        <c:ser>
          <c:idx val="5"/>
          <c:order val="5"/>
          <c:tx>
            <c:strRef>
              <c:f>'Unit Stats'!$A$127</c:f>
              <c:strCache>
                <c:ptCount val="1"/>
                <c:pt idx="0">
                  <c:v>Total</c:v>
                </c:pt>
              </c:strCache>
            </c:strRef>
          </c:tx>
          <c:marker>
            <c:symbol val="none"/>
          </c:marker>
          <c:val>
            <c:numRef>
              <c:f>'Unit Stats'!$B$127:$M$127</c:f>
              <c:numCache>
                <c:formatCode>0</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5-7ED4-6E42-9037-5EA44766BE42}"/>
            </c:ext>
          </c:extLst>
        </c:ser>
        <c:dLbls>
          <c:showLegendKey val="0"/>
          <c:showVal val="0"/>
          <c:showCatName val="0"/>
          <c:showSerName val="0"/>
          <c:showPercent val="0"/>
          <c:showBubbleSize val="0"/>
        </c:dLbls>
        <c:smooth val="0"/>
        <c:axId val="131259008"/>
        <c:axId val="131268992"/>
      </c:lineChart>
      <c:catAx>
        <c:axId val="131259008"/>
        <c:scaling>
          <c:orientation val="minMax"/>
        </c:scaling>
        <c:delete val="0"/>
        <c:axPos val="b"/>
        <c:numFmt formatCode="General" sourceLinked="0"/>
        <c:majorTickMark val="none"/>
        <c:minorTickMark val="none"/>
        <c:tickLblPos val="nextTo"/>
        <c:crossAx val="131268992"/>
        <c:crosses val="autoZero"/>
        <c:auto val="1"/>
        <c:lblAlgn val="ctr"/>
        <c:lblOffset val="100"/>
        <c:noMultiLvlLbl val="0"/>
      </c:catAx>
      <c:valAx>
        <c:axId val="131268992"/>
        <c:scaling>
          <c:orientation val="minMax"/>
        </c:scaling>
        <c:delete val="0"/>
        <c:axPos val="l"/>
        <c:majorGridlines/>
        <c:numFmt formatCode="0" sourceLinked="1"/>
        <c:majorTickMark val="none"/>
        <c:minorTickMark val="none"/>
        <c:tickLblPos val="nextTo"/>
        <c:crossAx val="131259008"/>
        <c:crosses val="autoZero"/>
        <c:crossBetween val="between"/>
      </c:valAx>
      <c:dTable>
        <c:showHorzBorder val="1"/>
        <c:showVertBorder val="1"/>
        <c:showOutline val="1"/>
        <c:showKeys val="1"/>
      </c:dTable>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en-US"/>
              <a:t>All Units Total  - Grievances for 2015 </a:t>
            </a:r>
          </a:p>
        </c:rich>
      </c:tx>
      <c:overlay val="0"/>
    </c:title>
    <c:autoTitleDeleted val="0"/>
    <c:plotArea>
      <c:layout/>
      <c:pieChart>
        <c:varyColors val="1"/>
        <c:ser>
          <c:idx val="0"/>
          <c:order val="0"/>
          <c:dPt>
            <c:idx val="0"/>
            <c:bubble3D val="0"/>
            <c:extLst>
              <c:ext xmlns:c16="http://schemas.microsoft.com/office/drawing/2014/chart" uri="{C3380CC4-5D6E-409C-BE32-E72D297353CC}">
                <c16:uniqueId val="{00000000-56F2-407A-AA0A-59C23C5DC031}"/>
              </c:ext>
            </c:extLst>
          </c:dPt>
          <c:dPt>
            <c:idx val="1"/>
            <c:bubble3D val="0"/>
            <c:extLst>
              <c:ext xmlns:c16="http://schemas.microsoft.com/office/drawing/2014/chart" uri="{C3380CC4-5D6E-409C-BE32-E72D297353CC}">
                <c16:uniqueId val="{00000001-56F2-407A-AA0A-59C23C5DC031}"/>
              </c:ext>
            </c:extLst>
          </c:dPt>
          <c:dPt>
            <c:idx val="2"/>
            <c:bubble3D val="0"/>
            <c:extLst>
              <c:ext xmlns:c16="http://schemas.microsoft.com/office/drawing/2014/chart" uri="{C3380CC4-5D6E-409C-BE32-E72D297353CC}">
                <c16:uniqueId val="{00000002-56F2-407A-AA0A-59C23C5DC031}"/>
              </c:ext>
            </c:extLst>
          </c:dPt>
          <c:dPt>
            <c:idx val="3"/>
            <c:bubble3D val="0"/>
            <c:extLst>
              <c:ext xmlns:c16="http://schemas.microsoft.com/office/drawing/2014/chart" uri="{C3380CC4-5D6E-409C-BE32-E72D297353CC}">
                <c16:uniqueId val="{00000003-56F2-407A-AA0A-59C23C5DC031}"/>
              </c:ext>
            </c:extLst>
          </c:dPt>
          <c:dPt>
            <c:idx val="4"/>
            <c:bubble3D val="0"/>
            <c:extLst>
              <c:ext xmlns:c16="http://schemas.microsoft.com/office/drawing/2014/chart" uri="{C3380CC4-5D6E-409C-BE32-E72D297353CC}">
                <c16:uniqueId val="{00000004-56F2-407A-AA0A-59C23C5DC031}"/>
              </c:ext>
            </c:extLst>
          </c:dPt>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Stats'!$A$4,'Unit Stats'!$A$7,'Unit Stats'!$A$12:$A$14)</c:f>
              <c:strCache>
                <c:ptCount val="5"/>
                <c:pt idx="0">
                  <c:v>FALSE</c:v>
                </c:pt>
                <c:pt idx="1">
                  <c:v>TRUE</c:v>
                </c:pt>
                <c:pt idx="2">
                  <c:v>INCONCLUSIVE</c:v>
                </c:pt>
                <c:pt idx="3">
                  <c:v>Perception Complaints</c:v>
                </c:pt>
                <c:pt idx="4">
                  <c:v>PENDING</c:v>
                </c:pt>
              </c:strCache>
            </c:strRef>
          </c:cat>
          <c:val>
            <c:numRef>
              <c:f>('Unit Stats'!$N$4,'Unit Stats'!$N$7,'Unit Stats'!$N$12:$N$14)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AAFB-6742-91EB-B1AEDE12CF80}"/>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en-US"/>
              <a:t>New</a:t>
            </a:r>
            <a:r>
              <a:rPr lang="en-US" baseline="0"/>
              <a:t> Choices - Grievances for 2015</a:t>
            </a:r>
            <a:endParaRPr lang="en-US"/>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Stats'!$A$18,'Unit Stats'!$A$21,'Unit Stats'!$A$26:$A$28)</c:f>
              <c:strCache>
                <c:ptCount val="5"/>
                <c:pt idx="0">
                  <c:v>FALSE</c:v>
                </c:pt>
                <c:pt idx="1">
                  <c:v>TRUE</c:v>
                </c:pt>
                <c:pt idx="2">
                  <c:v>INCONCLUSIVE</c:v>
                </c:pt>
                <c:pt idx="3">
                  <c:v>Perception Complaints</c:v>
                </c:pt>
                <c:pt idx="4">
                  <c:v>PENDING</c:v>
                </c:pt>
              </c:strCache>
            </c:strRef>
          </c:cat>
          <c:val>
            <c:numRef>
              <c:f>('Unit Stats'!$N$18,'Unit Stats'!$N$21,'Unit Stats'!$N$26:$N$28)</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C0B6-364E-87C9-7B6B4E5A3DD2}"/>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en-US"/>
              <a:t>Safe Harbor - Grievances for 2015</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Stats'!$A$32,'Unit Stats'!$A$35,'Unit Stats'!$A$40:$A$42)</c:f>
              <c:strCache>
                <c:ptCount val="5"/>
                <c:pt idx="0">
                  <c:v>FALSE</c:v>
                </c:pt>
                <c:pt idx="1">
                  <c:v>TRUE</c:v>
                </c:pt>
                <c:pt idx="2">
                  <c:v>INCONCLUSIVE</c:v>
                </c:pt>
                <c:pt idx="3">
                  <c:v>Perception Complaints</c:v>
                </c:pt>
                <c:pt idx="4">
                  <c:v>PENDING</c:v>
                </c:pt>
              </c:strCache>
            </c:strRef>
          </c:cat>
          <c:val>
            <c:numRef>
              <c:f>('Unit Stats'!$N$32,'Unit Stats'!$N$35,'Unit Stats'!$N$40:$N$42)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168A-AD4A-9A07-678AD643D1D6}"/>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en-US"/>
              <a:t>Starting Point - Grievances for 2015</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Stats'!$A$46,'Unit Stats'!$A$49,'Unit Stats'!$A$54:$A$56)</c:f>
              <c:strCache>
                <c:ptCount val="5"/>
                <c:pt idx="0">
                  <c:v>FALSE</c:v>
                </c:pt>
                <c:pt idx="1">
                  <c:v>TRUE</c:v>
                </c:pt>
                <c:pt idx="2">
                  <c:v>INCONCLUSIVE</c:v>
                </c:pt>
                <c:pt idx="3">
                  <c:v>Perception Complaints</c:v>
                </c:pt>
                <c:pt idx="4">
                  <c:v>PENDING</c:v>
                </c:pt>
              </c:strCache>
            </c:strRef>
          </c:cat>
          <c:val>
            <c:numRef>
              <c:f>('Unit Stats'!$N$46,'Unit Stats'!$N$49,'Unit Stats'!$N$54:$N$56)</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7B27-A144-B1D3-77895B8D9373}"/>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en-US"/>
              <a:t>Trans</a:t>
            </a:r>
            <a:r>
              <a:rPr lang="en-US" baseline="0"/>
              <a:t> 1 - Grievances for 2015</a:t>
            </a:r>
            <a:endParaRPr lang="en-US"/>
          </a:p>
        </c:rich>
      </c:tx>
      <c:layout>
        <c:manualLayout>
          <c:xMode val="edge"/>
          <c:yMode val="edge"/>
          <c:x val="0.16621912193861674"/>
          <c:y val="3.0710166556306203E-2"/>
        </c:manualLayout>
      </c:layout>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Stats'!$A$60,'Unit Stats'!$A$63,'Unit Stats'!$A$68:$A$70)</c:f>
              <c:strCache>
                <c:ptCount val="5"/>
                <c:pt idx="0">
                  <c:v>FALSE</c:v>
                </c:pt>
                <c:pt idx="1">
                  <c:v>TRUE</c:v>
                </c:pt>
                <c:pt idx="2">
                  <c:v>INCONCLUSIVE</c:v>
                </c:pt>
                <c:pt idx="3">
                  <c:v>Perception Complaints</c:v>
                </c:pt>
                <c:pt idx="4">
                  <c:v>PENDING</c:v>
                </c:pt>
              </c:strCache>
            </c:strRef>
          </c:cat>
          <c:val>
            <c:numRef>
              <c:f>('Unit Stats'!$N$60,'Unit Stats'!$N$63,'Unit Stats'!$N$68:$N$70)</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F479-7740-97AE-3B0A53EAA039}"/>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en-US"/>
              <a:t>Trans 2 - Grievances for 2015</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Stats'!$A$74,'Unit Stats'!$A$77,'Unit Stats'!$A$82:$A$84)</c:f>
              <c:strCache>
                <c:ptCount val="5"/>
                <c:pt idx="0">
                  <c:v>FALSE</c:v>
                </c:pt>
                <c:pt idx="1">
                  <c:v>TRUE</c:v>
                </c:pt>
                <c:pt idx="2">
                  <c:v>INCONCLUSIVE</c:v>
                </c:pt>
                <c:pt idx="3">
                  <c:v>Perception Complaints</c:v>
                </c:pt>
                <c:pt idx="4">
                  <c:v>PENDING</c:v>
                </c:pt>
              </c:strCache>
            </c:strRef>
          </c:cat>
          <c:val>
            <c:numRef>
              <c:f>('Unit Stats'!$N$74,'Unit Stats'!$N$77,'Unit Stats'!$N$82:$N$84)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2818-364C-822A-4CD23A98F440}"/>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en-US"/>
              <a:t>Triad - Grievances for 2015</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Stats'!$A$88,'Unit Stats'!$A$91,'Unit Stats'!$A$96:$A$98)</c:f>
              <c:strCache>
                <c:ptCount val="5"/>
                <c:pt idx="0">
                  <c:v>FALSE</c:v>
                </c:pt>
                <c:pt idx="1">
                  <c:v>TRUE</c:v>
                </c:pt>
                <c:pt idx="2">
                  <c:v>INCONCLUSIVE</c:v>
                </c:pt>
                <c:pt idx="3">
                  <c:v>Perception Complaints</c:v>
                </c:pt>
                <c:pt idx="4">
                  <c:v>PENDING</c:v>
                </c:pt>
              </c:strCache>
            </c:strRef>
          </c:cat>
          <c:val>
            <c:numRef>
              <c:f>('Unit Stats'!$N$88,'Unit Stats'!$N$91,'Unit Stats'!$N$96:$N$98)</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7E09-5A4F-8DDA-DAF2580FB18A}"/>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en-US"/>
              <a:t>Turning Point - Grievances for 2015</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Stats'!$A$102,'Unit Stats'!$A$105,'Unit Stats'!$A$110:$A$112)</c:f>
              <c:strCache>
                <c:ptCount val="5"/>
                <c:pt idx="0">
                  <c:v>FALSE</c:v>
                </c:pt>
                <c:pt idx="1">
                  <c:v>TRUE</c:v>
                </c:pt>
                <c:pt idx="2">
                  <c:v>INCONCLUSIVE</c:v>
                </c:pt>
                <c:pt idx="3">
                  <c:v>Perception Complaints</c:v>
                </c:pt>
                <c:pt idx="4">
                  <c:v>PENDING</c:v>
                </c:pt>
              </c:strCache>
            </c:strRef>
          </c:cat>
          <c:val>
            <c:numRef>
              <c:f>('Unit Stats'!$N$102,'Unit Stats'!$N$105,'Unit Stats'!$N$110:$N$112)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AFF8-A14F-9A95-B3E90887E6A4}"/>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en-US"/>
              <a:t>Waypoint - Grievances for 2015</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Stats'!$A$116,'Unit Stats'!$A$119,'Unit Stats'!$A$124:$A$126)</c:f>
              <c:strCache>
                <c:ptCount val="5"/>
                <c:pt idx="0">
                  <c:v>FALSE</c:v>
                </c:pt>
                <c:pt idx="1">
                  <c:v>TRUE</c:v>
                </c:pt>
                <c:pt idx="2">
                  <c:v>INCONCLUSIVE</c:v>
                </c:pt>
                <c:pt idx="3">
                  <c:v>Perception Complaints</c:v>
                </c:pt>
                <c:pt idx="4">
                  <c:v>PENDING</c:v>
                </c:pt>
              </c:strCache>
            </c:strRef>
          </c:cat>
          <c:val>
            <c:numRef>
              <c:f>('Unit Stats'!$N$116,'Unit Stats'!$N$119,'Unit Stats'!$N$124:$N$126)</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274B-0F44-92D1-B5C2BE464064}"/>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1"/>
    </mc:Choice>
    <mc:Fallback>
      <c:style val="11"/>
    </mc:Fallback>
  </mc:AlternateContent>
  <c:chart>
    <c:title>
      <c:tx>
        <c:rich>
          <a:bodyPr/>
          <a:lstStyle/>
          <a:p>
            <a:pPr>
              <a:defRPr/>
            </a:pPr>
            <a:r>
              <a:rPr lang="en-US"/>
              <a:t>All Units: False Grievances for 2015</a:t>
            </a:r>
          </a:p>
        </c:rich>
      </c:tx>
      <c:overlay val="0"/>
    </c:title>
    <c:autoTitleDeleted val="0"/>
    <c:plotArea>
      <c:layout/>
      <c:pieChart>
        <c:varyColors val="1"/>
        <c:ser>
          <c:idx val="0"/>
          <c:order val="0"/>
          <c:tx>
            <c:v>Of the False Grievances</c:v>
          </c:tx>
          <c:dPt>
            <c:idx val="0"/>
            <c:bubble3D val="0"/>
            <c:extLst>
              <c:ext xmlns:c16="http://schemas.microsoft.com/office/drawing/2014/chart" uri="{C3380CC4-5D6E-409C-BE32-E72D297353CC}">
                <c16:uniqueId val="{00000000-A498-42DE-9B62-494CD4F6967C}"/>
              </c:ext>
            </c:extLst>
          </c:dPt>
          <c:dPt>
            <c:idx val="1"/>
            <c:bubble3D val="0"/>
            <c:extLst>
              <c:ext xmlns:c16="http://schemas.microsoft.com/office/drawing/2014/chart" uri="{C3380CC4-5D6E-409C-BE32-E72D297353CC}">
                <c16:uniqueId val="{00000001-A498-42DE-9B62-494CD4F6967C}"/>
              </c:ext>
            </c:extLst>
          </c:dPt>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Stats'!$A$5:$A$6</c:f>
              <c:strCache>
                <c:ptCount val="2"/>
                <c:pt idx="0">
                  <c:v>Deliberate</c:v>
                </c:pt>
                <c:pt idx="1">
                  <c:v>Misunderstanding</c:v>
                </c:pt>
              </c:strCache>
            </c:strRef>
          </c:cat>
          <c:val>
            <c:numRef>
              <c:f>'Unit Stats'!$N$5:$N$6</c:f>
              <c:numCache>
                <c:formatCode>0</c:formatCode>
                <c:ptCount val="2"/>
                <c:pt idx="0">
                  <c:v>0</c:v>
                </c:pt>
                <c:pt idx="1">
                  <c:v>0</c:v>
                </c:pt>
              </c:numCache>
            </c:numRef>
          </c:val>
          <c:extLst>
            <c:ext xmlns:c16="http://schemas.microsoft.com/office/drawing/2014/chart" uri="{C3380CC4-5D6E-409C-BE32-E72D297353CC}">
              <c16:uniqueId val="{00000000-B38E-3C49-971C-864C4EED5C82}"/>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2"/>
    </mc:Choice>
    <mc:Fallback>
      <c:style val="12"/>
    </mc:Fallback>
  </mc:AlternateContent>
  <c:chart>
    <c:title>
      <c:tx>
        <c:rich>
          <a:bodyPr/>
          <a:lstStyle/>
          <a:p>
            <a:pPr>
              <a:defRPr/>
            </a:pPr>
            <a:r>
              <a:rPr lang="en-US"/>
              <a:t>All Units: True Grievances for 2015</a:t>
            </a:r>
          </a:p>
        </c:rich>
      </c:tx>
      <c:overlay val="0"/>
    </c:title>
    <c:autoTitleDeleted val="0"/>
    <c:plotArea>
      <c:layout/>
      <c:pieChart>
        <c:varyColors val="1"/>
        <c:ser>
          <c:idx val="0"/>
          <c:order val="0"/>
          <c:tx>
            <c:strRef>
              <c:f>'Unit Stats'!$A$7</c:f>
              <c:strCache>
                <c:ptCount val="1"/>
                <c:pt idx="0">
                  <c:v>TRUE</c:v>
                </c:pt>
              </c:strCache>
            </c:strRef>
          </c:tx>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Stats'!$A$8:$A$11</c:f>
              <c:strCache>
                <c:ptCount val="4"/>
                <c:pt idx="0">
                  <c:v>Rights Violation</c:v>
                </c:pt>
                <c:pt idx="1">
                  <c:v>Policy Violation</c:v>
                </c:pt>
                <c:pt idx="2">
                  <c:v>Anti-Therapeutic</c:v>
                </c:pt>
                <c:pt idx="3">
                  <c:v>Other/ Misc</c:v>
                </c:pt>
              </c:strCache>
            </c:strRef>
          </c:cat>
          <c:val>
            <c:numRef>
              <c:f>'Unit Stats'!$N$8:$N$11</c:f>
              <c:numCache>
                <c:formatCode>0</c:formatCode>
                <c:ptCount val="4"/>
                <c:pt idx="0">
                  <c:v>0</c:v>
                </c:pt>
                <c:pt idx="1">
                  <c:v>0</c:v>
                </c:pt>
                <c:pt idx="2">
                  <c:v>0</c:v>
                </c:pt>
                <c:pt idx="3">
                  <c:v>0</c:v>
                </c:pt>
              </c:numCache>
            </c:numRef>
          </c:val>
          <c:extLst>
            <c:ext xmlns:c16="http://schemas.microsoft.com/office/drawing/2014/chart" uri="{C3380CC4-5D6E-409C-BE32-E72D297353CC}">
              <c16:uniqueId val="{00000000-1692-6C4B-B004-EF0FDB369AE7}"/>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All Units Total for 2015</a:t>
            </a:r>
          </a:p>
        </c:rich>
      </c:tx>
      <c:overlay val="0"/>
    </c:title>
    <c:autoTitleDeleted val="0"/>
    <c:plotArea>
      <c:layout/>
      <c:lineChart>
        <c:grouping val="standard"/>
        <c:varyColors val="0"/>
        <c:ser>
          <c:idx val="0"/>
          <c:order val="0"/>
          <c:tx>
            <c:strRef>
              <c:f>'Unit Stats'!$A$4</c:f>
              <c:strCache>
                <c:ptCount val="1"/>
                <c:pt idx="0">
                  <c:v>FALSE</c:v>
                </c:pt>
              </c:strCache>
            </c:strRef>
          </c:tx>
          <c:marker>
            <c:symbol val="none"/>
          </c:marker>
          <c:cat>
            <c:strRef>
              <c:f>'Unit Stats'!$B$3:$M$3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Stats'!$B$4:$M$4</c:f>
              <c:numCache>
                <c:formatCode>0</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0-0386-2C4A-8436-216CA418FF3C}"/>
            </c:ext>
          </c:extLst>
        </c:ser>
        <c:ser>
          <c:idx val="1"/>
          <c:order val="1"/>
          <c:tx>
            <c:strRef>
              <c:f>'Unit Stats'!$A$7</c:f>
              <c:strCache>
                <c:ptCount val="1"/>
                <c:pt idx="0">
                  <c:v>TRUE</c:v>
                </c:pt>
              </c:strCache>
            </c:strRef>
          </c:tx>
          <c:marker>
            <c:symbol val="none"/>
          </c:marker>
          <c:cat>
            <c:strRef>
              <c:f>'Unit Stats'!$B$3:$M$3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Stats'!$B$7:$M$7</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1-0386-2C4A-8436-216CA418FF3C}"/>
            </c:ext>
          </c:extLst>
        </c:ser>
        <c:ser>
          <c:idx val="2"/>
          <c:order val="2"/>
          <c:tx>
            <c:strRef>
              <c:f>'Unit Stats'!$A$12</c:f>
              <c:strCache>
                <c:ptCount val="1"/>
                <c:pt idx="0">
                  <c:v>INCONCLUSIVE</c:v>
                </c:pt>
              </c:strCache>
            </c:strRef>
          </c:tx>
          <c:marker>
            <c:symbol val="none"/>
          </c:marker>
          <c:cat>
            <c:strRef>
              <c:f>'Unit Stats'!$B$3:$M$3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Stats'!$B$12:$M$12</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2-0386-2C4A-8436-216CA418FF3C}"/>
            </c:ext>
          </c:extLst>
        </c:ser>
        <c:ser>
          <c:idx val="3"/>
          <c:order val="3"/>
          <c:tx>
            <c:strRef>
              <c:f>'Unit Stats'!$A$13</c:f>
              <c:strCache>
                <c:ptCount val="1"/>
                <c:pt idx="0">
                  <c:v>Perception Complaints</c:v>
                </c:pt>
              </c:strCache>
            </c:strRef>
          </c:tx>
          <c:marker>
            <c:symbol val="none"/>
          </c:marker>
          <c:cat>
            <c:strRef>
              <c:f>'Unit Stats'!$B$3:$M$3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Stats'!$B$13:$M$13</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3-0386-2C4A-8436-216CA418FF3C}"/>
            </c:ext>
          </c:extLst>
        </c:ser>
        <c:ser>
          <c:idx val="4"/>
          <c:order val="4"/>
          <c:tx>
            <c:strRef>
              <c:f>'Unit Stats'!$A$14</c:f>
              <c:strCache>
                <c:ptCount val="1"/>
                <c:pt idx="0">
                  <c:v>PENDING</c:v>
                </c:pt>
              </c:strCache>
            </c:strRef>
          </c:tx>
          <c:marker>
            <c:symbol val="none"/>
          </c:marker>
          <c:cat>
            <c:strRef>
              <c:f>'Unit Stats'!$B$3:$M$3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Stats'!$B$14:$M$14</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4-0386-2C4A-8436-216CA418FF3C}"/>
            </c:ext>
          </c:extLst>
        </c:ser>
        <c:ser>
          <c:idx val="5"/>
          <c:order val="5"/>
          <c:tx>
            <c:strRef>
              <c:f>'Unit Stats'!$A$15</c:f>
              <c:strCache>
                <c:ptCount val="1"/>
                <c:pt idx="0">
                  <c:v>Total</c:v>
                </c:pt>
              </c:strCache>
            </c:strRef>
          </c:tx>
          <c:marker>
            <c:symbol val="none"/>
          </c:marker>
          <c:cat>
            <c:strRef>
              <c:f>'Unit Stats'!$B$3:$M$3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Stats'!$B$15:$M$15</c:f>
              <c:numCache>
                <c:formatCode>0</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5-0386-2C4A-8436-216CA418FF3C}"/>
            </c:ext>
          </c:extLst>
        </c:ser>
        <c:dLbls>
          <c:showLegendKey val="0"/>
          <c:showVal val="0"/>
          <c:showCatName val="0"/>
          <c:showSerName val="0"/>
          <c:showPercent val="0"/>
          <c:showBubbleSize val="0"/>
        </c:dLbls>
        <c:dropLines/>
        <c:smooth val="0"/>
        <c:axId val="131560192"/>
        <c:axId val="131561728"/>
      </c:lineChart>
      <c:catAx>
        <c:axId val="131560192"/>
        <c:scaling>
          <c:orientation val="minMax"/>
        </c:scaling>
        <c:delete val="0"/>
        <c:axPos val="b"/>
        <c:numFmt formatCode="General" sourceLinked="0"/>
        <c:majorTickMark val="none"/>
        <c:minorTickMark val="none"/>
        <c:tickLblPos val="nextTo"/>
        <c:crossAx val="131561728"/>
        <c:crosses val="autoZero"/>
        <c:auto val="1"/>
        <c:lblAlgn val="ctr"/>
        <c:lblOffset val="100"/>
        <c:noMultiLvlLbl val="0"/>
      </c:catAx>
      <c:valAx>
        <c:axId val="131561728"/>
        <c:scaling>
          <c:orientation val="minMax"/>
        </c:scaling>
        <c:delete val="0"/>
        <c:axPos val="l"/>
        <c:majorGridlines>
          <c:spPr>
            <a:ln w="9525" cap="flat" cmpd="sng" algn="ctr">
              <a:solidFill>
                <a:schemeClr val="accent1">
                  <a:shade val="95000"/>
                  <a:satMod val="105000"/>
                </a:schemeClr>
              </a:solidFill>
              <a:prstDash val="solid"/>
            </a:ln>
            <a:effectLst/>
          </c:spPr>
        </c:majorGridlines>
        <c:numFmt formatCode="0" sourceLinked="1"/>
        <c:majorTickMark val="none"/>
        <c:minorTickMark val="none"/>
        <c:tickLblPos val="nextTo"/>
        <c:crossAx val="131560192"/>
        <c:crosses val="autoZero"/>
        <c:crossBetween val="between"/>
      </c:valAx>
      <c:dTable>
        <c:showHorzBorder val="1"/>
        <c:showVertBorder val="1"/>
        <c:showOutline val="1"/>
        <c:showKeys val="1"/>
      </c:dTable>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1"/>
    </mc:Choice>
    <mc:Fallback>
      <c:style val="11"/>
    </mc:Fallback>
  </mc:AlternateContent>
  <c:chart>
    <c:title>
      <c:tx>
        <c:rich>
          <a:bodyPr/>
          <a:lstStyle/>
          <a:p>
            <a:pPr>
              <a:defRPr/>
            </a:pPr>
            <a:r>
              <a:rPr lang="en-US"/>
              <a:t>New Choices: False Grievances for 2015</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Stats'!$A$19:$A$20</c:f>
              <c:strCache>
                <c:ptCount val="2"/>
                <c:pt idx="0">
                  <c:v>Deliberate</c:v>
                </c:pt>
                <c:pt idx="1">
                  <c:v>Misunderstanding</c:v>
                </c:pt>
              </c:strCache>
            </c:strRef>
          </c:cat>
          <c:val>
            <c:numRef>
              <c:f>'Unit Stats'!$N$19:$N$20</c:f>
              <c:numCache>
                <c:formatCode>0</c:formatCode>
                <c:ptCount val="2"/>
                <c:pt idx="0">
                  <c:v>0</c:v>
                </c:pt>
                <c:pt idx="1">
                  <c:v>0</c:v>
                </c:pt>
              </c:numCache>
            </c:numRef>
          </c:val>
          <c:extLst>
            <c:ext xmlns:c16="http://schemas.microsoft.com/office/drawing/2014/chart" uri="{C3380CC4-5D6E-409C-BE32-E72D297353CC}">
              <c16:uniqueId val="{00000000-4ACD-6F4B-B69D-0B9D8201770C}"/>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1"/>
    </mc:Choice>
    <mc:Fallback>
      <c:style val="11"/>
    </mc:Fallback>
  </mc:AlternateContent>
  <c:chart>
    <c:title>
      <c:tx>
        <c:rich>
          <a:bodyPr/>
          <a:lstStyle/>
          <a:p>
            <a:pPr>
              <a:defRPr/>
            </a:pPr>
            <a:r>
              <a:rPr lang="en-US"/>
              <a:t>Safe Harbor: False Grievances for 2015</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Stats'!$A$33:$A$34</c:f>
              <c:strCache>
                <c:ptCount val="2"/>
                <c:pt idx="0">
                  <c:v>Deliberate</c:v>
                </c:pt>
                <c:pt idx="1">
                  <c:v>Misunderstanding</c:v>
                </c:pt>
              </c:strCache>
            </c:strRef>
          </c:cat>
          <c:val>
            <c:numRef>
              <c:f>'Unit Stats'!$N$33:$N$34</c:f>
              <c:numCache>
                <c:formatCode>0</c:formatCode>
                <c:ptCount val="2"/>
                <c:pt idx="0">
                  <c:v>0</c:v>
                </c:pt>
                <c:pt idx="1">
                  <c:v>0</c:v>
                </c:pt>
              </c:numCache>
            </c:numRef>
          </c:val>
          <c:extLst>
            <c:ext xmlns:c16="http://schemas.microsoft.com/office/drawing/2014/chart" uri="{C3380CC4-5D6E-409C-BE32-E72D297353CC}">
              <c16:uniqueId val="{00000000-E0A2-134C-8F65-D2118CC117DF}"/>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1"/>
    </mc:Choice>
    <mc:Fallback>
      <c:style val="11"/>
    </mc:Fallback>
  </mc:AlternateContent>
  <c:chart>
    <c:title>
      <c:tx>
        <c:rich>
          <a:bodyPr/>
          <a:lstStyle/>
          <a:p>
            <a:pPr>
              <a:defRPr/>
            </a:pPr>
            <a:r>
              <a:rPr lang="en-US"/>
              <a:t>Starting Point: False Grievances for 2015</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Stats'!$A$47:$A$48</c:f>
              <c:strCache>
                <c:ptCount val="2"/>
                <c:pt idx="0">
                  <c:v>Deliberate</c:v>
                </c:pt>
                <c:pt idx="1">
                  <c:v>Misunderstanding</c:v>
                </c:pt>
              </c:strCache>
            </c:strRef>
          </c:cat>
          <c:val>
            <c:numRef>
              <c:f>'Unit Stats'!$N$47:$N$48</c:f>
              <c:numCache>
                <c:formatCode>0</c:formatCode>
                <c:ptCount val="2"/>
                <c:pt idx="0">
                  <c:v>0</c:v>
                </c:pt>
                <c:pt idx="1">
                  <c:v>0</c:v>
                </c:pt>
              </c:numCache>
            </c:numRef>
          </c:val>
          <c:extLst>
            <c:ext xmlns:c16="http://schemas.microsoft.com/office/drawing/2014/chart" uri="{C3380CC4-5D6E-409C-BE32-E72D297353CC}">
              <c16:uniqueId val="{00000000-4A57-184D-AE4E-22174C36329A}"/>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1"/>
    </mc:Choice>
    <mc:Fallback>
      <c:style val="11"/>
    </mc:Fallback>
  </mc:AlternateContent>
  <c:chart>
    <c:title>
      <c:tx>
        <c:rich>
          <a:bodyPr/>
          <a:lstStyle/>
          <a:p>
            <a:pPr>
              <a:defRPr/>
            </a:pPr>
            <a:r>
              <a:rPr lang="en-US"/>
              <a:t>Trans 1: False Grievances for 2015</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Stats'!$A$61:$A$62</c:f>
              <c:strCache>
                <c:ptCount val="2"/>
                <c:pt idx="0">
                  <c:v>Deliberate</c:v>
                </c:pt>
                <c:pt idx="1">
                  <c:v>Misunderstanding</c:v>
                </c:pt>
              </c:strCache>
            </c:strRef>
          </c:cat>
          <c:val>
            <c:numRef>
              <c:f>'Unit Stats'!$N$61:$N$62</c:f>
              <c:numCache>
                <c:formatCode>0</c:formatCode>
                <c:ptCount val="2"/>
                <c:pt idx="0">
                  <c:v>0</c:v>
                </c:pt>
                <c:pt idx="1">
                  <c:v>0</c:v>
                </c:pt>
              </c:numCache>
            </c:numRef>
          </c:val>
          <c:extLst>
            <c:ext xmlns:c16="http://schemas.microsoft.com/office/drawing/2014/chart" uri="{C3380CC4-5D6E-409C-BE32-E72D297353CC}">
              <c16:uniqueId val="{00000000-9BB5-F442-A38F-8CA73087EA4D}"/>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1"/>
    </mc:Choice>
    <mc:Fallback>
      <c:style val="11"/>
    </mc:Fallback>
  </mc:AlternateContent>
  <c:chart>
    <c:title>
      <c:tx>
        <c:rich>
          <a:bodyPr/>
          <a:lstStyle/>
          <a:p>
            <a:pPr>
              <a:defRPr/>
            </a:pPr>
            <a:r>
              <a:rPr lang="en-US"/>
              <a:t>Trans 2: False Grievances for 2015</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Stats'!$A$75:$A$76</c:f>
              <c:strCache>
                <c:ptCount val="2"/>
                <c:pt idx="0">
                  <c:v>Deliberate</c:v>
                </c:pt>
                <c:pt idx="1">
                  <c:v>Misunderstanding</c:v>
                </c:pt>
              </c:strCache>
            </c:strRef>
          </c:cat>
          <c:val>
            <c:numRef>
              <c:f>'Unit Stats'!$N$75:$N$76</c:f>
              <c:numCache>
                <c:formatCode>0</c:formatCode>
                <c:ptCount val="2"/>
                <c:pt idx="0">
                  <c:v>0</c:v>
                </c:pt>
                <c:pt idx="1">
                  <c:v>0</c:v>
                </c:pt>
              </c:numCache>
            </c:numRef>
          </c:val>
          <c:extLst>
            <c:ext xmlns:c16="http://schemas.microsoft.com/office/drawing/2014/chart" uri="{C3380CC4-5D6E-409C-BE32-E72D297353CC}">
              <c16:uniqueId val="{00000000-E854-1846-A4A5-2986D2707209}"/>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1"/>
    </mc:Choice>
    <mc:Fallback>
      <c:style val="11"/>
    </mc:Fallback>
  </mc:AlternateContent>
  <c:chart>
    <c:title>
      <c:tx>
        <c:rich>
          <a:bodyPr/>
          <a:lstStyle/>
          <a:p>
            <a:pPr>
              <a:defRPr/>
            </a:pPr>
            <a:r>
              <a:rPr lang="en-US"/>
              <a:t>Triad: False Grievances for 2015</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Stats'!$A$89:$A$90</c:f>
              <c:strCache>
                <c:ptCount val="2"/>
                <c:pt idx="0">
                  <c:v>Deliberate</c:v>
                </c:pt>
                <c:pt idx="1">
                  <c:v>Misunderstanding</c:v>
                </c:pt>
              </c:strCache>
            </c:strRef>
          </c:cat>
          <c:val>
            <c:numRef>
              <c:f>'Unit Stats'!$N$89:$N$90</c:f>
              <c:numCache>
                <c:formatCode>0</c:formatCode>
                <c:ptCount val="2"/>
                <c:pt idx="0">
                  <c:v>0</c:v>
                </c:pt>
                <c:pt idx="1">
                  <c:v>0</c:v>
                </c:pt>
              </c:numCache>
            </c:numRef>
          </c:val>
          <c:extLst>
            <c:ext xmlns:c16="http://schemas.microsoft.com/office/drawing/2014/chart" uri="{C3380CC4-5D6E-409C-BE32-E72D297353CC}">
              <c16:uniqueId val="{00000000-2F09-114E-8E1C-466E954314F7}"/>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1"/>
    </mc:Choice>
    <mc:Fallback>
      <c:style val="11"/>
    </mc:Fallback>
  </mc:AlternateContent>
  <c:chart>
    <c:title>
      <c:tx>
        <c:rich>
          <a:bodyPr/>
          <a:lstStyle/>
          <a:p>
            <a:pPr>
              <a:defRPr/>
            </a:pPr>
            <a:r>
              <a:rPr lang="en-US"/>
              <a:t>Turning Point: False Grievances for 2015</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Stats'!$A$103:$A$104</c:f>
              <c:strCache>
                <c:ptCount val="2"/>
                <c:pt idx="0">
                  <c:v>Deliberate</c:v>
                </c:pt>
                <c:pt idx="1">
                  <c:v>Misunderstanding</c:v>
                </c:pt>
              </c:strCache>
            </c:strRef>
          </c:cat>
          <c:val>
            <c:numRef>
              <c:f>'Unit Stats'!$N$103:$N$104</c:f>
              <c:numCache>
                <c:formatCode>0</c:formatCode>
                <c:ptCount val="2"/>
                <c:pt idx="0">
                  <c:v>0</c:v>
                </c:pt>
                <c:pt idx="1">
                  <c:v>0</c:v>
                </c:pt>
              </c:numCache>
            </c:numRef>
          </c:val>
          <c:extLst>
            <c:ext xmlns:c16="http://schemas.microsoft.com/office/drawing/2014/chart" uri="{C3380CC4-5D6E-409C-BE32-E72D297353CC}">
              <c16:uniqueId val="{00000000-226F-8C42-B89C-4197B3C48D9D}"/>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1"/>
    </mc:Choice>
    <mc:Fallback>
      <c:style val="11"/>
    </mc:Fallback>
  </mc:AlternateContent>
  <c:chart>
    <c:title>
      <c:tx>
        <c:rich>
          <a:bodyPr/>
          <a:lstStyle/>
          <a:p>
            <a:pPr>
              <a:defRPr/>
            </a:pPr>
            <a:r>
              <a:rPr lang="en-US"/>
              <a:t>Waypoint:</a:t>
            </a:r>
            <a:r>
              <a:rPr lang="en-US" baseline="0"/>
              <a:t> False Grievances for 2015</a:t>
            </a:r>
            <a:endParaRPr lang="en-US"/>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Stats'!$A$117:$A$118</c:f>
              <c:strCache>
                <c:ptCount val="2"/>
                <c:pt idx="0">
                  <c:v>Deliberate</c:v>
                </c:pt>
                <c:pt idx="1">
                  <c:v>Misunderstanding</c:v>
                </c:pt>
              </c:strCache>
            </c:strRef>
          </c:cat>
          <c:val>
            <c:numRef>
              <c:f>'Unit Stats'!$N$117:$N$118</c:f>
              <c:numCache>
                <c:formatCode>0</c:formatCode>
                <c:ptCount val="2"/>
                <c:pt idx="0">
                  <c:v>0</c:v>
                </c:pt>
                <c:pt idx="1">
                  <c:v>0</c:v>
                </c:pt>
              </c:numCache>
            </c:numRef>
          </c:val>
          <c:extLst>
            <c:ext xmlns:c16="http://schemas.microsoft.com/office/drawing/2014/chart" uri="{C3380CC4-5D6E-409C-BE32-E72D297353CC}">
              <c16:uniqueId val="{00000000-B74B-3446-AD3C-0D44CE6D9E8A}"/>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2"/>
    </mc:Choice>
    <mc:Fallback>
      <c:style val="12"/>
    </mc:Fallback>
  </mc:AlternateContent>
  <c:chart>
    <c:title>
      <c:tx>
        <c:rich>
          <a:bodyPr/>
          <a:lstStyle/>
          <a:p>
            <a:pPr>
              <a:defRPr/>
            </a:pPr>
            <a:r>
              <a:rPr lang="en-US"/>
              <a:t>New Choices: True Grievances for 2015</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Stats'!$A$22:$A$25</c:f>
              <c:strCache>
                <c:ptCount val="4"/>
                <c:pt idx="0">
                  <c:v>Rights Violation</c:v>
                </c:pt>
                <c:pt idx="1">
                  <c:v>Policy Violation</c:v>
                </c:pt>
                <c:pt idx="2">
                  <c:v>Anti-Therapeutic</c:v>
                </c:pt>
                <c:pt idx="3">
                  <c:v>Other/ Misc</c:v>
                </c:pt>
              </c:strCache>
            </c:strRef>
          </c:cat>
          <c:val>
            <c:numRef>
              <c:f>'Unit Stats'!$N$22:$N$25</c:f>
              <c:numCache>
                <c:formatCode>0</c:formatCode>
                <c:ptCount val="4"/>
                <c:pt idx="0">
                  <c:v>0</c:v>
                </c:pt>
                <c:pt idx="1">
                  <c:v>0</c:v>
                </c:pt>
                <c:pt idx="2">
                  <c:v>0</c:v>
                </c:pt>
                <c:pt idx="3">
                  <c:v>0</c:v>
                </c:pt>
              </c:numCache>
            </c:numRef>
          </c:val>
          <c:extLst>
            <c:ext xmlns:c16="http://schemas.microsoft.com/office/drawing/2014/chart" uri="{C3380CC4-5D6E-409C-BE32-E72D297353CC}">
              <c16:uniqueId val="{00000000-5700-494B-8627-141397DBF76B}"/>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2"/>
    </mc:Choice>
    <mc:Fallback>
      <c:style val="12"/>
    </mc:Fallback>
  </mc:AlternateContent>
  <c:chart>
    <c:title>
      <c:tx>
        <c:rich>
          <a:bodyPr/>
          <a:lstStyle/>
          <a:p>
            <a:pPr>
              <a:defRPr/>
            </a:pPr>
            <a:r>
              <a:rPr lang="en-US"/>
              <a:t>Safe Harbor: True Grievances for 2015</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Stats'!$A$36:$A$39</c:f>
              <c:strCache>
                <c:ptCount val="4"/>
                <c:pt idx="0">
                  <c:v>Rights Violation</c:v>
                </c:pt>
                <c:pt idx="1">
                  <c:v>Policy Violation</c:v>
                </c:pt>
                <c:pt idx="2">
                  <c:v>Anti-Therapeutic</c:v>
                </c:pt>
                <c:pt idx="3">
                  <c:v>Other/ Misc</c:v>
                </c:pt>
              </c:strCache>
            </c:strRef>
          </c:cat>
          <c:val>
            <c:numRef>
              <c:f>'Unit Stats'!$N$36:$N$39</c:f>
              <c:numCache>
                <c:formatCode>0</c:formatCode>
                <c:ptCount val="4"/>
                <c:pt idx="0">
                  <c:v>0</c:v>
                </c:pt>
                <c:pt idx="1">
                  <c:v>0</c:v>
                </c:pt>
                <c:pt idx="2">
                  <c:v>0</c:v>
                </c:pt>
                <c:pt idx="3">
                  <c:v>0</c:v>
                </c:pt>
              </c:numCache>
            </c:numRef>
          </c:val>
          <c:extLst>
            <c:ext xmlns:c16="http://schemas.microsoft.com/office/drawing/2014/chart" uri="{C3380CC4-5D6E-409C-BE32-E72D297353CC}">
              <c16:uniqueId val="{00000000-7AF9-F143-B81E-B367FE5D7423}"/>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2"/>
    </mc:Choice>
    <mc:Fallback>
      <c:style val="12"/>
    </mc:Fallback>
  </mc:AlternateContent>
  <c:chart>
    <c:title>
      <c:tx>
        <c:rich>
          <a:bodyPr/>
          <a:lstStyle/>
          <a:p>
            <a:pPr>
              <a:defRPr/>
            </a:pPr>
            <a:r>
              <a:rPr lang="en-US"/>
              <a:t>Starting Point: True Grievances for 2015</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Stats'!$A$50:$A$53</c:f>
              <c:strCache>
                <c:ptCount val="4"/>
                <c:pt idx="0">
                  <c:v>Rights Violation</c:v>
                </c:pt>
                <c:pt idx="1">
                  <c:v>Policy Violation</c:v>
                </c:pt>
                <c:pt idx="2">
                  <c:v>Anti-Therapeutic</c:v>
                </c:pt>
                <c:pt idx="3">
                  <c:v>Other/ Misc</c:v>
                </c:pt>
              </c:strCache>
            </c:strRef>
          </c:cat>
          <c:val>
            <c:numRef>
              <c:f>'Unit Stats'!$N$50:$N$53</c:f>
              <c:numCache>
                <c:formatCode>0</c:formatCode>
                <c:ptCount val="4"/>
                <c:pt idx="0">
                  <c:v>0</c:v>
                </c:pt>
                <c:pt idx="1">
                  <c:v>0</c:v>
                </c:pt>
                <c:pt idx="2">
                  <c:v>0</c:v>
                </c:pt>
                <c:pt idx="3">
                  <c:v>0</c:v>
                </c:pt>
              </c:numCache>
            </c:numRef>
          </c:val>
          <c:extLst>
            <c:ext xmlns:c16="http://schemas.microsoft.com/office/drawing/2014/chart" uri="{C3380CC4-5D6E-409C-BE32-E72D297353CC}">
              <c16:uniqueId val="{00000000-5706-BE47-AA13-A488C2A2FE47}"/>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2"/>
    </mc:Choice>
    <mc:Fallback>
      <c:style val="12"/>
    </mc:Fallback>
  </mc:AlternateContent>
  <c:chart>
    <c:title>
      <c:tx>
        <c:rich>
          <a:bodyPr/>
          <a:lstStyle/>
          <a:p>
            <a:pPr>
              <a:defRPr/>
            </a:pPr>
            <a:r>
              <a:rPr lang="en-US"/>
              <a:t>Trans 1: True</a:t>
            </a:r>
            <a:r>
              <a:rPr lang="en-US" baseline="0"/>
              <a:t> Grievances for 2015</a:t>
            </a:r>
            <a:endParaRPr lang="en-US"/>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Stats'!$A$64:$A$67</c:f>
              <c:strCache>
                <c:ptCount val="4"/>
                <c:pt idx="0">
                  <c:v>Rights Violation</c:v>
                </c:pt>
                <c:pt idx="1">
                  <c:v>Policy Violation</c:v>
                </c:pt>
                <c:pt idx="2">
                  <c:v>Anti-Therapeutic</c:v>
                </c:pt>
                <c:pt idx="3">
                  <c:v>Other/ Misc</c:v>
                </c:pt>
              </c:strCache>
            </c:strRef>
          </c:cat>
          <c:val>
            <c:numRef>
              <c:f>'Unit Stats'!$N$64:$N$67</c:f>
              <c:numCache>
                <c:formatCode>0</c:formatCode>
                <c:ptCount val="4"/>
                <c:pt idx="0">
                  <c:v>0</c:v>
                </c:pt>
                <c:pt idx="1">
                  <c:v>0</c:v>
                </c:pt>
                <c:pt idx="2">
                  <c:v>0</c:v>
                </c:pt>
                <c:pt idx="3">
                  <c:v>0</c:v>
                </c:pt>
              </c:numCache>
            </c:numRef>
          </c:val>
          <c:extLst>
            <c:ext xmlns:c16="http://schemas.microsoft.com/office/drawing/2014/chart" uri="{C3380CC4-5D6E-409C-BE32-E72D297353CC}">
              <c16:uniqueId val="{00000000-5140-B143-8A23-57B36F1871DB}"/>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2"/>
    </mc:Choice>
    <mc:Fallback>
      <c:style val="12"/>
    </mc:Fallback>
  </mc:AlternateContent>
  <c:chart>
    <c:title>
      <c:tx>
        <c:rich>
          <a:bodyPr/>
          <a:lstStyle/>
          <a:p>
            <a:pPr>
              <a:defRPr/>
            </a:pPr>
            <a:r>
              <a:rPr lang="en-US"/>
              <a:t>Trans 2: True Grievances for 2015</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Stats'!$A$78:$A$81</c:f>
              <c:strCache>
                <c:ptCount val="4"/>
                <c:pt idx="0">
                  <c:v>Rights Violation</c:v>
                </c:pt>
                <c:pt idx="1">
                  <c:v>Policy Violation</c:v>
                </c:pt>
                <c:pt idx="2">
                  <c:v>Anti-Therapeutic</c:v>
                </c:pt>
                <c:pt idx="3">
                  <c:v>Other/ Misc</c:v>
                </c:pt>
              </c:strCache>
            </c:strRef>
          </c:cat>
          <c:val>
            <c:numRef>
              <c:f>'Unit Stats'!$N$78:$N$81</c:f>
              <c:numCache>
                <c:formatCode>0</c:formatCode>
                <c:ptCount val="4"/>
                <c:pt idx="0">
                  <c:v>0</c:v>
                </c:pt>
                <c:pt idx="1">
                  <c:v>0</c:v>
                </c:pt>
                <c:pt idx="2">
                  <c:v>0</c:v>
                </c:pt>
                <c:pt idx="3">
                  <c:v>0</c:v>
                </c:pt>
              </c:numCache>
            </c:numRef>
          </c:val>
          <c:extLst>
            <c:ext xmlns:c16="http://schemas.microsoft.com/office/drawing/2014/chart" uri="{C3380CC4-5D6E-409C-BE32-E72D297353CC}">
              <c16:uniqueId val="{00000000-315B-A145-A859-F4480AE529C6}"/>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2"/>
    </mc:Choice>
    <mc:Fallback>
      <c:style val="12"/>
    </mc:Fallback>
  </mc:AlternateContent>
  <c:chart>
    <c:title>
      <c:tx>
        <c:rich>
          <a:bodyPr/>
          <a:lstStyle/>
          <a:p>
            <a:pPr>
              <a:defRPr/>
            </a:pPr>
            <a:r>
              <a:rPr lang="en-US"/>
              <a:t>Triad: True Grievances for 2015</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Stats'!$A$92:$A$95</c:f>
              <c:strCache>
                <c:ptCount val="4"/>
                <c:pt idx="0">
                  <c:v>Rights Violation</c:v>
                </c:pt>
                <c:pt idx="1">
                  <c:v>Policy Violation</c:v>
                </c:pt>
                <c:pt idx="2">
                  <c:v>Anti-Therapeutic</c:v>
                </c:pt>
                <c:pt idx="3">
                  <c:v>Other/ Misc</c:v>
                </c:pt>
              </c:strCache>
            </c:strRef>
          </c:cat>
          <c:val>
            <c:numRef>
              <c:f>'Unit Stats'!$N$92:$N$95</c:f>
              <c:numCache>
                <c:formatCode>0</c:formatCode>
                <c:ptCount val="4"/>
                <c:pt idx="0">
                  <c:v>0</c:v>
                </c:pt>
                <c:pt idx="1">
                  <c:v>0</c:v>
                </c:pt>
                <c:pt idx="2">
                  <c:v>0</c:v>
                </c:pt>
                <c:pt idx="3">
                  <c:v>0</c:v>
                </c:pt>
              </c:numCache>
            </c:numRef>
          </c:val>
          <c:extLst>
            <c:ext xmlns:c16="http://schemas.microsoft.com/office/drawing/2014/chart" uri="{C3380CC4-5D6E-409C-BE32-E72D297353CC}">
              <c16:uniqueId val="{00000000-2B6F-F846-9A1A-86EB711D168E}"/>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2"/>
    </mc:Choice>
    <mc:Fallback>
      <c:style val="12"/>
    </mc:Fallback>
  </mc:AlternateContent>
  <c:chart>
    <c:title>
      <c:tx>
        <c:rich>
          <a:bodyPr/>
          <a:lstStyle/>
          <a:p>
            <a:pPr>
              <a:defRPr/>
            </a:pPr>
            <a:r>
              <a:rPr lang="en-US"/>
              <a:t>Turning Point:</a:t>
            </a:r>
            <a:r>
              <a:rPr lang="en-US" baseline="0"/>
              <a:t> True Grievances for 2015</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Stats'!$A$106:$A$109</c:f>
              <c:strCache>
                <c:ptCount val="4"/>
                <c:pt idx="0">
                  <c:v>Rights Violation</c:v>
                </c:pt>
                <c:pt idx="1">
                  <c:v>Policy Violation</c:v>
                </c:pt>
                <c:pt idx="2">
                  <c:v>Anti-Therapeutic</c:v>
                </c:pt>
                <c:pt idx="3">
                  <c:v>Other/ Misc</c:v>
                </c:pt>
              </c:strCache>
            </c:strRef>
          </c:cat>
          <c:val>
            <c:numRef>
              <c:f>'Unit Stats'!$N$106:$N$109</c:f>
              <c:numCache>
                <c:formatCode>0</c:formatCode>
                <c:ptCount val="4"/>
                <c:pt idx="0">
                  <c:v>0</c:v>
                </c:pt>
                <c:pt idx="1">
                  <c:v>0</c:v>
                </c:pt>
                <c:pt idx="2">
                  <c:v>0</c:v>
                </c:pt>
                <c:pt idx="3">
                  <c:v>0</c:v>
                </c:pt>
              </c:numCache>
            </c:numRef>
          </c:val>
          <c:extLst>
            <c:ext xmlns:c16="http://schemas.microsoft.com/office/drawing/2014/chart" uri="{C3380CC4-5D6E-409C-BE32-E72D297353CC}">
              <c16:uniqueId val="{00000000-0CC6-9542-AAF3-939471F8F674}"/>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2"/>
    </mc:Choice>
    <mc:Fallback>
      <c:style val="12"/>
    </mc:Fallback>
  </mc:AlternateContent>
  <c:chart>
    <c:title>
      <c:tx>
        <c:rich>
          <a:bodyPr/>
          <a:lstStyle/>
          <a:p>
            <a:pPr>
              <a:defRPr/>
            </a:pPr>
            <a:r>
              <a:rPr lang="en-US"/>
              <a:t>Waypoint: True Grievances for 2015</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Stats'!$A$120:$A$123</c:f>
              <c:strCache>
                <c:ptCount val="4"/>
                <c:pt idx="0">
                  <c:v>Rights Violation</c:v>
                </c:pt>
                <c:pt idx="1">
                  <c:v>Policy Violation</c:v>
                </c:pt>
                <c:pt idx="2">
                  <c:v>Anti-Therapeutic</c:v>
                </c:pt>
                <c:pt idx="3">
                  <c:v>Other/ Misc</c:v>
                </c:pt>
              </c:strCache>
            </c:strRef>
          </c:cat>
          <c:val>
            <c:numRef>
              <c:f>'Unit Stats'!$N$120:$N$123</c:f>
              <c:numCache>
                <c:formatCode>0</c:formatCode>
                <c:ptCount val="4"/>
                <c:pt idx="0">
                  <c:v>0</c:v>
                </c:pt>
                <c:pt idx="1">
                  <c:v>0</c:v>
                </c:pt>
                <c:pt idx="2">
                  <c:v>0</c:v>
                </c:pt>
                <c:pt idx="3">
                  <c:v>0</c:v>
                </c:pt>
              </c:numCache>
            </c:numRef>
          </c:val>
          <c:extLst>
            <c:ext xmlns:c16="http://schemas.microsoft.com/office/drawing/2014/chart" uri="{C3380CC4-5D6E-409C-BE32-E72D297353CC}">
              <c16:uniqueId val="{00000000-7DE5-F340-90A9-6D2D83C58459}"/>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'Unit Stats'!$A$146</c:f>
              <c:strCache>
                <c:ptCount val="1"/>
                <c:pt idx="0">
                  <c:v>New Choices</c:v>
                </c:pt>
              </c:strCache>
            </c:strRef>
          </c:tx>
          <c:marker>
            <c:symbol val="none"/>
          </c:marker>
          <c:cat>
            <c:strRef>
              <c:f>'Unit Stats'!$B$145:$G$145</c:f>
              <c:strCache>
                <c:ptCount val="6"/>
                <c:pt idx="0">
                  <c:v>Jan</c:v>
                </c:pt>
                <c:pt idx="1">
                  <c:v>Feb</c:v>
                </c:pt>
                <c:pt idx="2">
                  <c:v>Mar</c:v>
                </c:pt>
                <c:pt idx="3">
                  <c:v>Apr</c:v>
                </c:pt>
                <c:pt idx="4">
                  <c:v>May</c:v>
                </c:pt>
                <c:pt idx="5">
                  <c:v>Jun</c:v>
                </c:pt>
              </c:strCache>
            </c:strRef>
          </c:cat>
          <c:val>
            <c:numRef>
              <c:f>'Unit Stats'!$B$146:$G$146</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E1B9-DA46-8947-0D420FA0A24F}"/>
            </c:ext>
          </c:extLst>
        </c:ser>
        <c:ser>
          <c:idx val="1"/>
          <c:order val="1"/>
          <c:tx>
            <c:strRef>
              <c:f>'Unit Stats'!$A$147</c:f>
              <c:strCache>
                <c:ptCount val="1"/>
                <c:pt idx="0">
                  <c:v>Safe Harbor</c:v>
                </c:pt>
              </c:strCache>
            </c:strRef>
          </c:tx>
          <c:marker>
            <c:symbol val="none"/>
          </c:marker>
          <c:cat>
            <c:strRef>
              <c:f>'Unit Stats'!$B$145:$G$145</c:f>
              <c:strCache>
                <c:ptCount val="6"/>
                <c:pt idx="0">
                  <c:v>Jan</c:v>
                </c:pt>
                <c:pt idx="1">
                  <c:v>Feb</c:v>
                </c:pt>
                <c:pt idx="2">
                  <c:v>Mar</c:v>
                </c:pt>
                <c:pt idx="3">
                  <c:v>Apr</c:v>
                </c:pt>
                <c:pt idx="4">
                  <c:v>May</c:v>
                </c:pt>
                <c:pt idx="5">
                  <c:v>Jun</c:v>
                </c:pt>
              </c:strCache>
            </c:strRef>
          </c:cat>
          <c:val>
            <c:numRef>
              <c:f>'Unit Stats'!$B$147:$G$147</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1-E1B9-DA46-8947-0D420FA0A24F}"/>
            </c:ext>
          </c:extLst>
        </c:ser>
        <c:ser>
          <c:idx val="2"/>
          <c:order val="2"/>
          <c:tx>
            <c:strRef>
              <c:f>'Unit Stats'!$A$148</c:f>
              <c:strCache>
                <c:ptCount val="1"/>
                <c:pt idx="0">
                  <c:v>Starting Point</c:v>
                </c:pt>
              </c:strCache>
            </c:strRef>
          </c:tx>
          <c:marker>
            <c:symbol val="none"/>
          </c:marker>
          <c:cat>
            <c:strRef>
              <c:f>'Unit Stats'!$B$145:$G$145</c:f>
              <c:strCache>
                <c:ptCount val="6"/>
                <c:pt idx="0">
                  <c:v>Jan</c:v>
                </c:pt>
                <c:pt idx="1">
                  <c:v>Feb</c:v>
                </c:pt>
                <c:pt idx="2">
                  <c:v>Mar</c:v>
                </c:pt>
                <c:pt idx="3">
                  <c:v>Apr</c:v>
                </c:pt>
                <c:pt idx="4">
                  <c:v>May</c:v>
                </c:pt>
                <c:pt idx="5">
                  <c:v>Jun</c:v>
                </c:pt>
              </c:strCache>
            </c:strRef>
          </c:cat>
          <c:val>
            <c:numRef>
              <c:f>'Unit Stats'!$B$148:$G$148</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2-E1B9-DA46-8947-0D420FA0A24F}"/>
            </c:ext>
          </c:extLst>
        </c:ser>
        <c:ser>
          <c:idx val="3"/>
          <c:order val="3"/>
          <c:tx>
            <c:strRef>
              <c:f>'Unit Stats'!$A$149</c:f>
              <c:strCache>
                <c:ptCount val="1"/>
                <c:pt idx="0">
                  <c:v>Transformations 1</c:v>
                </c:pt>
              </c:strCache>
            </c:strRef>
          </c:tx>
          <c:marker>
            <c:symbol val="none"/>
          </c:marker>
          <c:cat>
            <c:strRef>
              <c:f>'Unit Stats'!$B$145:$G$145</c:f>
              <c:strCache>
                <c:ptCount val="6"/>
                <c:pt idx="0">
                  <c:v>Jan</c:v>
                </c:pt>
                <c:pt idx="1">
                  <c:v>Feb</c:v>
                </c:pt>
                <c:pt idx="2">
                  <c:v>Mar</c:v>
                </c:pt>
                <c:pt idx="3">
                  <c:v>Apr</c:v>
                </c:pt>
                <c:pt idx="4">
                  <c:v>May</c:v>
                </c:pt>
                <c:pt idx="5">
                  <c:v>Jun</c:v>
                </c:pt>
              </c:strCache>
            </c:strRef>
          </c:cat>
          <c:val>
            <c:numRef>
              <c:f>'Unit Stats'!$B$149:$G$149</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3-E1B9-DA46-8947-0D420FA0A24F}"/>
            </c:ext>
          </c:extLst>
        </c:ser>
        <c:ser>
          <c:idx val="4"/>
          <c:order val="4"/>
          <c:tx>
            <c:strRef>
              <c:f>'Unit Stats'!$A$150</c:f>
              <c:strCache>
                <c:ptCount val="1"/>
                <c:pt idx="0">
                  <c:v>Transformations 2</c:v>
                </c:pt>
              </c:strCache>
            </c:strRef>
          </c:tx>
          <c:marker>
            <c:symbol val="none"/>
          </c:marker>
          <c:cat>
            <c:strRef>
              <c:f>'Unit Stats'!$B$145:$G$145</c:f>
              <c:strCache>
                <c:ptCount val="6"/>
                <c:pt idx="0">
                  <c:v>Jan</c:v>
                </c:pt>
                <c:pt idx="1">
                  <c:v>Feb</c:v>
                </c:pt>
                <c:pt idx="2">
                  <c:v>Mar</c:v>
                </c:pt>
                <c:pt idx="3">
                  <c:v>Apr</c:v>
                </c:pt>
                <c:pt idx="4">
                  <c:v>May</c:v>
                </c:pt>
                <c:pt idx="5">
                  <c:v>Jun</c:v>
                </c:pt>
              </c:strCache>
            </c:strRef>
          </c:cat>
          <c:val>
            <c:numRef>
              <c:f>'Unit Stats'!$B$150:$G$150</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4-E1B9-DA46-8947-0D420FA0A24F}"/>
            </c:ext>
          </c:extLst>
        </c:ser>
        <c:ser>
          <c:idx val="5"/>
          <c:order val="5"/>
          <c:tx>
            <c:strRef>
              <c:f>'Unit Stats'!$A$151</c:f>
              <c:strCache>
                <c:ptCount val="1"/>
                <c:pt idx="0">
                  <c:v>Triad</c:v>
                </c:pt>
              </c:strCache>
            </c:strRef>
          </c:tx>
          <c:marker>
            <c:symbol val="none"/>
          </c:marker>
          <c:cat>
            <c:strRef>
              <c:f>'Unit Stats'!$B$145:$G$145</c:f>
              <c:strCache>
                <c:ptCount val="6"/>
                <c:pt idx="0">
                  <c:v>Jan</c:v>
                </c:pt>
                <c:pt idx="1">
                  <c:v>Feb</c:v>
                </c:pt>
                <c:pt idx="2">
                  <c:v>Mar</c:v>
                </c:pt>
                <c:pt idx="3">
                  <c:v>Apr</c:v>
                </c:pt>
                <c:pt idx="4">
                  <c:v>May</c:v>
                </c:pt>
                <c:pt idx="5">
                  <c:v>Jun</c:v>
                </c:pt>
              </c:strCache>
            </c:strRef>
          </c:cat>
          <c:val>
            <c:numRef>
              <c:f>'Unit Stats'!$B$151:$G$151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5-E1B9-DA46-8947-0D420FA0A24F}"/>
            </c:ext>
          </c:extLst>
        </c:ser>
        <c:ser>
          <c:idx val="6"/>
          <c:order val="6"/>
          <c:tx>
            <c:strRef>
              <c:f>'Unit Stats'!$A$152</c:f>
              <c:strCache>
                <c:ptCount val="1"/>
                <c:pt idx="0">
                  <c:v>Turning Point</c:v>
                </c:pt>
              </c:strCache>
            </c:strRef>
          </c:tx>
          <c:marker>
            <c:symbol val="none"/>
          </c:marker>
          <c:cat>
            <c:strRef>
              <c:f>'Unit Stats'!$B$145:$G$145</c:f>
              <c:strCache>
                <c:ptCount val="6"/>
                <c:pt idx="0">
                  <c:v>Jan</c:v>
                </c:pt>
                <c:pt idx="1">
                  <c:v>Feb</c:v>
                </c:pt>
                <c:pt idx="2">
                  <c:v>Mar</c:v>
                </c:pt>
                <c:pt idx="3">
                  <c:v>Apr</c:v>
                </c:pt>
                <c:pt idx="4">
                  <c:v>May</c:v>
                </c:pt>
                <c:pt idx="5">
                  <c:v>Jun</c:v>
                </c:pt>
              </c:strCache>
            </c:strRef>
          </c:cat>
          <c:val>
            <c:numRef>
              <c:f>'Unit Stats'!$B$152:$G$152</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6-E1B9-DA46-8947-0D420FA0A24F}"/>
            </c:ext>
          </c:extLst>
        </c:ser>
        <c:ser>
          <c:idx val="7"/>
          <c:order val="7"/>
          <c:tx>
            <c:strRef>
              <c:f>'Unit Stats'!$A$153</c:f>
              <c:strCache>
                <c:ptCount val="1"/>
                <c:pt idx="0">
                  <c:v>Waypoint</c:v>
                </c:pt>
              </c:strCache>
            </c:strRef>
          </c:tx>
          <c:marker>
            <c:symbol val="none"/>
          </c:marker>
          <c:cat>
            <c:strRef>
              <c:f>'Unit Stats'!$B$145:$G$145</c:f>
              <c:strCache>
                <c:ptCount val="6"/>
                <c:pt idx="0">
                  <c:v>Jan</c:v>
                </c:pt>
                <c:pt idx="1">
                  <c:v>Feb</c:v>
                </c:pt>
                <c:pt idx="2">
                  <c:v>Mar</c:v>
                </c:pt>
                <c:pt idx="3">
                  <c:v>Apr</c:v>
                </c:pt>
                <c:pt idx="4">
                  <c:v>May</c:v>
                </c:pt>
                <c:pt idx="5">
                  <c:v>Jun</c:v>
                </c:pt>
              </c:strCache>
            </c:strRef>
          </c:cat>
          <c:val>
            <c:numRef>
              <c:f>'Unit Stats'!$B$153:$G$153</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7-E1B9-DA46-8947-0D420FA0A24F}"/>
            </c:ext>
          </c:extLst>
        </c:ser>
        <c:dLbls>
          <c:showLegendKey val="0"/>
          <c:showVal val="0"/>
          <c:showCatName val="0"/>
          <c:showSerName val="0"/>
          <c:showPercent val="0"/>
          <c:showBubbleSize val="0"/>
        </c:dLbls>
        <c:smooth val="0"/>
        <c:axId val="132119936"/>
        <c:axId val="132125824"/>
      </c:lineChart>
      <c:catAx>
        <c:axId val="132119936"/>
        <c:scaling>
          <c:orientation val="minMax"/>
        </c:scaling>
        <c:delete val="0"/>
        <c:axPos val="b"/>
        <c:numFmt formatCode="General" sourceLinked="0"/>
        <c:majorTickMark val="out"/>
        <c:minorTickMark val="none"/>
        <c:tickLblPos val="nextTo"/>
        <c:crossAx val="132125824"/>
        <c:crosses val="autoZero"/>
        <c:auto val="1"/>
        <c:lblAlgn val="ctr"/>
        <c:lblOffset val="100"/>
        <c:noMultiLvlLbl val="0"/>
      </c:catAx>
      <c:valAx>
        <c:axId val="132125824"/>
        <c:scaling>
          <c:orientation val="minMax"/>
        </c:scaling>
        <c:delete val="0"/>
        <c:axPos val="l"/>
        <c:majorGridlines/>
        <c:numFmt formatCode="0" sourceLinked="1"/>
        <c:majorTickMark val="out"/>
        <c:minorTickMark val="none"/>
        <c:tickLblPos val="nextTo"/>
        <c:crossAx val="13211993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Total Population Writing Grievances in 2015</a:t>
            </a:r>
          </a:p>
        </c:rich>
      </c:tx>
      <c:overlay val="0"/>
    </c:title>
    <c:autoTitleDeleted val="0"/>
    <c:plotArea>
      <c:layout/>
      <c:lineChart>
        <c:grouping val="standard"/>
        <c:varyColors val="0"/>
        <c:ser>
          <c:idx val="0"/>
          <c:order val="0"/>
          <c:tx>
            <c:strRef>
              <c:f>'Population %'!$A$18</c:f>
              <c:strCache>
                <c:ptCount val="1"/>
                <c:pt idx="0">
                  <c:v>Total Population Writing Grievances</c:v>
                </c:pt>
              </c:strCache>
            </c:strRef>
          </c:tx>
          <c:marker>
            <c:symbol val="none"/>
          </c:marker>
          <c:cat>
            <c:strRef>
              <c:f>'Population %'!$B$17:$M$17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'Population %'!$B$18:$M$18</c:f>
              <c:numCache>
                <c:formatCode>0%</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0-7A9B-804B-98E4-35BC81F57CF1}"/>
            </c:ext>
          </c:extLst>
        </c:ser>
        <c:dLbls>
          <c:showLegendKey val="0"/>
          <c:showVal val="0"/>
          <c:showCatName val="0"/>
          <c:showSerName val="0"/>
          <c:showPercent val="0"/>
          <c:showBubbleSize val="0"/>
        </c:dLbls>
        <c:smooth val="0"/>
        <c:axId val="130597632"/>
        <c:axId val="130599168"/>
      </c:lineChart>
      <c:catAx>
        <c:axId val="130597632"/>
        <c:scaling>
          <c:orientation val="minMax"/>
        </c:scaling>
        <c:delete val="0"/>
        <c:axPos val="b"/>
        <c:numFmt formatCode="General" sourceLinked="0"/>
        <c:majorTickMark val="out"/>
        <c:minorTickMark val="none"/>
        <c:tickLblPos val="nextTo"/>
        <c:crossAx val="130599168"/>
        <c:crosses val="autoZero"/>
        <c:auto val="1"/>
        <c:lblAlgn val="ctr"/>
        <c:lblOffset val="100"/>
        <c:noMultiLvlLbl val="0"/>
      </c:catAx>
      <c:valAx>
        <c:axId val="130599168"/>
        <c:scaling>
          <c:orientation val="minMax"/>
        </c:scaling>
        <c:delete val="0"/>
        <c:axPos val="l"/>
        <c:majorGridlines/>
        <c:numFmt formatCode="0%" sourceLinked="1"/>
        <c:majorTickMark val="out"/>
        <c:minorTickMark val="none"/>
        <c:tickLblPos val="nextTo"/>
        <c:crossAx val="130597632"/>
        <c:crosses val="autoZero"/>
        <c:crossBetween val="between"/>
      </c:valAx>
    </c:plotArea>
    <c:legend>
      <c:legendPos val="r"/>
      <c:overlay val="0"/>
    </c:legend>
    <c:plotVisOnly val="0"/>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'Population %'!$A$67</c:f>
              <c:strCache>
                <c:ptCount val="1"/>
                <c:pt idx="0">
                  <c:v>Population Writing Grievances on New Choices in 2015</c:v>
                </c:pt>
              </c:strCache>
            </c:strRef>
          </c:tx>
          <c:marker>
            <c:symbol val="none"/>
          </c:marker>
          <c:cat>
            <c:strRef>
              <c:f>'Population %'!$B$66:$M$66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'Population %'!$B$67:$M$67</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08A9-5E41-93A3-6A2B4B57D14E}"/>
            </c:ext>
          </c:extLst>
        </c:ser>
        <c:dLbls>
          <c:showLegendKey val="0"/>
          <c:showVal val="0"/>
          <c:showCatName val="0"/>
          <c:showSerName val="0"/>
          <c:showPercent val="0"/>
          <c:showBubbleSize val="0"/>
        </c:dLbls>
        <c:smooth val="0"/>
        <c:axId val="130697472"/>
        <c:axId val="130699264"/>
      </c:lineChart>
      <c:catAx>
        <c:axId val="130697472"/>
        <c:scaling>
          <c:orientation val="minMax"/>
        </c:scaling>
        <c:delete val="0"/>
        <c:axPos val="b"/>
        <c:numFmt formatCode="General" sourceLinked="0"/>
        <c:majorTickMark val="out"/>
        <c:minorTickMark val="none"/>
        <c:tickLblPos val="nextTo"/>
        <c:crossAx val="130699264"/>
        <c:crosses val="autoZero"/>
        <c:auto val="1"/>
        <c:lblAlgn val="ctr"/>
        <c:lblOffset val="100"/>
        <c:noMultiLvlLbl val="0"/>
      </c:catAx>
      <c:valAx>
        <c:axId val="130699264"/>
        <c:scaling>
          <c:orientation val="minMax"/>
        </c:scaling>
        <c:delete val="0"/>
        <c:axPos val="l"/>
        <c:majorGridlines/>
        <c:numFmt formatCode="0%" sourceLinked="1"/>
        <c:majorTickMark val="out"/>
        <c:minorTickMark val="none"/>
        <c:tickLblPos val="nextTo"/>
        <c:crossAx val="130697472"/>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'Population %'!$A$85</c:f>
              <c:strCache>
                <c:ptCount val="1"/>
                <c:pt idx="0">
                  <c:v>Population Writing Grievances on Safe Harbor in 2015</c:v>
                </c:pt>
              </c:strCache>
            </c:strRef>
          </c:tx>
          <c:marker>
            <c:symbol val="none"/>
          </c:marker>
          <c:cat>
            <c:strRef>
              <c:f>'Population %'!$B$84:$M$84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'Population %'!$B$85:$M$85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5F88-F74B-BE2C-047E19423C5C}"/>
            </c:ext>
          </c:extLst>
        </c:ser>
        <c:dLbls>
          <c:showLegendKey val="0"/>
          <c:showVal val="0"/>
          <c:showCatName val="0"/>
          <c:showSerName val="0"/>
          <c:showPercent val="0"/>
          <c:showBubbleSize val="0"/>
        </c:dLbls>
        <c:smooth val="0"/>
        <c:axId val="130710912"/>
        <c:axId val="130712704"/>
      </c:lineChart>
      <c:catAx>
        <c:axId val="130710912"/>
        <c:scaling>
          <c:orientation val="minMax"/>
        </c:scaling>
        <c:delete val="0"/>
        <c:axPos val="b"/>
        <c:numFmt formatCode="General" sourceLinked="0"/>
        <c:majorTickMark val="out"/>
        <c:minorTickMark val="none"/>
        <c:tickLblPos val="nextTo"/>
        <c:crossAx val="130712704"/>
        <c:crosses val="autoZero"/>
        <c:auto val="1"/>
        <c:lblAlgn val="ctr"/>
        <c:lblOffset val="100"/>
        <c:noMultiLvlLbl val="0"/>
      </c:catAx>
      <c:valAx>
        <c:axId val="130712704"/>
        <c:scaling>
          <c:orientation val="minMax"/>
        </c:scaling>
        <c:delete val="0"/>
        <c:axPos val="l"/>
        <c:majorGridlines/>
        <c:numFmt formatCode="0%" sourceLinked="1"/>
        <c:majorTickMark val="out"/>
        <c:minorTickMark val="none"/>
        <c:tickLblPos val="nextTo"/>
        <c:crossAx val="13071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'Population %'!$A$105</c:f>
              <c:strCache>
                <c:ptCount val="1"/>
                <c:pt idx="0">
                  <c:v>Population Writing Grievances on Starting Point in 2015</c:v>
                </c:pt>
              </c:strCache>
            </c:strRef>
          </c:tx>
          <c:marker>
            <c:symbol val="none"/>
          </c:marker>
          <c:cat>
            <c:strRef>
              <c:f>'Population %'!$B$104:$M$104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'Population %'!$B$105:$M$105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5D8D-8B4F-816F-ECC7C1C1F47D}"/>
            </c:ext>
          </c:extLst>
        </c:ser>
        <c:dLbls>
          <c:showLegendKey val="0"/>
          <c:showVal val="0"/>
          <c:showCatName val="0"/>
          <c:showSerName val="0"/>
          <c:showPercent val="0"/>
          <c:showBubbleSize val="0"/>
        </c:dLbls>
        <c:smooth val="0"/>
        <c:axId val="132186880"/>
        <c:axId val="132188416"/>
      </c:lineChart>
      <c:catAx>
        <c:axId val="132186880"/>
        <c:scaling>
          <c:orientation val="minMax"/>
        </c:scaling>
        <c:delete val="0"/>
        <c:axPos val="b"/>
        <c:numFmt formatCode="General" sourceLinked="0"/>
        <c:majorTickMark val="out"/>
        <c:minorTickMark val="none"/>
        <c:tickLblPos val="nextTo"/>
        <c:crossAx val="132188416"/>
        <c:crosses val="autoZero"/>
        <c:auto val="1"/>
        <c:lblAlgn val="ctr"/>
        <c:lblOffset val="100"/>
        <c:noMultiLvlLbl val="0"/>
      </c:catAx>
      <c:valAx>
        <c:axId val="132188416"/>
        <c:scaling>
          <c:orientation val="minMax"/>
        </c:scaling>
        <c:delete val="0"/>
        <c:axPos val="l"/>
        <c:majorGridlines/>
        <c:numFmt formatCode="0%" sourceLinked="1"/>
        <c:majorTickMark val="out"/>
        <c:minorTickMark val="none"/>
        <c:tickLblPos val="nextTo"/>
        <c:crossAx val="132186880"/>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'Population %'!$A$123</c:f>
              <c:strCache>
                <c:ptCount val="1"/>
                <c:pt idx="0">
                  <c:v>Population Writing Grievances on Transformations 1 in 2015</c:v>
                </c:pt>
              </c:strCache>
            </c:strRef>
          </c:tx>
          <c:marker>
            <c:symbol val="none"/>
          </c:marker>
          <c:cat>
            <c:strRef>
              <c:f>'Population %'!$B$122:$M$122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'Population %'!$B$123:$M$123</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AFCF-634C-9EC1-F7AF84EA789E}"/>
            </c:ext>
          </c:extLst>
        </c:ser>
        <c:dLbls>
          <c:showLegendKey val="0"/>
          <c:showVal val="0"/>
          <c:showCatName val="0"/>
          <c:showSerName val="0"/>
          <c:showPercent val="0"/>
          <c:showBubbleSize val="0"/>
        </c:dLbls>
        <c:smooth val="0"/>
        <c:axId val="132220800"/>
        <c:axId val="132222336"/>
      </c:lineChart>
      <c:catAx>
        <c:axId val="132220800"/>
        <c:scaling>
          <c:orientation val="minMax"/>
        </c:scaling>
        <c:delete val="0"/>
        <c:axPos val="b"/>
        <c:numFmt formatCode="General" sourceLinked="0"/>
        <c:majorTickMark val="out"/>
        <c:minorTickMark val="none"/>
        <c:tickLblPos val="nextTo"/>
        <c:crossAx val="132222336"/>
        <c:crosses val="autoZero"/>
        <c:auto val="1"/>
        <c:lblAlgn val="ctr"/>
        <c:lblOffset val="100"/>
        <c:noMultiLvlLbl val="0"/>
      </c:catAx>
      <c:valAx>
        <c:axId val="132222336"/>
        <c:scaling>
          <c:orientation val="minMax"/>
        </c:scaling>
        <c:delete val="0"/>
        <c:axPos val="l"/>
        <c:majorGridlines/>
        <c:numFmt formatCode="0%" sourceLinked="1"/>
        <c:majorTickMark val="out"/>
        <c:minorTickMark val="none"/>
        <c:tickLblPos val="nextTo"/>
        <c:crossAx val="132220800"/>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'Population %'!$A$144</c:f>
              <c:strCache>
                <c:ptCount val="1"/>
                <c:pt idx="0">
                  <c:v>Population Writing Grievances on Transformations 2 in 2015</c:v>
                </c:pt>
              </c:strCache>
            </c:strRef>
          </c:tx>
          <c:marker>
            <c:symbol val="none"/>
          </c:marker>
          <c:cat>
            <c:strRef>
              <c:f>'Population %'!$B$143:$M$143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'Population %'!$B$144:$M$144</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B4A0-1F43-9117-DBDD0773A2F5}"/>
            </c:ext>
          </c:extLst>
        </c:ser>
        <c:dLbls>
          <c:showLegendKey val="0"/>
          <c:showVal val="0"/>
          <c:showCatName val="0"/>
          <c:showSerName val="0"/>
          <c:showPercent val="0"/>
          <c:showBubbleSize val="0"/>
        </c:dLbls>
        <c:smooth val="0"/>
        <c:axId val="132234240"/>
        <c:axId val="133169920"/>
      </c:lineChart>
      <c:catAx>
        <c:axId val="132234240"/>
        <c:scaling>
          <c:orientation val="minMax"/>
        </c:scaling>
        <c:delete val="0"/>
        <c:axPos val="b"/>
        <c:numFmt formatCode="General" sourceLinked="0"/>
        <c:majorTickMark val="out"/>
        <c:minorTickMark val="none"/>
        <c:tickLblPos val="nextTo"/>
        <c:crossAx val="133169920"/>
        <c:crosses val="autoZero"/>
        <c:auto val="1"/>
        <c:lblAlgn val="ctr"/>
        <c:lblOffset val="100"/>
        <c:noMultiLvlLbl val="0"/>
      </c:catAx>
      <c:valAx>
        <c:axId val="133169920"/>
        <c:scaling>
          <c:orientation val="minMax"/>
        </c:scaling>
        <c:delete val="0"/>
        <c:axPos val="l"/>
        <c:majorGridlines/>
        <c:numFmt formatCode="0%" sourceLinked="1"/>
        <c:majorTickMark val="out"/>
        <c:minorTickMark val="none"/>
        <c:tickLblPos val="nextTo"/>
        <c:crossAx val="132234240"/>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'Population %'!$A$164</c:f>
              <c:strCache>
                <c:ptCount val="1"/>
                <c:pt idx="0">
                  <c:v>Population Writing Grievances on Triad in 2015</c:v>
                </c:pt>
              </c:strCache>
            </c:strRef>
          </c:tx>
          <c:marker>
            <c:symbol val="none"/>
          </c:marker>
          <c:cat>
            <c:strRef>
              <c:f>'Population %'!$B$163:$M$163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'Population %'!$B$164:$M$164</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B28C-C94D-97BA-86FBE8402B04}"/>
            </c:ext>
          </c:extLst>
        </c:ser>
        <c:dLbls>
          <c:showLegendKey val="0"/>
          <c:showVal val="0"/>
          <c:showCatName val="0"/>
          <c:showSerName val="0"/>
          <c:showPercent val="0"/>
          <c:showBubbleSize val="0"/>
        </c:dLbls>
        <c:smooth val="0"/>
        <c:axId val="133190016"/>
        <c:axId val="133191552"/>
      </c:lineChart>
      <c:catAx>
        <c:axId val="133190016"/>
        <c:scaling>
          <c:orientation val="minMax"/>
        </c:scaling>
        <c:delete val="0"/>
        <c:axPos val="b"/>
        <c:numFmt formatCode="General" sourceLinked="0"/>
        <c:majorTickMark val="out"/>
        <c:minorTickMark val="none"/>
        <c:tickLblPos val="nextTo"/>
        <c:crossAx val="133191552"/>
        <c:crosses val="autoZero"/>
        <c:auto val="1"/>
        <c:lblAlgn val="ctr"/>
        <c:lblOffset val="100"/>
        <c:noMultiLvlLbl val="0"/>
      </c:catAx>
      <c:valAx>
        <c:axId val="133191552"/>
        <c:scaling>
          <c:orientation val="minMax"/>
        </c:scaling>
        <c:delete val="0"/>
        <c:axPos val="l"/>
        <c:majorGridlines/>
        <c:numFmt formatCode="0%" sourceLinked="1"/>
        <c:majorTickMark val="out"/>
        <c:minorTickMark val="none"/>
        <c:tickLblPos val="nextTo"/>
        <c:crossAx val="133190016"/>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'Population %'!$A$185</c:f>
              <c:strCache>
                <c:ptCount val="1"/>
                <c:pt idx="0">
                  <c:v>Population Writing Grievances on Turning Point in 2015</c:v>
                </c:pt>
              </c:strCache>
            </c:strRef>
          </c:tx>
          <c:marker>
            <c:symbol val="none"/>
          </c:marker>
          <c:cat>
            <c:strRef>
              <c:f>'Population %'!$B$184:$M$184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'Population %'!$B$185:$M$185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5595-8D4A-BB28-0F8EA2878163}"/>
            </c:ext>
          </c:extLst>
        </c:ser>
        <c:dLbls>
          <c:showLegendKey val="0"/>
          <c:showVal val="0"/>
          <c:showCatName val="0"/>
          <c:showSerName val="0"/>
          <c:showPercent val="0"/>
          <c:showBubbleSize val="0"/>
        </c:dLbls>
        <c:smooth val="0"/>
        <c:axId val="133203456"/>
        <c:axId val="133204992"/>
      </c:lineChart>
      <c:catAx>
        <c:axId val="133203456"/>
        <c:scaling>
          <c:orientation val="minMax"/>
        </c:scaling>
        <c:delete val="0"/>
        <c:axPos val="b"/>
        <c:numFmt formatCode="General" sourceLinked="0"/>
        <c:majorTickMark val="out"/>
        <c:minorTickMark val="none"/>
        <c:tickLblPos val="nextTo"/>
        <c:crossAx val="133204992"/>
        <c:crosses val="autoZero"/>
        <c:auto val="1"/>
        <c:lblAlgn val="ctr"/>
        <c:lblOffset val="100"/>
        <c:noMultiLvlLbl val="0"/>
      </c:catAx>
      <c:valAx>
        <c:axId val="133204992"/>
        <c:scaling>
          <c:orientation val="minMax"/>
        </c:scaling>
        <c:delete val="0"/>
        <c:axPos val="l"/>
        <c:majorGridlines/>
        <c:numFmt formatCode="0%" sourceLinked="1"/>
        <c:majorTickMark val="out"/>
        <c:minorTickMark val="none"/>
        <c:tickLblPos val="nextTo"/>
        <c:crossAx val="133203456"/>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'Population %'!$A$205</c:f>
              <c:strCache>
                <c:ptCount val="1"/>
                <c:pt idx="0">
                  <c:v>Population Writing Grievances on Waypoint in 2015</c:v>
                </c:pt>
              </c:strCache>
            </c:strRef>
          </c:tx>
          <c:marker>
            <c:symbol val="none"/>
          </c:marker>
          <c:cat>
            <c:strRef>
              <c:f>'Population %'!$B$204:$M$204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'Population %'!$B$205:$M$205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CB60-5F4B-8FAE-DE541C33B806}"/>
            </c:ext>
          </c:extLst>
        </c:ser>
        <c:dLbls>
          <c:showLegendKey val="0"/>
          <c:showVal val="0"/>
          <c:showCatName val="0"/>
          <c:showSerName val="0"/>
          <c:showPercent val="0"/>
          <c:showBubbleSize val="0"/>
        </c:dLbls>
        <c:smooth val="0"/>
        <c:axId val="133061248"/>
        <c:axId val="133071232"/>
      </c:lineChart>
      <c:catAx>
        <c:axId val="133061248"/>
        <c:scaling>
          <c:orientation val="minMax"/>
        </c:scaling>
        <c:delete val="0"/>
        <c:axPos val="b"/>
        <c:numFmt formatCode="General" sourceLinked="0"/>
        <c:majorTickMark val="out"/>
        <c:minorTickMark val="none"/>
        <c:tickLblPos val="nextTo"/>
        <c:crossAx val="133071232"/>
        <c:crosses val="autoZero"/>
        <c:auto val="1"/>
        <c:lblAlgn val="ctr"/>
        <c:lblOffset val="100"/>
        <c:noMultiLvlLbl val="0"/>
      </c:catAx>
      <c:valAx>
        <c:axId val="133071232"/>
        <c:scaling>
          <c:orientation val="minMax"/>
        </c:scaling>
        <c:delete val="0"/>
        <c:axPos val="l"/>
        <c:majorGridlines/>
        <c:numFmt formatCode="0%" sourceLinked="1"/>
        <c:majorTickMark val="out"/>
        <c:minorTickMark val="none"/>
        <c:tickLblPos val="nextTo"/>
        <c:crossAx val="133061248"/>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en-US"/>
              <a:t>Percentage of Population Writing</a:t>
            </a:r>
            <a:r>
              <a:rPr lang="en-US" baseline="0"/>
              <a:t> Grievances: Unit Comparison</a:t>
            </a:r>
            <a:endParaRPr lang="en-US"/>
          </a:p>
        </c:rich>
      </c:tx>
      <c:layout>
        <c:manualLayout>
          <c:xMode val="edge"/>
          <c:yMode val="edge"/>
          <c:x val="1.2207048290890503E-2"/>
          <c:y val="1.5429120906600566E-2"/>
        </c:manualLayout>
      </c:layout>
      <c:overlay val="0"/>
    </c:title>
    <c:autoTitleDeleted val="0"/>
    <c:plotArea>
      <c:layout/>
      <c:lineChart>
        <c:grouping val="standard"/>
        <c:varyColors val="0"/>
        <c:ser>
          <c:idx val="0"/>
          <c:order val="0"/>
          <c:tx>
            <c:strRef>
              <c:f>'Population %'!$A$65</c:f>
              <c:strCache>
                <c:ptCount val="1"/>
                <c:pt idx="0">
                  <c:v>New Choices</c:v>
                </c:pt>
              </c:strCache>
            </c:strRef>
          </c:tx>
          <c:marker>
            <c:symbol val="none"/>
          </c:marker>
          <c:cat>
            <c:strRef>
              <c:f>'Population %'!$B$66:$M$66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'Population %'!$B$67:$M$67</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1C73-374A-B7CF-1C6C10EF1982}"/>
            </c:ext>
          </c:extLst>
        </c:ser>
        <c:ser>
          <c:idx val="1"/>
          <c:order val="1"/>
          <c:tx>
            <c:strRef>
              <c:f>'Population %'!$A$83</c:f>
              <c:strCache>
                <c:ptCount val="1"/>
                <c:pt idx="0">
                  <c:v>Safe Harbor</c:v>
                </c:pt>
              </c:strCache>
            </c:strRef>
          </c:tx>
          <c:marker>
            <c:symbol val="none"/>
          </c:marker>
          <c:val>
            <c:numRef>
              <c:f>'Population %'!$B$85:$M$85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1C73-374A-B7CF-1C6C10EF1982}"/>
            </c:ext>
          </c:extLst>
        </c:ser>
        <c:ser>
          <c:idx val="2"/>
          <c:order val="2"/>
          <c:tx>
            <c:strRef>
              <c:f>'Population %'!$A$103</c:f>
              <c:strCache>
                <c:ptCount val="1"/>
                <c:pt idx="0">
                  <c:v>Starting Point</c:v>
                </c:pt>
              </c:strCache>
            </c:strRef>
          </c:tx>
          <c:marker>
            <c:symbol val="none"/>
          </c:marker>
          <c:val>
            <c:numRef>
              <c:f>'Population %'!$B$105:$M$105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1C73-374A-B7CF-1C6C10EF1982}"/>
            </c:ext>
          </c:extLst>
        </c:ser>
        <c:ser>
          <c:idx val="3"/>
          <c:order val="3"/>
          <c:tx>
            <c:strRef>
              <c:f>'Population %'!$A$121</c:f>
              <c:strCache>
                <c:ptCount val="1"/>
                <c:pt idx="0">
                  <c:v>Transformations 1</c:v>
                </c:pt>
              </c:strCache>
            </c:strRef>
          </c:tx>
          <c:marker>
            <c:symbol val="none"/>
          </c:marker>
          <c:val>
            <c:numRef>
              <c:f>'Population %'!$B$123:$M$123</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3-1C73-374A-B7CF-1C6C10EF1982}"/>
            </c:ext>
          </c:extLst>
        </c:ser>
        <c:ser>
          <c:idx val="4"/>
          <c:order val="4"/>
          <c:tx>
            <c:strRef>
              <c:f>'Population %'!$A$142</c:f>
              <c:strCache>
                <c:ptCount val="1"/>
                <c:pt idx="0">
                  <c:v>Transformations 2</c:v>
                </c:pt>
              </c:strCache>
            </c:strRef>
          </c:tx>
          <c:marker>
            <c:symbol val="none"/>
          </c:marker>
          <c:val>
            <c:numRef>
              <c:f>'Population %'!$B$144:$M$144</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4-1C73-374A-B7CF-1C6C10EF1982}"/>
            </c:ext>
          </c:extLst>
        </c:ser>
        <c:ser>
          <c:idx val="5"/>
          <c:order val="5"/>
          <c:tx>
            <c:strRef>
              <c:f>'Population %'!$A$162</c:f>
              <c:strCache>
                <c:ptCount val="1"/>
                <c:pt idx="0">
                  <c:v>Triad</c:v>
                </c:pt>
              </c:strCache>
            </c:strRef>
          </c:tx>
          <c:marker>
            <c:symbol val="none"/>
          </c:marker>
          <c:val>
            <c:numRef>
              <c:f>'Population %'!$B$164:$M$164</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5-1C73-374A-B7CF-1C6C10EF1982}"/>
            </c:ext>
          </c:extLst>
        </c:ser>
        <c:ser>
          <c:idx val="6"/>
          <c:order val="6"/>
          <c:tx>
            <c:strRef>
              <c:f>'Population %'!$A$183</c:f>
              <c:strCache>
                <c:ptCount val="1"/>
                <c:pt idx="0">
                  <c:v>Turning Point</c:v>
                </c:pt>
              </c:strCache>
            </c:strRef>
          </c:tx>
          <c:marker>
            <c:symbol val="none"/>
          </c:marker>
          <c:val>
            <c:numRef>
              <c:f>'Population %'!$B$185:$M$185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6-1C73-374A-B7CF-1C6C10EF1982}"/>
            </c:ext>
          </c:extLst>
        </c:ser>
        <c:ser>
          <c:idx val="7"/>
          <c:order val="7"/>
          <c:tx>
            <c:strRef>
              <c:f>'Population %'!$A$203</c:f>
              <c:strCache>
                <c:ptCount val="1"/>
                <c:pt idx="0">
                  <c:v>Waypoint</c:v>
                </c:pt>
              </c:strCache>
            </c:strRef>
          </c:tx>
          <c:marker>
            <c:symbol val="none"/>
          </c:marker>
          <c:val>
            <c:numRef>
              <c:f>'Population %'!$B$205:$M$205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7-1C73-374A-B7CF-1C6C10EF1982}"/>
            </c:ext>
          </c:extLst>
        </c:ser>
        <c:dLbls>
          <c:showLegendKey val="0"/>
          <c:showVal val="0"/>
          <c:showCatName val="0"/>
          <c:showSerName val="0"/>
          <c:showPercent val="0"/>
          <c:showBubbleSize val="0"/>
        </c:dLbls>
        <c:dropLines/>
        <c:smooth val="0"/>
        <c:axId val="133101440"/>
        <c:axId val="133102976"/>
      </c:lineChart>
      <c:catAx>
        <c:axId val="133101440"/>
        <c:scaling>
          <c:orientation val="minMax"/>
        </c:scaling>
        <c:delete val="0"/>
        <c:axPos val="b"/>
        <c:numFmt formatCode="General" sourceLinked="0"/>
        <c:majorTickMark val="none"/>
        <c:minorTickMark val="none"/>
        <c:tickLblPos val="nextTo"/>
        <c:crossAx val="133102976"/>
        <c:crosses val="autoZero"/>
        <c:auto val="1"/>
        <c:lblAlgn val="ctr"/>
        <c:lblOffset val="100"/>
        <c:noMultiLvlLbl val="0"/>
      </c:catAx>
      <c:valAx>
        <c:axId val="133102976"/>
        <c:scaling>
          <c:orientation val="minMax"/>
        </c:scaling>
        <c:delete val="0"/>
        <c:axPos val="l"/>
        <c:majorGridlines/>
        <c:title>
          <c:overlay val="0"/>
        </c:title>
        <c:numFmt formatCode="0%" sourceLinked="1"/>
        <c:majorTickMark val="none"/>
        <c:minorTickMark val="none"/>
        <c:tickLblPos val="nextTo"/>
        <c:crossAx val="133101440"/>
        <c:crosses val="autoZero"/>
        <c:crossBetween val="between"/>
      </c:valAx>
      <c:dTable>
        <c:showHorzBorder val="1"/>
        <c:showVertBorder val="1"/>
        <c:showOutline val="1"/>
        <c:showKeys val="1"/>
      </c:dTable>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en-US"/>
              <a:t>Quarter 1: Total Grievances</a:t>
            </a:r>
          </a:p>
        </c:rich>
      </c:tx>
      <c:layout>
        <c:manualLayout>
          <c:xMode val="edge"/>
          <c:yMode val="edge"/>
          <c:x val="0.14479190048340429"/>
          <c:y val="2.5789807786734942E-2"/>
        </c:manualLayout>
      </c:layout>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('Quarterly &amp; Yearly Stats'!$A$20,'Quarterly &amp; Yearly Stats'!$A$23,'Quarterly &amp; Yearly Stats'!$A$28,'Quarterly &amp; Yearly Stats'!$A$29,'Quarterly &amp; Yearly Stats'!$A$30)</c:f>
              <c:strCache>
                <c:ptCount val="5"/>
                <c:pt idx="0">
                  <c:v>FALSE</c:v>
                </c:pt>
                <c:pt idx="1">
                  <c:v>TRUE</c:v>
                </c:pt>
                <c:pt idx="2">
                  <c:v>INCONCLUSIVE</c:v>
                </c:pt>
                <c:pt idx="3">
                  <c:v>PENDING GRIEVANCES</c:v>
                </c:pt>
                <c:pt idx="4">
                  <c:v>Perception Complaints</c:v>
                </c:pt>
              </c:strCache>
            </c:strRef>
          </c:cat>
          <c:val>
            <c:numRef>
              <c:f>('Quarterly &amp; Yearly Stats'!$B$20,'Quarterly &amp; Yearly Stats'!$B$23,'Quarterly &amp; Yearly Stats'!$B$28,'Quarterly &amp; Yearly Stats'!$B$29,'Quarterly &amp; Yearly Stats'!$B$30)</c:f>
              <c:numCache>
                <c:formatCode>General</c:formatCode>
                <c:ptCount val="5"/>
                <c:pt idx="0">
                  <c:v>5</c:v>
                </c:pt>
                <c:pt idx="1">
                  <c:v>12</c:v>
                </c:pt>
                <c:pt idx="2">
                  <c:v>5</c:v>
                </c:pt>
                <c:pt idx="3">
                  <c:v>3</c:v>
                </c:pt>
                <c:pt idx="4">
                  <c:v>2</c:v>
                </c:pt>
              </c:numCache>
            </c:numRef>
          </c:val>
          <c:extLst>
            <c:ext xmlns:c16="http://schemas.microsoft.com/office/drawing/2014/chart" uri="{C3380CC4-5D6E-409C-BE32-E72D297353CC}">
              <c16:uniqueId val="{00000000-CC16-B944-BEF9-6CF0E65C4682}"/>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1"/>
    </mc:Choice>
    <mc:Fallback>
      <c:style val="11"/>
    </mc:Fallback>
  </mc:AlternateContent>
  <c:chart>
    <c:title>
      <c:tx>
        <c:rich>
          <a:bodyPr/>
          <a:lstStyle/>
          <a:p>
            <a:pPr>
              <a:defRPr/>
            </a:pPr>
            <a:r>
              <a:rPr lang="en-US"/>
              <a:t>Quarter 1: Of the False Grievances</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'Quarterly &amp; Yearly Stats'!$A$21:$A$22</c:f>
              <c:strCache>
                <c:ptCount val="2"/>
                <c:pt idx="0">
                  <c:v>Deliberate</c:v>
                </c:pt>
                <c:pt idx="1">
                  <c:v>Misunderstanding</c:v>
                </c:pt>
              </c:strCache>
            </c:strRef>
          </c:cat>
          <c:val>
            <c:numRef>
              <c:f>'Quarterly &amp; Yearly Stats'!$B$21:$B$22</c:f>
              <c:numCache>
                <c:formatCode>General</c:formatCode>
                <c:ptCount val="2"/>
                <c:pt idx="0">
                  <c:v>2</c:v>
                </c:pt>
                <c:pt idx="1">
                  <c:v>3</c:v>
                </c:pt>
              </c:numCache>
            </c:numRef>
          </c:val>
          <c:extLst>
            <c:ext xmlns:c16="http://schemas.microsoft.com/office/drawing/2014/chart" uri="{C3380CC4-5D6E-409C-BE32-E72D297353CC}">
              <c16:uniqueId val="{00000000-B2D6-BB42-AE25-DA3EB36A7117}"/>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2"/>
    </mc:Choice>
    <mc:Fallback>
      <c:style val="12"/>
    </mc:Fallback>
  </mc:AlternateContent>
  <c:chart>
    <c:title>
      <c:overlay val="0"/>
    </c:title>
    <c:autoTitleDeleted val="0"/>
    <c:plotArea>
      <c:layout/>
      <c:pieChart>
        <c:varyColors val="1"/>
        <c:ser>
          <c:idx val="0"/>
          <c:order val="0"/>
          <c:tx>
            <c:v>Quarter 1: Of the True Grievances</c:v>
          </c:tx>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'Quarterly &amp; Yearly Stats'!$A$24:$A$27</c:f>
              <c:strCache>
                <c:ptCount val="4"/>
                <c:pt idx="0">
                  <c:v>Rights Violation</c:v>
                </c:pt>
                <c:pt idx="1">
                  <c:v>Policy Violation</c:v>
                </c:pt>
                <c:pt idx="2">
                  <c:v>Anti-Therapeutic</c:v>
                </c:pt>
                <c:pt idx="3">
                  <c:v>Other/ Misc</c:v>
                </c:pt>
              </c:strCache>
            </c:strRef>
          </c:cat>
          <c:val>
            <c:numRef>
              <c:f>'Quarterly &amp; Yearly Stats'!$B$24:$B$27</c:f>
              <c:numCache>
                <c:formatCode>General</c:formatCode>
                <c:ptCount val="4"/>
                <c:pt idx="0">
                  <c:v>2</c:v>
                </c:pt>
                <c:pt idx="1">
                  <c:v>5</c:v>
                </c:pt>
                <c:pt idx="2">
                  <c:v>4</c:v>
                </c:pt>
                <c:pt idx="3">
                  <c:v>1</c:v>
                </c:pt>
              </c:numCache>
            </c:numRef>
          </c:val>
          <c:extLst>
            <c:ext xmlns:c16="http://schemas.microsoft.com/office/drawing/2014/chart" uri="{C3380CC4-5D6E-409C-BE32-E72D297353CC}">
              <c16:uniqueId val="{00000000-4C01-8A49-8424-F08F195F6E3C}"/>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Grievances </a:t>
            </a:r>
            <a:r>
              <a:rPr lang="en-US" baseline="0"/>
              <a:t>in 2014</a:t>
            </a:r>
            <a:endParaRPr lang="en-US"/>
          </a:p>
        </c:rich>
      </c:tx>
      <c:overlay val="0"/>
    </c:title>
    <c:autoTitleDeleted val="0"/>
    <c:plotArea>
      <c:layout/>
      <c:lineChart>
        <c:grouping val="standard"/>
        <c:varyColors val="0"/>
        <c:ser>
          <c:idx val="0"/>
          <c:order val="0"/>
          <c:tx>
            <c:strRef>
              <c:f>'[3]2014 Year'!$A$14</c:f>
              <c:strCache>
                <c:ptCount val="1"/>
                <c:pt idx="0">
                  <c:v>Total</c:v>
                </c:pt>
              </c:strCache>
            </c:strRef>
          </c:tx>
          <c:spPr>
            <a:ln w="57150"/>
          </c:spPr>
          <c:marker>
            <c:symbol val="none"/>
          </c:marker>
          <c:cat>
            <c:strRef>
              <c:f>'[3]2014 Year'!$C$3:$N$3</c:f>
              <c:strCache>
                <c:ptCount val="12"/>
                <c:pt idx="0">
                  <c:v>Jan</c:v>
                </c:pt>
                <c:pt idx="1">
                  <c:v>Feb</c:v>
                </c:pt>
                <c:pt idx="2">
                  <c:v>Mar</c:v>
                </c:pt>
                <c:pt idx="3">
                  <c:v>Apr</c:v>
                </c:pt>
                <c:pt idx="4">
                  <c:v>May</c:v>
                </c:pt>
                <c:pt idx="5">
                  <c:v>June</c:v>
                </c:pt>
                <c:pt idx="6">
                  <c:v>July</c:v>
                </c:pt>
                <c:pt idx="7">
                  <c:v>Aug</c:v>
                </c:pt>
                <c:pt idx="8">
                  <c:v>Sept</c:v>
                </c:pt>
                <c:pt idx="9">
                  <c:v>Oct</c:v>
                </c:pt>
                <c:pt idx="10">
                  <c:v>Nov</c:v>
                </c:pt>
                <c:pt idx="11">
                  <c:v>Dec</c:v>
                </c:pt>
              </c:strCache>
            </c:strRef>
          </c:cat>
          <c:val>
            <c:numRef>
              <c:f>'[3]2014 Year'!$C$14:$N$14</c:f>
              <c:numCache>
                <c:formatCode>General</c:formatCode>
                <c:ptCount val="12"/>
                <c:pt idx="0">
                  <c:v>74</c:v>
                </c:pt>
                <c:pt idx="1">
                  <c:v>40</c:v>
                </c:pt>
                <c:pt idx="2">
                  <c:v>45</c:v>
                </c:pt>
                <c:pt idx="3">
                  <c:v>61</c:v>
                </c:pt>
                <c:pt idx="4">
                  <c:v>32</c:v>
                </c:pt>
                <c:pt idx="5">
                  <c:v>70</c:v>
                </c:pt>
                <c:pt idx="6">
                  <c:v>24</c:v>
                </c:pt>
                <c:pt idx="7">
                  <c:v>30</c:v>
                </c:pt>
                <c:pt idx="8">
                  <c:v>38</c:v>
                </c:pt>
                <c:pt idx="9">
                  <c:v>45</c:v>
                </c:pt>
                <c:pt idx="10">
                  <c:v>35</c:v>
                </c:pt>
                <c:pt idx="11">
                  <c:v>57</c:v>
                </c:pt>
              </c:numCache>
            </c:numRef>
          </c:val>
          <c:smooth val="0"/>
          <c:extLst>
            <c:ext xmlns:c16="http://schemas.microsoft.com/office/drawing/2014/chart" uri="{C3380CC4-5D6E-409C-BE32-E72D297353CC}">
              <c16:uniqueId val="{00000000-221D-5E48-986E-30D0FC65EB86}"/>
            </c:ext>
          </c:extLst>
        </c:ser>
        <c:ser>
          <c:idx val="1"/>
          <c:order val="1"/>
          <c:tx>
            <c:strRef>
              <c:f>'[3]2014 Year'!$A$4</c:f>
              <c:strCache>
                <c:ptCount val="1"/>
                <c:pt idx="0">
                  <c:v>FALSE</c:v>
                </c:pt>
              </c:strCache>
            </c:strRef>
          </c:tx>
          <c:marker>
            <c:symbol val="none"/>
          </c:marker>
          <c:val>
            <c:numRef>
              <c:f>'[3]2014 Year'!$C$4:$N$4</c:f>
              <c:numCache>
                <c:formatCode>General</c:formatCode>
                <c:ptCount val="12"/>
                <c:pt idx="0">
                  <c:v>49</c:v>
                </c:pt>
                <c:pt idx="1">
                  <c:v>28</c:v>
                </c:pt>
                <c:pt idx="2">
                  <c:v>22</c:v>
                </c:pt>
                <c:pt idx="3">
                  <c:v>38</c:v>
                </c:pt>
                <c:pt idx="4">
                  <c:v>20</c:v>
                </c:pt>
                <c:pt idx="5">
                  <c:v>51</c:v>
                </c:pt>
                <c:pt idx="6">
                  <c:v>18</c:v>
                </c:pt>
                <c:pt idx="7">
                  <c:v>20</c:v>
                </c:pt>
                <c:pt idx="8">
                  <c:v>30</c:v>
                </c:pt>
                <c:pt idx="9">
                  <c:v>36</c:v>
                </c:pt>
                <c:pt idx="10">
                  <c:v>22</c:v>
                </c:pt>
                <c:pt idx="11">
                  <c:v>39</c:v>
                </c:pt>
              </c:numCache>
            </c:numRef>
          </c:val>
          <c:smooth val="0"/>
          <c:extLst>
            <c:ext xmlns:c16="http://schemas.microsoft.com/office/drawing/2014/chart" uri="{C3380CC4-5D6E-409C-BE32-E72D297353CC}">
              <c16:uniqueId val="{00000001-221D-5E48-986E-30D0FC65EB86}"/>
            </c:ext>
          </c:extLst>
        </c:ser>
        <c:ser>
          <c:idx val="2"/>
          <c:order val="2"/>
          <c:tx>
            <c:strRef>
              <c:f>'[3]2014 Year'!$A$7</c:f>
              <c:strCache>
                <c:ptCount val="1"/>
                <c:pt idx="0">
                  <c:v>TRUE</c:v>
                </c:pt>
              </c:strCache>
            </c:strRef>
          </c:tx>
          <c:marker>
            <c:symbol val="none"/>
          </c:marker>
          <c:val>
            <c:numRef>
              <c:f>'[3]2014 Year'!$C$7:$N$7</c:f>
              <c:numCache>
                <c:formatCode>General</c:formatCode>
                <c:ptCount val="12"/>
                <c:pt idx="0">
                  <c:v>10</c:v>
                </c:pt>
                <c:pt idx="1">
                  <c:v>7</c:v>
                </c:pt>
                <c:pt idx="2">
                  <c:v>16</c:v>
                </c:pt>
                <c:pt idx="3">
                  <c:v>7</c:v>
                </c:pt>
                <c:pt idx="4">
                  <c:v>7</c:v>
                </c:pt>
                <c:pt idx="5">
                  <c:v>8</c:v>
                </c:pt>
                <c:pt idx="6">
                  <c:v>2</c:v>
                </c:pt>
                <c:pt idx="7">
                  <c:v>8</c:v>
                </c:pt>
                <c:pt idx="8">
                  <c:v>5</c:v>
                </c:pt>
                <c:pt idx="9">
                  <c:v>7</c:v>
                </c:pt>
                <c:pt idx="10">
                  <c:v>2</c:v>
                </c:pt>
                <c:pt idx="11">
                  <c:v>4</c:v>
                </c:pt>
              </c:numCache>
            </c:numRef>
          </c:val>
          <c:smooth val="0"/>
          <c:extLst>
            <c:ext xmlns:c16="http://schemas.microsoft.com/office/drawing/2014/chart" uri="{C3380CC4-5D6E-409C-BE32-E72D297353CC}">
              <c16:uniqueId val="{00000002-221D-5E48-986E-30D0FC65EB86}"/>
            </c:ext>
          </c:extLst>
        </c:ser>
        <c:ser>
          <c:idx val="3"/>
          <c:order val="3"/>
          <c:tx>
            <c:strRef>
              <c:f>'[3]2014 Year'!$A$12</c:f>
              <c:strCache>
                <c:ptCount val="1"/>
                <c:pt idx="0">
                  <c:v>INCONCLUSIVE</c:v>
                </c:pt>
              </c:strCache>
            </c:strRef>
          </c:tx>
          <c:marker>
            <c:symbol val="none"/>
          </c:marker>
          <c:val>
            <c:numRef>
              <c:f>'[3]2014 Year'!$C$12:$N$12</c:f>
              <c:numCache>
                <c:formatCode>General</c:formatCode>
                <c:ptCount val="12"/>
                <c:pt idx="0">
                  <c:v>15</c:v>
                </c:pt>
                <c:pt idx="1">
                  <c:v>5</c:v>
                </c:pt>
                <c:pt idx="2">
                  <c:v>7</c:v>
                </c:pt>
                <c:pt idx="3">
                  <c:v>16</c:v>
                </c:pt>
                <c:pt idx="4">
                  <c:v>5</c:v>
                </c:pt>
                <c:pt idx="5">
                  <c:v>11</c:v>
                </c:pt>
                <c:pt idx="6">
                  <c:v>4</c:v>
                </c:pt>
                <c:pt idx="7">
                  <c:v>2</c:v>
                </c:pt>
                <c:pt idx="8">
                  <c:v>3</c:v>
                </c:pt>
                <c:pt idx="9">
                  <c:v>2</c:v>
                </c:pt>
                <c:pt idx="10">
                  <c:v>11</c:v>
                </c:pt>
                <c:pt idx="11">
                  <c:v>14</c:v>
                </c:pt>
              </c:numCache>
            </c:numRef>
          </c:val>
          <c:smooth val="0"/>
          <c:extLst>
            <c:ext xmlns:c16="http://schemas.microsoft.com/office/drawing/2014/chart" uri="{C3380CC4-5D6E-409C-BE32-E72D297353CC}">
              <c16:uniqueId val="{00000003-221D-5E48-986E-30D0FC65EB86}"/>
            </c:ext>
          </c:extLst>
        </c:ser>
        <c:dLbls>
          <c:showLegendKey val="0"/>
          <c:showVal val="0"/>
          <c:showCatName val="0"/>
          <c:showSerName val="0"/>
          <c:showPercent val="0"/>
          <c:showBubbleSize val="0"/>
        </c:dLbls>
        <c:smooth val="0"/>
        <c:axId val="133554176"/>
        <c:axId val="133555712"/>
      </c:lineChart>
      <c:catAx>
        <c:axId val="133554176"/>
        <c:scaling>
          <c:orientation val="minMax"/>
        </c:scaling>
        <c:delete val="0"/>
        <c:axPos val="b"/>
        <c:numFmt formatCode="General" sourceLinked="0"/>
        <c:majorTickMark val="none"/>
        <c:minorTickMark val="none"/>
        <c:tickLblPos val="nextTo"/>
        <c:crossAx val="133555712"/>
        <c:crosses val="autoZero"/>
        <c:auto val="1"/>
        <c:lblAlgn val="ctr"/>
        <c:lblOffset val="100"/>
        <c:noMultiLvlLbl val="0"/>
      </c:catAx>
      <c:valAx>
        <c:axId val="133555712"/>
        <c:scaling>
          <c:orientation val="minMax"/>
        </c:scaling>
        <c:delete val="0"/>
        <c:axPos val="l"/>
        <c:majorGridlines/>
        <c:title>
          <c:tx>
            <c:rich>
              <a:bodyPr/>
              <a:lstStyle/>
              <a:p>
                <a:pPr>
                  <a:defRPr/>
                </a:pPr>
                <a:r>
                  <a:rPr lang="en-US"/>
                  <a:t>Monthly</a:t>
                </a:r>
                <a:r>
                  <a:rPr lang="en-US" baseline="0"/>
                  <a:t> Amount</a:t>
                </a:r>
                <a:endParaRPr lang="en-US"/>
              </a:p>
            </c:rich>
          </c:tx>
          <c:overlay val="0"/>
        </c:title>
        <c:numFmt formatCode="General" sourceLinked="1"/>
        <c:majorTickMark val="none"/>
        <c:minorTickMark val="none"/>
        <c:tickLblPos val="nextTo"/>
        <c:crossAx val="13355417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622" l="0.70000000000000062" r="0.70000000000000062" t="0.75000000000000622"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Grievances in 2015</a:t>
            </a:r>
          </a:p>
        </c:rich>
      </c:tx>
      <c:overlay val="0"/>
    </c:title>
    <c:autoTitleDeleted val="0"/>
    <c:plotArea>
      <c:layout/>
      <c:lineChart>
        <c:grouping val="standard"/>
        <c:varyColors val="0"/>
        <c:ser>
          <c:idx val="0"/>
          <c:order val="0"/>
          <c:tx>
            <c:strRef>
              <c:f>'For SR Reports'!$A$46</c:f>
              <c:strCache>
                <c:ptCount val="1"/>
                <c:pt idx="0">
                  <c:v>Total</c:v>
                </c:pt>
              </c:strCache>
            </c:strRef>
          </c:tx>
          <c:spPr>
            <a:ln w="57150"/>
          </c:spPr>
          <c:marker>
            <c:symbol val="none"/>
          </c:marker>
          <c:cat>
            <c:strRef>
              <c:f>'For SR Reports'!$B$35:$M$35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'For SR Reports'!$B$46:$M$46</c:f>
              <c:numCache>
                <c:formatCode>0</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0-02CF-0947-8E67-1CEAAA9EB8DB}"/>
            </c:ext>
          </c:extLst>
        </c:ser>
        <c:ser>
          <c:idx val="1"/>
          <c:order val="1"/>
          <c:tx>
            <c:strRef>
              <c:f>'For SR Reports'!$A$36</c:f>
              <c:strCache>
                <c:ptCount val="1"/>
                <c:pt idx="0">
                  <c:v>FALSE</c:v>
                </c:pt>
              </c:strCache>
            </c:strRef>
          </c:tx>
          <c:marker>
            <c:symbol val="none"/>
          </c:marker>
          <c:cat>
            <c:strRef>
              <c:f>'For SR Reports'!$B$35:$M$35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'For SR Reports'!$B$36:$M$36</c:f>
              <c:numCache>
                <c:formatCode>0</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1-02CF-0947-8E67-1CEAAA9EB8DB}"/>
            </c:ext>
          </c:extLst>
        </c:ser>
        <c:ser>
          <c:idx val="2"/>
          <c:order val="2"/>
          <c:tx>
            <c:strRef>
              <c:f>'For SR Reports'!$A$39</c:f>
              <c:strCache>
                <c:ptCount val="1"/>
                <c:pt idx="0">
                  <c:v>TRUE</c:v>
                </c:pt>
              </c:strCache>
            </c:strRef>
          </c:tx>
          <c:marker>
            <c:symbol val="none"/>
          </c:marker>
          <c:cat>
            <c:strRef>
              <c:f>'For SR Reports'!$B$35:$M$35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'For SR Reports'!$B$39:$M$39</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2-02CF-0947-8E67-1CEAAA9EB8DB}"/>
            </c:ext>
          </c:extLst>
        </c:ser>
        <c:ser>
          <c:idx val="3"/>
          <c:order val="3"/>
          <c:tx>
            <c:strRef>
              <c:f>'For SR Reports'!$A$44</c:f>
              <c:strCache>
                <c:ptCount val="1"/>
                <c:pt idx="0">
                  <c:v>INCONCLUSIVE</c:v>
                </c:pt>
              </c:strCache>
            </c:strRef>
          </c:tx>
          <c:marker>
            <c:symbol val="none"/>
          </c:marker>
          <c:cat>
            <c:strRef>
              <c:f>'For SR Reports'!$B$35:$M$35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'For SR Reports'!$B$44:$M$44</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3-02CF-0947-8E67-1CEAAA9EB8DB}"/>
            </c:ext>
          </c:extLst>
        </c:ser>
        <c:ser>
          <c:idx val="4"/>
          <c:order val="4"/>
          <c:tx>
            <c:strRef>
              <c:f>'For SR Reports'!$A$45</c:f>
              <c:strCache>
                <c:ptCount val="1"/>
                <c:pt idx="0">
                  <c:v>PENDING</c:v>
                </c:pt>
              </c:strCache>
            </c:strRef>
          </c:tx>
          <c:marker>
            <c:symbol val="none"/>
          </c:marker>
          <c:cat>
            <c:strRef>
              <c:f>'For SR Reports'!$B$35:$M$35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'For SR Reports'!$B$45:$M$45</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4-02CF-0947-8E67-1CEAAA9EB8DB}"/>
            </c:ext>
          </c:extLst>
        </c:ser>
        <c:dLbls>
          <c:showLegendKey val="0"/>
          <c:showVal val="0"/>
          <c:showCatName val="0"/>
          <c:showSerName val="0"/>
          <c:showPercent val="0"/>
          <c:showBubbleSize val="0"/>
        </c:dLbls>
        <c:smooth val="0"/>
        <c:axId val="132860160"/>
        <c:axId val="132874240"/>
      </c:lineChart>
      <c:catAx>
        <c:axId val="132860160"/>
        <c:scaling>
          <c:orientation val="minMax"/>
        </c:scaling>
        <c:delete val="0"/>
        <c:axPos val="b"/>
        <c:numFmt formatCode="General" sourceLinked="0"/>
        <c:majorTickMark val="none"/>
        <c:minorTickMark val="none"/>
        <c:tickLblPos val="nextTo"/>
        <c:crossAx val="132874240"/>
        <c:crosses val="autoZero"/>
        <c:auto val="1"/>
        <c:lblAlgn val="ctr"/>
        <c:lblOffset val="100"/>
        <c:noMultiLvlLbl val="0"/>
      </c:catAx>
      <c:valAx>
        <c:axId val="132874240"/>
        <c:scaling>
          <c:orientation val="minMax"/>
        </c:scaling>
        <c:delete val="0"/>
        <c:axPos val="l"/>
        <c:majorGridlines/>
        <c:title>
          <c:overlay val="0"/>
        </c:title>
        <c:numFmt formatCode="0" sourceLinked="1"/>
        <c:majorTickMark val="none"/>
        <c:minorTickMark val="none"/>
        <c:tickLblPos val="nextTo"/>
        <c:crossAx val="132860160"/>
        <c:crosses val="autoZero"/>
        <c:crossBetween val="between"/>
      </c:valAx>
      <c:dTable>
        <c:showHorzBorder val="1"/>
        <c:showVertBorder val="1"/>
        <c:showOutline val="1"/>
        <c:showKeys val="1"/>
      </c:dTable>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en-US"/>
              <a:t>Grievances in 2014</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'[3]2014 Year'!$R$4:$R$7</c:f>
              <c:strCache>
                <c:ptCount val="4"/>
                <c:pt idx="0">
                  <c:v>FALSE</c:v>
                </c:pt>
                <c:pt idx="1">
                  <c:v>TRUE</c:v>
                </c:pt>
                <c:pt idx="2">
                  <c:v>Inconclusive</c:v>
                </c:pt>
                <c:pt idx="3">
                  <c:v>Pending</c:v>
                </c:pt>
              </c:strCache>
            </c:strRef>
          </c:cat>
          <c:val>
            <c:numRef>
              <c:f>'[3]2014 Year'!$Q$4:$Q$7</c:f>
              <c:numCache>
                <c:formatCode>General</c:formatCode>
                <c:ptCount val="4"/>
                <c:pt idx="0">
                  <c:v>373</c:v>
                </c:pt>
                <c:pt idx="1">
                  <c:v>83</c:v>
                </c:pt>
                <c:pt idx="2">
                  <c:v>95</c:v>
                </c:pt>
                <c:pt idx="3">
                  <c:v>0</c:v>
                </c:pt>
              </c:numCache>
            </c:numRef>
          </c:val>
          <c:extLst>
            <c:ext xmlns:c16="http://schemas.microsoft.com/office/drawing/2014/chart" uri="{C3380CC4-5D6E-409C-BE32-E72D297353CC}">
              <c16:uniqueId val="{00000000-E0CC-E34D-9840-DB94B2ED01E5}"/>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2"/>
    </mc:Choice>
    <mc:Fallback>
      <c:style val="12"/>
    </mc:Fallback>
  </mc:AlternateContent>
  <c:chart>
    <c:title>
      <c:tx>
        <c:rich>
          <a:bodyPr/>
          <a:lstStyle/>
          <a:p>
            <a:pPr>
              <a:defRPr/>
            </a:pPr>
            <a:r>
              <a:rPr lang="en-US"/>
              <a:t>Of the True in 2014:</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'[3]2014 Year'!$A$8:$A$11</c:f>
              <c:strCache>
                <c:ptCount val="4"/>
                <c:pt idx="0">
                  <c:v>-Rights Violations</c:v>
                </c:pt>
                <c:pt idx="1">
                  <c:v>-Policy Violations</c:v>
                </c:pt>
                <c:pt idx="2">
                  <c:v>-Anti-Therapeutic</c:v>
                </c:pt>
                <c:pt idx="3">
                  <c:v>-Other/ Misc</c:v>
                </c:pt>
              </c:strCache>
            </c:strRef>
          </c:cat>
          <c:val>
            <c:numRef>
              <c:f>'[3]2014 Year'!$O$8:$O$11</c:f>
              <c:numCache>
                <c:formatCode>General</c:formatCode>
                <c:ptCount val="4"/>
                <c:pt idx="0">
                  <c:v>15</c:v>
                </c:pt>
                <c:pt idx="1">
                  <c:v>23</c:v>
                </c:pt>
                <c:pt idx="2">
                  <c:v>26</c:v>
                </c:pt>
                <c:pt idx="3">
                  <c:v>20</c:v>
                </c:pt>
              </c:numCache>
            </c:numRef>
          </c:val>
          <c:extLst>
            <c:ext xmlns:c16="http://schemas.microsoft.com/office/drawing/2014/chart" uri="{C3380CC4-5D6E-409C-BE32-E72D297353CC}">
              <c16:uniqueId val="{00000000-A7A0-F840-AD3F-35295242BE79}"/>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1"/>
    </mc:Choice>
    <mc:Fallback>
      <c:style val="11"/>
    </mc:Fallback>
  </mc:AlternateContent>
  <c:chart>
    <c:title>
      <c:tx>
        <c:rich>
          <a:bodyPr/>
          <a:lstStyle/>
          <a:p>
            <a:pPr>
              <a:defRPr/>
            </a:pPr>
            <a:r>
              <a:rPr lang="en-US"/>
              <a:t>Of the False in 2014:</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'[3]2014 Year'!$A$5:$A$6</c:f>
              <c:strCache>
                <c:ptCount val="2"/>
                <c:pt idx="0">
                  <c:v>- Deliberately</c:v>
                </c:pt>
                <c:pt idx="1">
                  <c:v>-Misunderstanding</c:v>
                </c:pt>
              </c:strCache>
            </c:strRef>
          </c:cat>
          <c:val>
            <c:numRef>
              <c:f>'[3]2014 Year'!$O$5:$O$6</c:f>
              <c:numCache>
                <c:formatCode>General</c:formatCode>
                <c:ptCount val="2"/>
                <c:pt idx="0">
                  <c:v>201</c:v>
                </c:pt>
                <c:pt idx="1">
                  <c:v>172</c:v>
                </c:pt>
              </c:numCache>
            </c:numRef>
          </c:val>
          <c:extLst>
            <c:ext xmlns:c16="http://schemas.microsoft.com/office/drawing/2014/chart" uri="{C3380CC4-5D6E-409C-BE32-E72D297353CC}">
              <c16:uniqueId val="{00000000-B4D7-7341-9798-C7AFD497B522}"/>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en-US"/>
              <a:t>Grievances in 2015</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'For SR Reports'!$P$35:$P$38</c:f>
              <c:strCache>
                <c:ptCount val="4"/>
                <c:pt idx="0">
                  <c:v>False</c:v>
                </c:pt>
                <c:pt idx="1">
                  <c:v>True</c:v>
                </c:pt>
                <c:pt idx="2">
                  <c:v>Inconclusive</c:v>
                </c:pt>
                <c:pt idx="3">
                  <c:v>Pending</c:v>
                </c:pt>
              </c:strCache>
            </c:strRef>
          </c:cat>
          <c:val>
            <c:numRef>
              <c:f>'For SR Reports'!$Q$35:$Q$38</c:f>
              <c:numCache>
                <c:formatCode>0</c:formatCode>
                <c:ptCount val="4"/>
                <c:pt idx="0">
                  <c:v>0</c:v>
                </c:pt>
                <c:pt idx="1">
                  <c:v>0</c:v>
                </c:pt>
                <c:pt idx="2">
                  <c:v>0</c:v>
                </c:pt>
                <c:pt idx="3">
                  <c:v>0</c:v>
                </c:pt>
              </c:numCache>
            </c:numRef>
          </c:val>
          <c:extLst>
            <c:ext xmlns:c16="http://schemas.microsoft.com/office/drawing/2014/chart" uri="{C3380CC4-5D6E-409C-BE32-E72D297353CC}">
              <c16:uniqueId val="{00000000-CDD8-F640-850D-9E9C5F859F0C}"/>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1"/>
    </mc:Choice>
    <mc:Fallback>
      <c:style val="11"/>
    </mc:Fallback>
  </mc:AlternateContent>
  <c:chart>
    <c:title>
      <c:tx>
        <c:rich>
          <a:bodyPr/>
          <a:lstStyle/>
          <a:p>
            <a:pPr>
              <a:defRPr/>
            </a:pPr>
            <a:r>
              <a:rPr lang="en-US"/>
              <a:t>Of the False in 2015:</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'For SR Reports'!$P$40:$P$41</c:f>
              <c:strCache>
                <c:ptCount val="2"/>
                <c:pt idx="0">
                  <c:v>Deliberate</c:v>
                </c:pt>
                <c:pt idx="1">
                  <c:v>Misunderstanding</c:v>
                </c:pt>
              </c:strCache>
            </c:strRef>
          </c:cat>
          <c:val>
            <c:numRef>
              <c:f>'For SR Reports'!$Q$40:$Q$41</c:f>
              <c:numCache>
                <c:formatCode>0</c:formatCode>
                <c:ptCount val="2"/>
                <c:pt idx="0">
                  <c:v>0</c:v>
                </c:pt>
                <c:pt idx="1">
                  <c:v>0</c:v>
                </c:pt>
              </c:numCache>
            </c:numRef>
          </c:val>
          <c:extLst>
            <c:ext xmlns:c16="http://schemas.microsoft.com/office/drawing/2014/chart" uri="{C3380CC4-5D6E-409C-BE32-E72D297353CC}">
              <c16:uniqueId val="{00000000-60D9-6446-88B8-5F73C08FDED2}"/>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2"/>
    </mc:Choice>
    <mc:Fallback>
      <c:style val="12"/>
    </mc:Fallback>
  </mc:AlternateContent>
  <c:chart>
    <c:title>
      <c:tx>
        <c:rich>
          <a:bodyPr/>
          <a:lstStyle/>
          <a:p>
            <a:pPr>
              <a:defRPr/>
            </a:pPr>
            <a:r>
              <a:rPr lang="en-US"/>
              <a:t>Of the True in 2015</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'For SR Reports'!$P$43:$P$46</c:f>
              <c:strCache>
                <c:ptCount val="4"/>
                <c:pt idx="0">
                  <c:v>Rights Violation</c:v>
                </c:pt>
                <c:pt idx="1">
                  <c:v>Policy Violation</c:v>
                </c:pt>
                <c:pt idx="2">
                  <c:v>Anti-Therapeutic</c:v>
                </c:pt>
                <c:pt idx="3">
                  <c:v>Other/Misc.</c:v>
                </c:pt>
              </c:strCache>
            </c:strRef>
          </c:cat>
          <c:val>
            <c:numRef>
              <c:f>'For SR Reports'!$Q$43:$Q$46</c:f>
              <c:numCache>
                <c:formatCode>0</c:formatCode>
                <c:ptCount val="4"/>
                <c:pt idx="0">
                  <c:v>0</c:v>
                </c:pt>
                <c:pt idx="1">
                  <c:v>0</c:v>
                </c:pt>
                <c:pt idx="2">
                  <c:v>0</c:v>
                </c:pt>
                <c:pt idx="3">
                  <c:v>0</c:v>
                </c:pt>
              </c:numCache>
            </c:numRef>
          </c:val>
          <c:extLst>
            <c:ext xmlns:c16="http://schemas.microsoft.com/office/drawing/2014/chart" uri="{C3380CC4-5D6E-409C-BE32-E72D297353CC}">
              <c16:uniqueId val="{00000000-D526-8447-A573-706F2C5232AF}"/>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Population</a:t>
            </a:r>
            <a:r>
              <a:rPr lang="en-US" baseline="0"/>
              <a:t> Writing Grievances</a:t>
            </a:r>
            <a:endParaRPr lang="en-US"/>
          </a:p>
        </c:rich>
      </c:tx>
      <c:overlay val="0"/>
    </c:title>
    <c:autoTitleDeleted val="0"/>
    <c:plotArea>
      <c:layout/>
      <c:lineChart>
        <c:grouping val="standard"/>
        <c:varyColors val="0"/>
        <c:ser>
          <c:idx val="0"/>
          <c:order val="0"/>
          <c:tx>
            <c:strRef>
              <c:f>'For SR Reports'!$A$114</c:f>
              <c:strCache>
                <c:ptCount val="1"/>
                <c:pt idx="0">
                  <c:v>2014</c:v>
                </c:pt>
              </c:strCache>
            </c:strRef>
          </c:tx>
          <c:marker>
            <c:symbol val="none"/>
          </c:marker>
          <c:cat>
            <c:strRef>
              <c:f>'For SR Reports'!$B$113:$M$113</c:f>
              <c:strCache>
                <c:ptCount val="12"/>
                <c:pt idx="0">
                  <c:v>Jan</c:v>
                </c:pt>
                <c:pt idx="1">
                  <c:v>Feb</c:v>
                </c:pt>
                <c:pt idx="2">
                  <c:v>Mar</c:v>
                </c:pt>
                <c:pt idx="3">
                  <c:v>April</c:v>
                </c:pt>
                <c:pt idx="4">
                  <c:v>May</c:v>
                </c:pt>
                <c:pt idx="5">
                  <c:v>June</c:v>
                </c:pt>
                <c:pt idx="6">
                  <c:v>July</c:v>
                </c:pt>
                <c:pt idx="7">
                  <c:v>August</c:v>
                </c:pt>
                <c:pt idx="8">
                  <c:v>Sept</c:v>
                </c:pt>
                <c:pt idx="9">
                  <c:v>Oct</c:v>
                </c:pt>
                <c:pt idx="10">
                  <c:v>Nov</c:v>
                </c:pt>
                <c:pt idx="11">
                  <c:v>Dec</c:v>
                </c:pt>
              </c:strCache>
            </c:strRef>
          </c:cat>
          <c:val>
            <c:numRef>
              <c:f>'For SR Reports'!$B$114:$M$114</c:f>
              <c:numCache>
                <c:formatCode>0%</c:formatCode>
                <c:ptCount val="12"/>
                <c:pt idx="0">
                  <c:v>0.27419354838709675</c:v>
                </c:pt>
                <c:pt idx="1">
                  <c:v>0.2109375</c:v>
                </c:pt>
                <c:pt idx="2">
                  <c:v>0.21428571428571427</c:v>
                </c:pt>
                <c:pt idx="3">
                  <c:v>0.23214285714285715</c:v>
                </c:pt>
                <c:pt idx="4">
                  <c:v>0.21621621621621623</c:v>
                </c:pt>
                <c:pt idx="5">
                  <c:v>0.34259259259259262</c:v>
                </c:pt>
                <c:pt idx="6">
                  <c:v>0.15873015873015872</c:v>
                </c:pt>
                <c:pt idx="7">
                  <c:v>0.14173228346456693</c:v>
                </c:pt>
                <c:pt idx="8">
                  <c:v>0.17322834645669291</c:v>
                </c:pt>
                <c:pt idx="9">
                  <c:v>0.31007751937984496</c:v>
                </c:pt>
                <c:pt idx="10">
                  <c:v>0.13333333333333333</c:v>
                </c:pt>
                <c:pt idx="11">
                  <c:v>0.23</c:v>
                </c:pt>
              </c:numCache>
            </c:numRef>
          </c:val>
          <c:smooth val="0"/>
          <c:extLst>
            <c:ext xmlns:c16="http://schemas.microsoft.com/office/drawing/2014/chart" uri="{C3380CC4-5D6E-409C-BE32-E72D297353CC}">
              <c16:uniqueId val="{00000000-D939-0F4A-A252-D3392F6FF977}"/>
            </c:ext>
          </c:extLst>
        </c:ser>
        <c:ser>
          <c:idx val="1"/>
          <c:order val="1"/>
          <c:tx>
            <c:strRef>
              <c:f>'For SR Reports'!$A$115</c:f>
              <c:strCache>
                <c:ptCount val="1"/>
                <c:pt idx="0">
                  <c:v>2015</c:v>
                </c:pt>
              </c:strCache>
            </c:strRef>
          </c:tx>
          <c:marker>
            <c:symbol val="none"/>
          </c:marker>
          <c:cat>
            <c:strRef>
              <c:f>'For SR Reports'!$B$113:$M$113</c:f>
              <c:strCache>
                <c:ptCount val="12"/>
                <c:pt idx="0">
                  <c:v>Jan</c:v>
                </c:pt>
                <c:pt idx="1">
                  <c:v>Feb</c:v>
                </c:pt>
                <c:pt idx="2">
                  <c:v>Mar</c:v>
                </c:pt>
                <c:pt idx="3">
                  <c:v>April</c:v>
                </c:pt>
                <c:pt idx="4">
                  <c:v>May</c:v>
                </c:pt>
                <c:pt idx="5">
                  <c:v>June</c:v>
                </c:pt>
                <c:pt idx="6">
                  <c:v>July</c:v>
                </c:pt>
                <c:pt idx="7">
                  <c:v>August</c:v>
                </c:pt>
                <c:pt idx="8">
                  <c:v>Sept</c:v>
                </c:pt>
                <c:pt idx="9">
                  <c:v>Oct</c:v>
                </c:pt>
                <c:pt idx="10">
                  <c:v>Nov</c:v>
                </c:pt>
                <c:pt idx="11">
                  <c:v>Dec</c:v>
                </c:pt>
              </c:strCache>
            </c:strRef>
          </c:cat>
          <c:val>
            <c:numRef>
              <c:f>'For SR Reports'!$B$115:$M$115</c:f>
              <c:numCache>
                <c:formatCode>0%</c:formatCode>
                <c:ptCount val="12"/>
                <c:pt idx="0">
                  <c:v>0.32</c:v>
                </c:pt>
                <c:pt idx="1">
                  <c:v>0.34</c:v>
                </c:pt>
                <c:pt idx="2">
                  <c:v>0.28000000000000003</c:v>
                </c:pt>
                <c:pt idx="3">
                  <c:v>0.17</c:v>
                </c:pt>
                <c:pt idx="4">
                  <c:v>0.18</c:v>
                </c:pt>
                <c:pt idx="5">
                  <c:v>0.25</c:v>
                </c:pt>
                <c:pt idx="6">
                  <c:v>0.22</c:v>
                </c:pt>
                <c:pt idx="7">
                  <c:v>0.2</c:v>
                </c:pt>
                <c:pt idx="8">
                  <c:v>0.19</c:v>
                </c:pt>
                <c:pt idx="9">
                  <c:v>0.25</c:v>
                </c:pt>
                <c:pt idx="10">
                  <c:v>0.17</c:v>
                </c:pt>
                <c:pt idx="11">
                  <c:v>0.22</c:v>
                </c:pt>
              </c:numCache>
            </c:numRef>
          </c:val>
          <c:smooth val="0"/>
          <c:extLst>
            <c:ext xmlns:c16="http://schemas.microsoft.com/office/drawing/2014/chart" uri="{C3380CC4-5D6E-409C-BE32-E72D297353CC}">
              <c16:uniqueId val="{00000001-D939-0F4A-A252-D3392F6FF977}"/>
            </c:ext>
          </c:extLst>
        </c:ser>
        <c:dLbls>
          <c:showLegendKey val="0"/>
          <c:showVal val="0"/>
          <c:showCatName val="0"/>
          <c:showSerName val="0"/>
          <c:showPercent val="0"/>
          <c:showBubbleSize val="0"/>
        </c:dLbls>
        <c:smooth val="0"/>
        <c:axId val="134174592"/>
        <c:axId val="134176128"/>
      </c:lineChart>
      <c:catAx>
        <c:axId val="134174592"/>
        <c:scaling>
          <c:orientation val="minMax"/>
        </c:scaling>
        <c:delete val="0"/>
        <c:axPos val="b"/>
        <c:numFmt formatCode="General" sourceLinked="0"/>
        <c:majorTickMark val="none"/>
        <c:minorTickMark val="none"/>
        <c:tickLblPos val="nextTo"/>
        <c:crossAx val="134176128"/>
        <c:crosses val="autoZero"/>
        <c:auto val="1"/>
        <c:lblAlgn val="ctr"/>
        <c:lblOffset val="100"/>
        <c:noMultiLvlLbl val="0"/>
      </c:catAx>
      <c:valAx>
        <c:axId val="134176128"/>
        <c:scaling>
          <c:orientation val="minMax"/>
        </c:scaling>
        <c:delete val="1"/>
        <c:axPos val="l"/>
        <c:numFmt formatCode="0%" sourceLinked="1"/>
        <c:majorTickMark val="none"/>
        <c:minorTickMark val="none"/>
        <c:tickLblPos val="nextTo"/>
        <c:crossAx val="134174592"/>
        <c:crosses val="autoZero"/>
        <c:crossBetween val="between"/>
      </c:valAx>
    </c:plotArea>
    <c:legend>
      <c:legendPos val="t"/>
      <c:overlay val="0"/>
    </c:legend>
    <c:plotVisOnly val="1"/>
    <c:dispBlanksAs val="gap"/>
    <c:showDLblsOverMax val="0"/>
  </c:chart>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Population</a:t>
            </a:r>
            <a:r>
              <a:rPr lang="en-US" baseline="0"/>
              <a:t> Writing Grievances</a:t>
            </a:r>
            <a:endParaRPr lang="en-US"/>
          </a:p>
        </c:rich>
      </c:tx>
      <c:overlay val="0"/>
    </c:title>
    <c:autoTitleDeleted val="0"/>
    <c:plotArea>
      <c:layout/>
      <c:lineChart>
        <c:grouping val="standard"/>
        <c:varyColors val="0"/>
        <c:ser>
          <c:idx val="0"/>
          <c:order val="0"/>
          <c:tx>
            <c:strRef>
              <c:f>'For SR Reports'!$A$114</c:f>
              <c:strCache>
                <c:ptCount val="1"/>
                <c:pt idx="0">
                  <c:v>2014</c:v>
                </c:pt>
              </c:strCache>
            </c:strRef>
          </c:tx>
          <c:marker>
            <c:symbol val="none"/>
          </c:marker>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'For SR Reports'!$B$113:$M$113</c:f>
              <c:strCache>
                <c:ptCount val="12"/>
                <c:pt idx="0">
                  <c:v>Jan</c:v>
                </c:pt>
                <c:pt idx="1">
                  <c:v>Feb</c:v>
                </c:pt>
                <c:pt idx="2">
                  <c:v>Mar</c:v>
                </c:pt>
                <c:pt idx="3">
                  <c:v>April</c:v>
                </c:pt>
                <c:pt idx="4">
                  <c:v>May</c:v>
                </c:pt>
                <c:pt idx="5">
                  <c:v>June</c:v>
                </c:pt>
                <c:pt idx="6">
                  <c:v>July</c:v>
                </c:pt>
                <c:pt idx="7">
                  <c:v>August</c:v>
                </c:pt>
                <c:pt idx="8">
                  <c:v>Sept</c:v>
                </c:pt>
                <c:pt idx="9">
                  <c:v>Oct</c:v>
                </c:pt>
                <c:pt idx="10">
                  <c:v>Nov</c:v>
                </c:pt>
                <c:pt idx="11">
                  <c:v>Dec</c:v>
                </c:pt>
              </c:strCache>
            </c:strRef>
          </c:cat>
          <c:val>
            <c:numRef>
              <c:f>'For SR Reports'!$B$114:$G$114</c:f>
              <c:numCache>
                <c:formatCode>0%</c:formatCode>
                <c:ptCount val="6"/>
                <c:pt idx="0">
                  <c:v>0.27419354838709675</c:v>
                </c:pt>
                <c:pt idx="1">
                  <c:v>0.2109375</c:v>
                </c:pt>
                <c:pt idx="2">
                  <c:v>0.21428571428571427</c:v>
                </c:pt>
                <c:pt idx="3">
                  <c:v>0.23214285714285715</c:v>
                </c:pt>
                <c:pt idx="4">
                  <c:v>0.21621621621621623</c:v>
                </c:pt>
                <c:pt idx="5">
                  <c:v>0.34259259259259262</c:v>
                </c:pt>
              </c:numCache>
            </c:numRef>
          </c:val>
          <c:smooth val="0"/>
          <c:extLst>
            <c:ext xmlns:c16="http://schemas.microsoft.com/office/drawing/2014/chart" uri="{C3380CC4-5D6E-409C-BE32-E72D297353CC}">
              <c16:uniqueId val="{00000000-3550-6C47-AFB4-6998FE1F640D}"/>
            </c:ext>
          </c:extLst>
        </c:ser>
        <c:ser>
          <c:idx val="1"/>
          <c:order val="1"/>
          <c:tx>
            <c:strRef>
              <c:f>'For SR Reports'!$A$115</c:f>
              <c:strCache>
                <c:ptCount val="1"/>
                <c:pt idx="0">
                  <c:v>2015</c:v>
                </c:pt>
              </c:strCache>
            </c:strRef>
          </c:tx>
          <c:marker>
            <c:symbol val="none"/>
          </c:marker>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'For SR Reports'!$B$113:$M$113</c:f>
              <c:strCache>
                <c:ptCount val="12"/>
                <c:pt idx="0">
                  <c:v>Jan</c:v>
                </c:pt>
                <c:pt idx="1">
                  <c:v>Feb</c:v>
                </c:pt>
                <c:pt idx="2">
                  <c:v>Mar</c:v>
                </c:pt>
                <c:pt idx="3">
                  <c:v>April</c:v>
                </c:pt>
                <c:pt idx="4">
                  <c:v>May</c:v>
                </c:pt>
                <c:pt idx="5">
                  <c:v>June</c:v>
                </c:pt>
                <c:pt idx="6">
                  <c:v>July</c:v>
                </c:pt>
                <c:pt idx="7">
                  <c:v>August</c:v>
                </c:pt>
                <c:pt idx="8">
                  <c:v>Sept</c:v>
                </c:pt>
                <c:pt idx="9">
                  <c:v>Oct</c:v>
                </c:pt>
                <c:pt idx="10">
                  <c:v>Nov</c:v>
                </c:pt>
                <c:pt idx="11">
                  <c:v>Dec</c:v>
                </c:pt>
              </c:strCache>
            </c:strRef>
          </c:cat>
          <c:val>
            <c:numRef>
              <c:f>'For SR Reports'!$B$115:$G$115</c:f>
              <c:numCache>
                <c:formatCode>0%</c:formatCode>
                <c:ptCount val="6"/>
                <c:pt idx="0">
                  <c:v>0.32</c:v>
                </c:pt>
                <c:pt idx="1">
                  <c:v>0.34</c:v>
                </c:pt>
                <c:pt idx="2">
                  <c:v>0.28000000000000003</c:v>
                </c:pt>
                <c:pt idx="3">
                  <c:v>0.17</c:v>
                </c:pt>
                <c:pt idx="4">
                  <c:v>0.18</c:v>
                </c:pt>
                <c:pt idx="5">
                  <c:v>0.25</c:v>
                </c:pt>
              </c:numCache>
            </c:numRef>
          </c:val>
          <c:smooth val="0"/>
          <c:extLst>
            <c:ext xmlns:c16="http://schemas.microsoft.com/office/drawing/2014/chart" uri="{C3380CC4-5D6E-409C-BE32-E72D297353CC}">
              <c16:uniqueId val="{00000001-3550-6C47-AFB4-6998FE1F640D}"/>
            </c:ext>
          </c:extLst>
        </c:ser>
        <c:dLbls>
          <c:showLegendKey val="0"/>
          <c:showVal val="1"/>
          <c:showCatName val="0"/>
          <c:showSerName val="0"/>
          <c:showPercent val="0"/>
          <c:showBubbleSize val="0"/>
        </c:dLbls>
        <c:smooth val="0"/>
        <c:axId val="134092288"/>
        <c:axId val="134093824"/>
      </c:lineChart>
      <c:catAx>
        <c:axId val="134092288"/>
        <c:scaling>
          <c:orientation val="minMax"/>
        </c:scaling>
        <c:delete val="0"/>
        <c:axPos val="b"/>
        <c:numFmt formatCode="General" sourceLinked="0"/>
        <c:majorTickMark val="none"/>
        <c:minorTickMark val="none"/>
        <c:tickLblPos val="nextTo"/>
        <c:crossAx val="134093824"/>
        <c:crosses val="autoZero"/>
        <c:auto val="1"/>
        <c:lblAlgn val="ctr"/>
        <c:lblOffset val="100"/>
        <c:noMultiLvlLbl val="0"/>
      </c:catAx>
      <c:valAx>
        <c:axId val="134093824"/>
        <c:scaling>
          <c:orientation val="minMax"/>
        </c:scaling>
        <c:delete val="1"/>
        <c:axPos val="l"/>
        <c:numFmt formatCode="0%" sourceLinked="1"/>
        <c:majorTickMark val="none"/>
        <c:minorTickMark val="none"/>
        <c:tickLblPos val="nextTo"/>
        <c:crossAx val="134092288"/>
        <c:crosses val="autoZero"/>
        <c:crossBetween val="between"/>
      </c:valAx>
    </c:plotArea>
    <c:legend>
      <c:legendPos val="t"/>
      <c:overlay val="0"/>
    </c:legend>
    <c:plotVisOnly val="1"/>
    <c:dispBlanksAs val="gap"/>
    <c:showDLblsOverMax val="0"/>
  </c:chart>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v>2014</c:v>
          </c:tx>
          <c:marker>
            <c:symbol val="none"/>
          </c:marker>
          <c:cat>
            <c:strRef>
              <c:f>'For SR Reports'!$C$3:$N$3</c:f>
              <c:strCache>
                <c:ptCount val="12"/>
                <c:pt idx="0">
                  <c:v>Jan</c:v>
                </c:pt>
                <c:pt idx="1">
                  <c:v>Feb</c:v>
                </c:pt>
                <c:pt idx="2">
                  <c:v>Mar</c:v>
                </c:pt>
                <c:pt idx="3">
                  <c:v>Apr</c:v>
                </c:pt>
                <c:pt idx="4">
                  <c:v>May</c:v>
                </c:pt>
                <c:pt idx="5">
                  <c:v>June</c:v>
                </c:pt>
                <c:pt idx="6">
                  <c:v>July</c:v>
                </c:pt>
                <c:pt idx="7">
                  <c:v>Aug</c:v>
                </c:pt>
                <c:pt idx="8">
                  <c:v>Sept</c:v>
                </c:pt>
                <c:pt idx="9">
                  <c:v>Oct</c:v>
                </c:pt>
                <c:pt idx="10">
                  <c:v>Nov</c:v>
                </c:pt>
                <c:pt idx="11">
                  <c:v>Dec</c:v>
                </c:pt>
              </c:strCache>
            </c:strRef>
          </c:cat>
          <c:val>
            <c:numRef>
              <c:f>'For SR Reports'!$C$14:$N$14</c:f>
              <c:numCache>
                <c:formatCode>0</c:formatCode>
                <c:ptCount val="12"/>
                <c:pt idx="0" formatCode="General">
                  <c:v>74</c:v>
                </c:pt>
                <c:pt idx="1">
                  <c:v>40</c:v>
                </c:pt>
                <c:pt idx="2">
                  <c:v>45</c:v>
                </c:pt>
                <c:pt idx="3">
                  <c:v>61</c:v>
                </c:pt>
                <c:pt idx="4">
                  <c:v>32</c:v>
                </c:pt>
                <c:pt idx="5">
                  <c:v>70</c:v>
                </c:pt>
                <c:pt idx="6">
                  <c:v>24</c:v>
                </c:pt>
                <c:pt idx="7">
                  <c:v>30</c:v>
                </c:pt>
                <c:pt idx="8">
                  <c:v>38</c:v>
                </c:pt>
                <c:pt idx="9">
                  <c:v>45</c:v>
                </c:pt>
                <c:pt idx="10">
                  <c:v>35</c:v>
                </c:pt>
                <c:pt idx="11">
                  <c:v>57</c:v>
                </c:pt>
              </c:numCache>
            </c:numRef>
          </c:val>
          <c:smooth val="0"/>
          <c:extLst>
            <c:ext xmlns:c16="http://schemas.microsoft.com/office/drawing/2014/chart" uri="{C3380CC4-5D6E-409C-BE32-E72D297353CC}">
              <c16:uniqueId val="{00000000-1F2A-784E-A314-78FB229FF74E}"/>
            </c:ext>
          </c:extLst>
        </c:ser>
        <c:ser>
          <c:idx val="1"/>
          <c:order val="1"/>
          <c:tx>
            <c:v>2015</c:v>
          </c:tx>
          <c:marker>
            <c:symbol val="none"/>
          </c:marker>
          <c:val>
            <c:numRef>
              <c:f>'For SR Reports'!$B$46:$M$46</c:f>
              <c:numCache>
                <c:formatCode>0</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1-1F2A-784E-A314-78FB229FF74E}"/>
            </c:ext>
          </c:extLst>
        </c:ser>
        <c:dLbls>
          <c:showLegendKey val="0"/>
          <c:showVal val="0"/>
          <c:showCatName val="0"/>
          <c:showSerName val="0"/>
          <c:showPercent val="0"/>
          <c:showBubbleSize val="0"/>
        </c:dLbls>
        <c:dropLines/>
        <c:smooth val="0"/>
        <c:axId val="134119808"/>
        <c:axId val="134121728"/>
      </c:lineChart>
      <c:catAx>
        <c:axId val="134119808"/>
        <c:scaling>
          <c:orientation val="minMax"/>
        </c:scaling>
        <c:delete val="0"/>
        <c:axPos val="b"/>
        <c:title>
          <c:overlay val="0"/>
        </c:title>
        <c:numFmt formatCode="General" sourceLinked="0"/>
        <c:majorTickMark val="none"/>
        <c:minorTickMark val="none"/>
        <c:tickLblPos val="nextTo"/>
        <c:crossAx val="134121728"/>
        <c:crosses val="autoZero"/>
        <c:auto val="1"/>
        <c:lblAlgn val="ctr"/>
        <c:lblOffset val="100"/>
        <c:noMultiLvlLbl val="0"/>
      </c:catAx>
      <c:valAx>
        <c:axId val="134121728"/>
        <c:scaling>
          <c:orientation val="minMax"/>
        </c:scaling>
        <c:delete val="0"/>
        <c:axPos val="l"/>
        <c:majorGridlines/>
        <c:title>
          <c:overlay val="0"/>
        </c:title>
        <c:numFmt formatCode="General" sourceLinked="1"/>
        <c:majorTickMark val="out"/>
        <c:minorTickMark val="none"/>
        <c:tickLblPos val="nextTo"/>
        <c:crossAx val="13411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sz="1200"/>
              <a:t>All Units Total for 2015</a:t>
            </a:r>
          </a:p>
        </c:rich>
      </c:tx>
      <c:overlay val="0"/>
    </c:title>
    <c:autoTitleDeleted val="0"/>
    <c:plotArea>
      <c:layout>
        <c:manualLayout>
          <c:layoutTarget val="inner"/>
          <c:xMode val="edge"/>
          <c:yMode val="edge"/>
          <c:x val="0.25333438074907105"/>
          <c:y val="8.422681362641786E-2"/>
          <c:w val="0.73450838970331955"/>
          <c:h val="0.30922357731164363"/>
        </c:manualLayout>
      </c:layout>
      <c:lineChart>
        <c:grouping val="standard"/>
        <c:varyColors val="0"/>
        <c:ser>
          <c:idx val="0"/>
          <c:order val="0"/>
          <c:tx>
            <c:strRef>
              <c:f>'Unit Stats'!$A$4</c:f>
              <c:strCache>
                <c:ptCount val="1"/>
                <c:pt idx="0">
                  <c:v>FALSE</c:v>
                </c:pt>
              </c:strCache>
            </c:strRef>
          </c:tx>
          <c:marker>
            <c:symbol val="none"/>
          </c:marker>
          <c:cat>
            <c:strRef>
              <c:f>'Unit Stats'!$B$3:$M$3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Stats'!$B$4:$M$4</c:f>
              <c:numCache>
                <c:formatCode>0</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0-30D8-C54A-8391-EC2522980A06}"/>
            </c:ext>
          </c:extLst>
        </c:ser>
        <c:ser>
          <c:idx val="1"/>
          <c:order val="1"/>
          <c:tx>
            <c:strRef>
              <c:f>'Unit Stats'!$A$7</c:f>
              <c:strCache>
                <c:ptCount val="1"/>
                <c:pt idx="0">
                  <c:v>TRUE</c:v>
                </c:pt>
              </c:strCache>
            </c:strRef>
          </c:tx>
          <c:marker>
            <c:symbol val="none"/>
          </c:marker>
          <c:cat>
            <c:strRef>
              <c:f>'Unit Stats'!$B$3:$M$3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Stats'!$B$7:$M$7</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1-30D8-C54A-8391-EC2522980A06}"/>
            </c:ext>
          </c:extLst>
        </c:ser>
        <c:ser>
          <c:idx val="2"/>
          <c:order val="2"/>
          <c:tx>
            <c:strRef>
              <c:f>'Unit Stats'!$A$12</c:f>
              <c:strCache>
                <c:ptCount val="1"/>
                <c:pt idx="0">
                  <c:v>INCONCLUSIVE</c:v>
                </c:pt>
              </c:strCache>
            </c:strRef>
          </c:tx>
          <c:marker>
            <c:symbol val="none"/>
          </c:marker>
          <c:cat>
            <c:strRef>
              <c:f>'Unit Stats'!$B$3:$M$3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Stats'!$B$12:$M$12</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2-30D8-C54A-8391-EC2522980A06}"/>
            </c:ext>
          </c:extLst>
        </c:ser>
        <c:ser>
          <c:idx val="3"/>
          <c:order val="3"/>
          <c:tx>
            <c:strRef>
              <c:f>'Unit Stats'!$A$13</c:f>
              <c:strCache>
                <c:ptCount val="1"/>
                <c:pt idx="0">
                  <c:v>Perception Complaints</c:v>
                </c:pt>
              </c:strCache>
            </c:strRef>
          </c:tx>
          <c:marker>
            <c:symbol val="none"/>
          </c:marker>
          <c:cat>
            <c:strRef>
              <c:f>'Unit Stats'!$B$3:$M$3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Stats'!$B$13:$M$13</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3-30D8-C54A-8391-EC2522980A06}"/>
            </c:ext>
          </c:extLst>
        </c:ser>
        <c:ser>
          <c:idx val="4"/>
          <c:order val="4"/>
          <c:tx>
            <c:strRef>
              <c:f>'Unit Stats'!$A$14</c:f>
              <c:strCache>
                <c:ptCount val="1"/>
                <c:pt idx="0">
                  <c:v>PENDING</c:v>
                </c:pt>
              </c:strCache>
            </c:strRef>
          </c:tx>
          <c:marker>
            <c:symbol val="none"/>
          </c:marker>
          <c:cat>
            <c:strRef>
              <c:f>'Unit Stats'!$B$3:$M$3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Stats'!$B$14:$M$14</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4-30D8-C54A-8391-EC2522980A06}"/>
            </c:ext>
          </c:extLst>
        </c:ser>
        <c:ser>
          <c:idx val="5"/>
          <c:order val="5"/>
          <c:tx>
            <c:strRef>
              <c:f>'Unit Stats'!$A$15</c:f>
              <c:strCache>
                <c:ptCount val="1"/>
                <c:pt idx="0">
                  <c:v>Total</c:v>
                </c:pt>
              </c:strCache>
            </c:strRef>
          </c:tx>
          <c:marker>
            <c:symbol val="none"/>
          </c:marker>
          <c:cat>
            <c:strRef>
              <c:f>'Unit Stats'!$B$3:$M$3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Stats'!$B$15:$M$15</c:f>
              <c:numCache>
                <c:formatCode>0</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5-30D8-C54A-8391-EC2522980A06}"/>
            </c:ext>
          </c:extLst>
        </c:ser>
        <c:dLbls>
          <c:showLegendKey val="0"/>
          <c:showVal val="0"/>
          <c:showCatName val="0"/>
          <c:showSerName val="0"/>
          <c:showPercent val="0"/>
          <c:showBubbleSize val="0"/>
        </c:dLbls>
        <c:dropLines/>
        <c:smooth val="0"/>
        <c:axId val="126893056"/>
        <c:axId val="126907136"/>
      </c:lineChart>
      <c:catAx>
        <c:axId val="126893056"/>
        <c:scaling>
          <c:orientation val="minMax"/>
        </c:scaling>
        <c:delete val="0"/>
        <c:axPos val="b"/>
        <c:numFmt formatCode="General" sourceLinked="0"/>
        <c:majorTickMark val="none"/>
        <c:minorTickMark val="none"/>
        <c:tickLblPos val="nextTo"/>
        <c:crossAx val="126907136"/>
        <c:crosses val="autoZero"/>
        <c:auto val="1"/>
        <c:lblAlgn val="ctr"/>
        <c:lblOffset val="100"/>
        <c:noMultiLvlLbl val="0"/>
      </c:catAx>
      <c:valAx>
        <c:axId val="126907136"/>
        <c:scaling>
          <c:orientation val="minMax"/>
        </c:scaling>
        <c:delete val="0"/>
        <c:axPos val="l"/>
        <c:majorGridlines>
          <c:spPr>
            <a:ln w="9525" cap="flat" cmpd="sng" algn="ctr">
              <a:solidFill>
                <a:schemeClr val="accent1">
                  <a:shade val="95000"/>
                  <a:satMod val="105000"/>
                </a:schemeClr>
              </a:solidFill>
              <a:prstDash val="solid"/>
            </a:ln>
            <a:effectLst/>
          </c:spPr>
        </c:majorGridlines>
        <c:numFmt formatCode="0" sourceLinked="1"/>
        <c:majorTickMark val="none"/>
        <c:minorTickMark val="none"/>
        <c:tickLblPos val="nextTo"/>
        <c:crossAx val="126893056"/>
        <c:crosses val="autoZero"/>
        <c:crossBetween val="between"/>
      </c:valAx>
      <c:dTable>
        <c:showHorzBorder val="1"/>
        <c:showVertBorder val="1"/>
        <c:showOutline val="1"/>
        <c:showKeys val="1"/>
      </c:dTable>
    </c:plotArea>
    <c:plotVisOnly val="1"/>
    <c:dispBlanksAs val="gap"/>
    <c:showDLblsOverMax val="0"/>
  </c:chart>
  <c:printSettings>
    <c:headerFooter>
      <c:oddHeader>&amp;LGrievance Reports for 2015&amp;R&amp;P</c:oddHeader>
    </c:headerFooter>
    <c:pageMargins b="0.75" l="0.7" r="0.7" t="0.75" header="0.3" footer="0.3"/>
    <c:pageSetup orientation="portrait"/>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en-US" sz="1200"/>
              <a:t>All Units Total  - Grievance</a:t>
            </a:r>
            <a:r>
              <a:rPr lang="en-US" sz="1200" baseline="0"/>
              <a:t> Outcomes</a:t>
            </a:r>
            <a:endParaRPr lang="en-US" sz="1200"/>
          </a:p>
        </c:rich>
      </c:tx>
      <c:overlay val="0"/>
    </c:title>
    <c:autoTitleDeleted val="0"/>
    <c:plotArea>
      <c:layout/>
      <c:pieChart>
        <c:varyColors val="1"/>
        <c:ser>
          <c:idx val="0"/>
          <c:order val="0"/>
          <c:dPt>
            <c:idx val="0"/>
            <c:bubble3D val="0"/>
            <c:extLst>
              <c:ext xmlns:c16="http://schemas.microsoft.com/office/drawing/2014/chart" uri="{C3380CC4-5D6E-409C-BE32-E72D297353CC}">
                <c16:uniqueId val="{00000000-4372-49B2-AE96-582F45137B86}"/>
              </c:ext>
            </c:extLst>
          </c:dPt>
          <c:dPt>
            <c:idx val="1"/>
            <c:bubble3D val="0"/>
            <c:extLst>
              <c:ext xmlns:c16="http://schemas.microsoft.com/office/drawing/2014/chart" uri="{C3380CC4-5D6E-409C-BE32-E72D297353CC}">
                <c16:uniqueId val="{00000001-4372-49B2-AE96-582F45137B86}"/>
              </c:ext>
            </c:extLst>
          </c:dPt>
          <c:dPt>
            <c:idx val="2"/>
            <c:bubble3D val="0"/>
            <c:extLst>
              <c:ext xmlns:c16="http://schemas.microsoft.com/office/drawing/2014/chart" uri="{C3380CC4-5D6E-409C-BE32-E72D297353CC}">
                <c16:uniqueId val="{00000002-4372-49B2-AE96-582F45137B86}"/>
              </c:ext>
            </c:extLst>
          </c:dPt>
          <c:dPt>
            <c:idx val="3"/>
            <c:bubble3D val="0"/>
            <c:extLst>
              <c:ext xmlns:c16="http://schemas.microsoft.com/office/drawing/2014/chart" uri="{C3380CC4-5D6E-409C-BE32-E72D297353CC}">
                <c16:uniqueId val="{00000003-4372-49B2-AE96-582F45137B86}"/>
              </c:ext>
            </c:extLst>
          </c:dPt>
          <c:dPt>
            <c:idx val="4"/>
            <c:bubble3D val="0"/>
            <c:extLst>
              <c:ext xmlns:c16="http://schemas.microsoft.com/office/drawing/2014/chart" uri="{C3380CC4-5D6E-409C-BE32-E72D297353CC}">
                <c16:uniqueId val="{00000004-4372-49B2-AE96-582F45137B86}"/>
              </c:ext>
            </c:extLst>
          </c:dPt>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Stats'!$A$4,'Unit Stats'!$A$7,'Unit Stats'!$A$12:$A$14)</c:f>
              <c:strCache>
                <c:ptCount val="5"/>
                <c:pt idx="0">
                  <c:v>FALSE</c:v>
                </c:pt>
                <c:pt idx="1">
                  <c:v>TRUE</c:v>
                </c:pt>
                <c:pt idx="2">
                  <c:v>INCONCLUSIVE</c:v>
                </c:pt>
                <c:pt idx="3">
                  <c:v>Perception Complaints</c:v>
                </c:pt>
                <c:pt idx="4">
                  <c:v>PENDING</c:v>
                </c:pt>
              </c:strCache>
            </c:strRef>
          </c:cat>
          <c:val>
            <c:numRef>
              <c:f>('Unit Stats'!$N$4,'Unit Stats'!$N$7,'Unit Stats'!$N$12:$N$14)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89CD-8E42-8F97-B09DB3801CC1}"/>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1"/>
    </mc:Choice>
    <mc:Fallback>
      <c:style val="11"/>
    </mc:Fallback>
  </mc:AlternateContent>
  <c:chart>
    <c:title>
      <c:tx>
        <c:rich>
          <a:bodyPr/>
          <a:lstStyle/>
          <a:p>
            <a:pPr>
              <a:defRPr/>
            </a:pPr>
            <a:r>
              <a:rPr lang="en-US" sz="1200"/>
              <a:t>All Units: False Grievances for 2015</a:t>
            </a:r>
          </a:p>
        </c:rich>
      </c:tx>
      <c:layout>
        <c:manualLayout>
          <c:xMode val="edge"/>
          <c:yMode val="edge"/>
          <c:x val="0.15945854483925551"/>
          <c:y val="0"/>
        </c:manualLayout>
      </c:layout>
      <c:overlay val="0"/>
    </c:title>
    <c:autoTitleDeleted val="0"/>
    <c:plotArea>
      <c:layout/>
      <c:pieChart>
        <c:varyColors val="1"/>
        <c:ser>
          <c:idx val="0"/>
          <c:order val="0"/>
          <c:tx>
            <c:v>Of the False Grievances</c:v>
          </c:tx>
          <c:dPt>
            <c:idx val="0"/>
            <c:bubble3D val="0"/>
            <c:extLst>
              <c:ext xmlns:c16="http://schemas.microsoft.com/office/drawing/2014/chart" uri="{C3380CC4-5D6E-409C-BE32-E72D297353CC}">
                <c16:uniqueId val="{00000000-B581-420E-858A-99DED55341CB}"/>
              </c:ext>
            </c:extLst>
          </c:dPt>
          <c:dPt>
            <c:idx val="1"/>
            <c:bubble3D val="0"/>
            <c:extLst>
              <c:ext xmlns:c16="http://schemas.microsoft.com/office/drawing/2014/chart" uri="{C3380CC4-5D6E-409C-BE32-E72D297353CC}">
                <c16:uniqueId val="{00000001-B581-420E-858A-99DED55341CB}"/>
              </c:ext>
            </c:extLst>
          </c:dPt>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Stats'!$A$5:$A$6</c:f>
              <c:strCache>
                <c:ptCount val="2"/>
                <c:pt idx="0">
                  <c:v>Deliberate</c:v>
                </c:pt>
                <c:pt idx="1">
                  <c:v>Misunderstanding</c:v>
                </c:pt>
              </c:strCache>
            </c:strRef>
          </c:cat>
          <c:val>
            <c:numRef>
              <c:f>'Unit Stats'!$N$5:$N$6</c:f>
              <c:numCache>
                <c:formatCode>0</c:formatCode>
                <c:ptCount val="2"/>
                <c:pt idx="0">
                  <c:v>0</c:v>
                </c:pt>
                <c:pt idx="1">
                  <c:v>0</c:v>
                </c:pt>
              </c:numCache>
            </c:numRef>
          </c:val>
          <c:extLst>
            <c:ext xmlns:c16="http://schemas.microsoft.com/office/drawing/2014/chart" uri="{C3380CC4-5D6E-409C-BE32-E72D297353CC}">
              <c16:uniqueId val="{00000000-887C-6749-A5CC-F1E12EDAAF40}"/>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2"/>
    </mc:Choice>
    <mc:Fallback>
      <c:style val="12"/>
    </mc:Fallback>
  </mc:AlternateContent>
  <c:chart>
    <c:title>
      <c:tx>
        <c:rich>
          <a:bodyPr/>
          <a:lstStyle/>
          <a:p>
            <a:pPr>
              <a:defRPr/>
            </a:pPr>
            <a:r>
              <a:rPr lang="en-US" sz="1200"/>
              <a:t>All Units: True Grievances for 2015</a:t>
            </a:r>
          </a:p>
        </c:rich>
      </c:tx>
      <c:layout>
        <c:manualLayout>
          <c:xMode val="edge"/>
          <c:yMode val="edge"/>
          <c:x val="8.5372492995337612E-2"/>
          <c:y val="0"/>
        </c:manualLayout>
      </c:layout>
      <c:overlay val="0"/>
    </c:title>
    <c:autoTitleDeleted val="0"/>
    <c:plotArea>
      <c:layout/>
      <c:pieChart>
        <c:varyColors val="1"/>
        <c:ser>
          <c:idx val="0"/>
          <c:order val="0"/>
          <c:tx>
            <c:strRef>
              <c:f>'Unit Stats'!$A$7</c:f>
              <c:strCache>
                <c:ptCount val="1"/>
                <c:pt idx="0">
                  <c:v>TRUE</c:v>
                </c:pt>
              </c:strCache>
            </c:strRef>
          </c:tx>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Stats'!$A$8:$A$11</c:f>
              <c:strCache>
                <c:ptCount val="4"/>
                <c:pt idx="0">
                  <c:v>Rights Violation</c:v>
                </c:pt>
                <c:pt idx="1">
                  <c:v>Policy Violation</c:v>
                </c:pt>
                <c:pt idx="2">
                  <c:v>Anti-Therapeutic</c:v>
                </c:pt>
                <c:pt idx="3">
                  <c:v>Other/ Misc</c:v>
                </c:pt>
              </c:strCache>
            </c:strRef>
          </c:cat>
          <c:val>
            <c:numRef>
              <c:f>'Unit Stats'!$N$8:$N$11</c:f>
              <c:numCache>
                <c:formatCode>0</c:formatCode>
                <c:ptCount val="4"/>
                <c:pt idx="0">
                  <c:v>0</c:v>
                </c:pt>
                <c:pt idx="1">
                  <c:v>0</c:v>
                </c:pt>
                <c:pt idx="2">
                  <c:v>0</c:v>
                </c:pt>
                <c:pt idx="3">
                  <c:v>0</c:v>
                </c:pt>
              </c:numCache>
            </c:numRef>
          </c:val>
          <c:extLst>
            <c:ext xmlns:c16="http://schemas.microsoft.com/office/drawing/2014/chart" uri="{C3380CC4-5D6E-409C-BE32-E72D297353CC}">
              <c16:uniqueId val="{00000000-5F50-FD4C-A028-6F08E60CA88C}"/>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727211973246674E-2"/>
          <c:y val="3.0937007222701384E-2"/>
          <c:w val="0.82225948142519145"/>
          <c:h val="0.75351566564756134"/>
        </c:manualLayout>
      </c:layout>
      <c:lineChart>
        <c:grouping val="standard"/>
        <c:varyColors val="0"/>
        <c:ser>
          <c:idx val="0"/>
          <c:order val="0"/>
          <c:tx>
            <c:strRef>
              <c:f>'Times per unit'!$A$9</c:f>
              <c:strCache>
                <c:ptCount val="1"/>
                <c:pt idx="0">
                  <c:v>Amount of alleged incidents within each time period</c:v>
                </c:pt>
              </c:strCache>
            </c:strRef>
          </c:tx>
          <c:marker>
            <c:symbol val="none"/>
          </c:marker>
          <c:cat>
            <c:strRef>
              <c:f>'Times per unit'!$A$11:$A$34</c:f>
              <c:strCache>
                <c:ptCount val="24"/>
                <c:pt idx="0">
                  <c:v>12:00 to 12:59 AM</c:v>
                </c:pt>
                <c:pt idx="1">
                  <c:v>1:00 to 1:59 AM</c:v>
                </c:pt>
                <c:pt idx="2">
                  <c:v>2:00 to 2:59 AM</c:v>
                </c:pt>
                <c:pt idx="3">
                  <c:v>3:00 to 3:59 AM</c:v>
                </c:pt>
                <c:pt idx="4">
                  <c:v>4:00 to 4:59 AM</c:v>
                </c:pt>
                <c:pt idx="5">
                  <c:v>5:00 to 5:59 AM</c:v>
                </c:pt>
                <c:pt idx="6">
                  <c:v>6:00 to 6:59 AM</c:v>
                </c:pt>
                <c:pt idx="7">
                  <c:v>7:00 to 7:59 AM</c:v>
                </c:pt>
                <c:pt idx="8">
                  <c:v>8:00 to 8:59 AM</c:v>
                </c:pt>
                <c:pt idx="9">
                  <c:v>9:00 to 9:59 AM</c:v>
                </c:pt>
                <c:pt idx="10">
                  <c:v>10:00 to 10:59 AM</c:v>
                </c:pt>
                <c:pt idx="11">
                  <c:v>11:00 to 11:59 AM</c:v>
                </c:pt>
                <c:pt idx="12">
                  <c:v>12:00 to 12:59 PM</c:v>
                </c:pt>
                <c:pt idx="13">
                  <c:v>1:00 to 1:59 PM</c:v>
                </c:pt>
                <c:pt idx="14">
                  <c:v>2:00 to 2:59 PM</c:v>
                </c:pt>
                <c:pt idx="15">
                  <c:v>3:00 to 3:59 PM</c:v>
                </c:pt>
                <c:pt idx="16">
                  <c:v>4:00 to 4:59 PM</c:v>
                </c:pt>
                <c:pt idx="17">
                  <c:v>5:00 to 5:59 PM</c:v>
                </c:pt>
                <c:pt idx="18">
                  <c:v>6:00 to 6:59 PM</c:v>
                </c:pt>
                <c:pt idx="19">
                  <c:v>7:00 to 7:59 PM</c:v>
                </c:pt>
                <c:pt idx="20">
                  <c:v>8:00 to 8:59 PM</c:v>
                </c:pt>
                <c:pt idx="21">
                  <c:v>9:00 to 9:59 PM</c:v>
                </c:pt>
                <c:pt idx="22">
                  <c:v>10:00 to 10:59 PM</c:v>
                </c:pt>
                <c:pt idx="23">
                  <c:v>11:00 to 11:59 PM</c:v>
                </c:pt>
              </c:strCache>
            </c:strRef>
          </c:cat>
          <c:val>
            <c:numRef>
              <c:f>'Times per unit'!$B$11:$B$34</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0-4E5F-CE45-A65A-C235E012EF72}"/>
            </c:ext>
          </c:extLst>
        </c:ser>
        <c:dLbls>
          <c:showLegendKey val="0"/>
          <c:showVal val="0"/>
          <c:showCatName val="0"/>
          <c:showSerName val="0"/>
          <c:showPercent val="0"/>
          <c:showBubbleSize val="0"/>
        </c:dLbls>
        <c:dropLines/>
        <c:smooth val="0"/>
        <c:axId val="134551424"/>
        <c:axId val="134552960"/>
      </c:lineChart>
      <c:catAx>
        <c:axId val="134551424"/>
        <c:scaling>
          <c:orientation val="minMax"/>
        </c:scaling>
        <c:delete val="0"/>
        <c:axPos val="b"/>
        <c:numFmt formatCode="General" sourceLinked="0"/>
        <c:majorTickMark val="none"/>
        <c:minorTickMark val="none"/>
        <c:tickLblPos val="nextTo"/>
        <c:crossAx val="134552960"/>
        <c:crosses val="autoZero"/>
        <c:auto val="1"/>
        <c:lblAlgn val="ctr"/>
        <c:lblOffset val="100"/>
        <c:noMultiLvlLbl val="0"/>
      </c:catAx>
      <c:valAx>
        <c:axId val="134552960"/>
        <c:scaling>
          <c:orientation val="minMax"/>
        </c:scaling>
        <c:delete val="0"/>
        <c:axPos val="l"/>
        <c:majorGridlines/>
        <c:numFmt formatCode="General" sourceLinked="1"/>
        <c:majorTickMark val="out"/>
        <c:minorTickMark val="none"/>
        <c:tickLblPos val="nextTo"/>
        <c:crossAx val="134551424"/>
        <c:crosses val="autoZero"/>
        <c:crossBetween val="between"/>
      </c:valAx>
    </c:plotArea>
    <c:legend>
      <c:legendPos val="r"/>
      <c:layout>
        <c:manualLayout>
          <c:xMode val="edge"/>
          <c:yMode val="edge"/>
          <c:x val="0.85603529024990976"/>
          <c:y val="0.20730353139831317"/>
          <c:w val="0.13575115738869398"/>
          <c:h val="0.52130377669677752"/>
        </c:manualLayout>
      </c:layout>
      <c:overlay val="0"/>
    </c:legend>
    <c:plotVisOnly val="1"/>
    <c:dispBlanksAs val="gap"/>
    <c:showDLblsOverMax val="0"/>
  </c:chart>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Grievances/Complaints Occurred on:</c:v>
          </c:tx>
          <c:invertIfNegative val="0"/>
          <c:cat>
            <c:strRef>
              <c:f>'Times per unit'!$A$39:$A$46</c:f>
              <c:strCache>
                <c:ptCount val="8"/>
                <c:pt idx="0">
                  <c:v>Monday</c:v>
                </c:pt>
                <c:pt idx="1">
                  <c:v>Tuesday</c:v>
                </c:pt>
                <c:pt idx="2">
                  <c:v>Wednesday</c:v>
                </c:pt>
                <c:pt idx="3">
                  <c:v>Thursday</c:v>
                </c:pt>
                <c:pt idx="4">
                  <c:v>Friday</c:v>
                </c:pt>
                <c:pt idx="5">
                  <c:v>Saturday</c:v>
                </c:pt>
                <c:pt idx="6">
                  <c:v>Sunday</c:v>
                </c:pt>
                <c:pt idx="7">
                  <c:v>Over a period of time</c:v>
                </c:pt>
              </c:strCache>
            </c:strRef>
          </c:cat>
          <c:val>
            <c:numRef>
              <c:f>'Times per unit'!$B$39:$B$46</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AFE6-7F49-907C-2414DC9A5422}"/>
            </c:ext>
          </c:extLst>
        </c:ser>
        <c:dLbls>
          <c:showLegendKey val="0"/>
          <c:showVal val="0"/>
          <c:showCatName val="0"/>
          <c:showSerName val="0"/>
          <c:showPercent val="0"/>
          <c:showBubbleSize val="0"/>
        </c:dLbls>
        <c:gapWidth val="150"/>
        <c:axId val="134564864"/>
        <c:axId val="134578944"/>
      </c:barChart>
      <c:catAx>
        <c:axId val="134564864"/>
        <c:scaling>
          <c:orientation val="minMax"/>
        </c:scaling>
        <c:delete val="0"/>
        <c:axPos val="b"/>
        <c:numFmt formatCode="General" sourceLinked="0"/>
        <c:majorTickMark val="out"/>
        <c:minorTickMark val="none"/>
        <c:tickLblPos val="nextTo"/>
        <c:crossAx val="134578944"/>
        <c:crosses val="autoZero"/>
        <c:auto val="1"/>
        <c:lblAlgn val="ctr"/>
        <c:lblOffset val="100"/>
        <c:noMultiLvlLbl val="0"/>
      </c:catAx>
      <c:valAx>
        <c:axId val="134578944"/>
        <c:scaling>
          <c:orientation val="minMax"/>
        </c:scaling>
        <c:delete val="0"/>
        <c:axPos val="l"/>
        <c:majorGridlines/>
        <c:numFmt formatCode="General" sourceLinked="1"/>
        <c:majorTickMark val="out"/>
        <c:minorTickMark val="none"/>
        <c:tickLblPos val="nextTo"/>
        <c:crossAx val="134564864"/>
        <c:crosses val="autoZero"/>
        <c:crossBetween val="between"/>
      </c:valAx>
    </c:plotArea>
    <c:plotVisOnly val="1"/>
    <c:dispBlanksAs val="gap"/>
    <c:showDLblsOverMax val="0"/>
  </c:chart>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Where alleged incidents occur</c:v>
          </c:tx>
          <c:invertIfNegative val="0"/>
          <c:cat>
            <c:strRef>
              <c:f>'General Stats'!$A$7:$A$17</c:f>
              <c:strCache>
                <c:ptCount val="11"/>
                <c:pt idx="0">
                  <c:v>Bathroom</c:v>
                </c:pt>
                <c:pt idx="1">
                  <c:v>Bedroom</c:v>
                </c:pt>
                <c:pt idx="2">
                  <c:v>Cafeteria</c:v>
                </c:pt>
                <c:pt idx="3">
                  <c:v>Classroom</c:v>
                </c:pt>
                <c:pt idx="4">
                  <c:v>Closet</c:v>
                </c:pt>
                <c:pt idx="5">
                  <c:v>Dayroom</c:v>
                </c:pt>
                <c:pt idx="6">
                  <c:v>Hallway</c:v>
                </c:pt>
                <c:pt idx="7">
                  <c:v>Control Station</c:v>
                </c:pt>
                <c:pt idx="8">
                  <c:v>Front Field</c:v>
                </c:pt>
                <c:pt idx="9">
                  <c:v>Stairwell</c:v>
                </c:pt>
                <c:pt idx="10">
                  <c:v>General Unit</c:v>
                </c:pt>
              </c:strCache>
            </c:strRef>
          </c:cat>
          <c:val>
            <c:numRef>
              <c:f>'General Stats'!$B$7:$B$17</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BE40-FD47-A80C-DD4DF1B7C12C}"/>
            </c:ext>
          </c:extLst>
        </c:ser>
        <c:dLbls>
          <c:showLegendKey val="0"/>
          <c:showVal val="0"/>
          <c:showCatName val="0"/>
          <c:showSerName val="0"/>
          <c:showPercent val="0"/>
          <c:showBubbleSize val="0"/>
        </c:dLbls>
        <c:gapWidth val="150"/>
        <c:axId val="133431680"/>
        <c:axId val="133433216"/>
      </c:barChart>
      <c:catAx>
        <c:axId val="133431680"/>
        <c:scaling>
          <c:orientation val="minMax"/>
        </c:scaling>
        <c:delete val="0"/>
        <c:axPos val="b"/>
        <c:numFmt formatCode="General" sourceLinked="0"/>
        <c:majorTickMark val="out"/>
        <c:minorTickMark val="none"/>
        <c:tickLblPos val="nextTo"/>
        <c:crossAx val="133433216"/>
        <c:crosses val="autoZero"/>
        <c:auto val="1"/>
        <c:lblAlgn val="ctr"/>
        <c:lblOffset val="100"/>
        <c:noMultiLvlLbl val="0"/>
      </c:catAx>
      <c:valAx>
        <c:axId val="133433216"/>
        <c:scaling>
          <c:orientation val="minMax"/>
        </c:scaling>
        <c:delete val="0"/>
        <c:axPos val="l"/>
        <c:majorGridlines/>
        <c:numFmt formatCode="General" sourceLinked="1"/>
        <c:majorTickMark val="out"/>
        <c:minorTickMark val="none"/>
        <c:tickLblPos val="nextTo"/>
        <c:crossAx val="133431680"/>
        <c:crosses val="autoZero"/>
        <c:crossBetween val="between"/>
      </c:valAx>
    </c:plotArea>
    <c:plotVisOnly val="1"/>
    <c:dispBlanksAs val="gap"/>
    <c:showDLblsOverMax val="0"/>
  </c:chart>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New Choices Grievances</a:t>
            </a:r>
          </a:p>
        </c:rich>
      </c:tx>
      <c:overlay val="0"/>
    </c:title>
    <c:autoTitleDeleted val="0"/>
    <c:plotArea>
      <c:layout/>
      <c:lineChart>
        <c:grouping val="standard"/>
        <c:varyColors val="0"/>
        <c:ser>
          <c:idx val="0"/>
          <c:order val="0"/>
          <c:tx>
            <c:strRef>
              <c:f>'Unit Stats'!$A$18</c:f>
              <c:strCache>
                <c:ptCount val="1"/>
                <c:pt idx="0">
                  <c:v>FALSE</c:v>
                </c:pt>
              </c:strCache>
            </c:strRef>
          </c:tx>
          <c:marker>
            <c:symbol val="none"/>
          </c:marker>
          <c:cat>
            <c:strRef>
              <c:f>'Unit Stats'!$B$17:$M$17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Stats'!$B$18:$M$18</c:f>
              <c:numCache>
                <c:formatCode>0</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0-9442-FD44-AB69-D3AEE3CBA48E}"/>
            </c:ext>
          </c:extLst>
        </c:ser>
        <c:ser>
          <c:idx val="1"/>
          <c:order val="1"/>
          <c:tx>
            <c:strRef>
              <c:f>'Unit Stats'!$A$21</c:f>
              <c:strCache>
                <c:ptCount val="1"/>
                <c:pt idx="0">
                  <c:v>TRUE</c:v>
                </c:pt>
              </c:strCache>
            </c:strRef>
          </c:tx>
          <c:marker>
            <c:symbol val="none"/>
          </c:marker>
          <c:cat>
            <c:strRef>
              <c:f>'Unit Stats'!$B$17:$M$17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Stats'!$B$21:$M$21</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1-9442-FD44-AB69-D3AEE3CBA48E}"/>
            </c:ext>
          </c:extLst>
        </c:ser>
        <c:ser>
          <c:idx val="2"/>
          <c:order val="2"/>
          <c:tx>
            <c:strRef>
              <c:f>'Unit Stats'!$A$26</c:f>
              <c:strCache>
                <c:ptCount val="1"/>
                <c:pt idx="0">
                  <c:v>INCONCLUSIVE</c:v>
                </c:pt>
              </c:strCache>
            </c:strRef>
          </c:tx>
          <c:marker>
            <c:symbol val="none"/>
          </c:marker>
          <c:cat>
            <c:strRef>
              <c:f>'Unit Stats'!$B$17:$M$17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Stats'!$B$26:$M$26</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2-9442-FD44-AB69-D3AEE3CBA48E}"/>
            </c:ext>
          </c:extLst>
        </c:ser>
        <c:ser>
          <c:idx val="3"/>
          <c:order val="3"/>
          <c:tx>
            <c:strRef>
              <c:f>'Unit Stats'!$A$27</c:f>
              <c:strCache>
                <c:ptCount val="1"/>
                <c:pt idx="0">
                  <c:v>Perception Complaints</c:v>
                </c:pt>
              </c:strCache>
            </c:strRef>
          </c:tx>
          <c:marker>
            <c:symbol val="none"/>
          </c:marker>
          <c:cat>
            <c:strRef>
              <c:f>'Unit Stats'!$B$17:$M$17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Stats'!$B$27:$M$27</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3-9442-FD44-AB69-D3AEE3CBA48E}"/>
            </c:ext>
          </c:extLst>
        </c:ser>
        <c:ser>
          <c:idx val="4"/>
          <c:order val="4"/>
          <c:tx>
            <c:strRef>
              <c:f>'Unit Stats'!$A$28</c:f>
              <c:strCache>
                <c:ptCount val="1"/>
                <c:pt idx="0">
                  <c:v>PENDING</c:v>
                </c:pt>
              </c:strCache>
            </c:strRef>
          </c:tx>
          <c:marker>
            <c:symbol val="none"/>
          </c:marker>
          <c:cat>
            <c:strRef>
              <c:f>'Unit Stats'!$B$17:$M$17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Stats'!$B$28:$M$28</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4-9442-FD44-AB69-D3AEE3CBA48E}"/>
            </c:ext>
          </c:extLst>
        </c:ser>
        <c:ser>
          <c:idx val="5"/>
          <c:order val="5"/>
          <c:tx>
            <c:strRef>
              <c:f>'Unit Stats'!$A$29</c:f>
              <c:strCache>
                <c:ptCount val="1"/>
                <c:pt idx="0">
                  <c:v>Total</c:v>
                </c:pt>
              </c:strCache>
            </c:strRef>
          </c:tx>
          <c:marker>
            <c:symbol val="none"/>
          </c:marker>
          <c:val>
            <c:numRef>
              <c:f>'Unit Stats'!$B$29:$M$29</c:f>
              <c:numCache>
                <c:formatCode>0</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5-9442-FD44-AB69-D3AEE3CBA48E}"/>
            </c:ext>
          </c:extLst>
        </c:ser>
        <c:dLbls>
          <c:showLegendKey val="0"/>
          <c:showVal val="0"/>
          <c:showCatName val="0"/>
          <c:showSerName val="0"/>
          <c:showPercent val="0"/>
          <c:showBubbleSize val="0"/>
        </c:dLbls>
        <c:smooth val="0"/>
        <c:axId val="133477888"/>
        <c:axId val="133479424"/>
      </c:lineChart>
      <c:catAx>
        <c:axId val="133477888"/>
        <c:scaling>
          <c:orientation val="minMax"/>
        </c:scaling>
        <c:delete val="0"/>
        <c:axPos val="b"/>
        <c:numFmt formatCode="General" sourceLinked="0"/>
        <c:majorTickMark val="none"/>
        <c:minorTickMark val="none"/>
        <c:tickLblPos val="nextTo"/>
        <c:crossAx val="133479424"/>
        <c:crosses val="autoZero"/>
        <c:auto val="1"/>
        <c:lblAlgn val="ctr"/>
        <c:lblOffset val="100"/>
        <c:noMultiLvlLbl val="0"/>
      </c:catAx>
      <c:valAx>
        <c:axId val="133479424"/>
        <c:scaling>
          <c:orientation val="minMax"/>
        </c:scaling>
        <c:delete val="0"/>
        <c:axPos val="l"/>
        <c:majorGridlines/>
        <c:numFmt formatCode="0" sourceLinked="1"/>
        <c:majorTickMark val="none"/>
        <c:minorTickMark val="none"/>
        <c:tickLblPos val="nextTo"/>
        <c:crossAx val="133477888"/>
        <c:crosses val="autoZero"/>
        <c:crossBetween val="between"/>
      </c:valAx>
      <c:dTable>
        <c:showHorzBorder val="1"/>
        <c:showVertBorder val="1"/>
        <c:showOutline val="1"/>
        <c:showKeys val="1"/>
      </c:dTable>
    </c:plotArea>
    <c:plotVisOnly val="1"/>
    <c:dispBlanksAs val="gap"/>
    <c:showDLblsOverMax val="0"/>
  </c:chart>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en-US"/>
              <a:t>New</a:t>
            </a:r>
            <a:r>
              <a:rPr lang="en-US" baseline="0"/>
              <a:t> Choices - Grievances for 2015</a:t>
            </a:r>
            <a:endParaRPr lang="en-US"/>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Stats'!$A$18,'Unit Stats'!$A$21,'Unit Stats'!$A$26:$A$28)</c:f>
              <c:strCache>
                <c:ptCount val="5"/>
                <c:pt idx="0">
                  <c:v>FALSE</c:v>
                </c:pt>
                <c:pt idx="1">
                  <c:v>TRUE</c:v>
                </c:pt>
                <c:pt idx="2">
                  <c:v>INCONCLUSIVE</c:v>
                </c:pt>
                <c:pt idx="3">
                  <c:v>Perception Complaints</c:v>
                </c:pt>
                <c:pt idx="4">
                  <c:v>PENDING</c:v>
                </c:pt>
              </c:strCache>
            </c:strRef>
          </c:cat>
          <c:val>
            <c:numRef>
              <c:f>('Unit Stats'!$N$18,'Unit Stats'!$N$21,'Unit Stats'!$N$26:$N$28)</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C6DA-DE4A-8906-70AA34FD690C}"/>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1"/>
    </mc:Choice>
    <mc:Fallback>
      <c:style val="11"/>
    </mc:Fallback>
  </mc:AlternateContent>
  <c:chart>
    <c:title>
      <c:tx>
        <c:rich>
          <a:bodyPr/>
          <a:lstStyle/>
          <a:p>
            <a:pPr>
              <a:defRPr/>
            </a:pPr>
            <a:r>
              <a:rPr lang="en-US"/>
              <a:t>New Choices: False Grievances for 2015</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Stats'!$A$19:$A$20</c:f>
              <c:strCache>
                <c:ptCount val="2"/>
                <c:pt idx="0">
                  <c:v>Deliberate</c:v>
                </c:pt>
                <c:pt idx="1">
                  <c:v>Misunderstanding</c:v>
                </c:pt>
              </c:strCache>
            </c:strRef>
          </c:cat>
          <c:val>
            <c:numRef>
              <c:f>'Unit Stats'!$N$19:$N$20</c:f>
              <c:numCache>
                <c:formatCode>0</c:formatCode>
                <c:ptCount val="2"/>
                <c:pt idx="0">
                  <c:v>0</c:v>
                </c:pt>
                <c:pt idx="1">
                  <c:v>0</c:v>
                </c:pt>
              </c:numCache>
            </c:numRef>
          </c:val>
          <c:extLst>
            <c:ext xmlns:c16="http://schemas.microsoft.com/office/drawing/2014/chart" uri="{C3380CC4-5D6E-409C-BE32-E72D297353CC}">
              <c16:uniqueId val="{00000000-6BFF-9A49-A648-91BCA180B3AA}"/>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2"/>
    </mc:Choice>
    <mc:Fallback>
      <c:style val="12"/>
    </mc:Fallback>
  </mc:AlternateContent>
  <c:chart>
    <c:title>
      <c:tx>
        <c:rich>
          <a:bodyPr/>
          <a:lstStyle/>
          <a:p>
            <a:pPr>
              <a:defRPr/>
            </a:pPr>
            <a:r>
              <a:rPr lang="en-US"/>
              <a:t>New Choices: True Grievances for 2015</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Stats'!$A$22:$A$25</c:f>
              <c:strCache>
                <c:ptCount val="4"/>
                <c:pt idx="0">
                  <c:v>Rights Violation</c:v>
                </c:pt>
                <c:pt idx="1">
                  <c:v>Policy Violation</c:v>
                </c:pt>
                <c:pt idx="2">
                  <c:v>Anti-Therapeutic</c:v>
                </c:pt>
                <c:pt idx="3">
                  <c:v>Other/ Misc</c:v>
                </c:pt>
              </c:strCache>
            </c:strRef>
          </c:cat>
          <c:val>
            <c:numRef>
              <c:f>'Unit Stats'!$N$22:$N$25</c:f>
              <c:numCache>
                <c:formatCode>0</c:formatCode>
                <c:ptCount val="4"/>
                <c:pt idx="0">
                  <c:v>0</c:v>
                </c:pt>
                <c:pt idx="1">
                  <c:v>0</c:v>
                </c:pt>
                <c:pt idx="2">
                  <c:v>0</c:v>
                </c:pt>
                <c:pt idx="3">
                  <c:v>0</c:v>
                </c:pt>
              </c:numCache>
            </c:numRef>
          </c:val>
          <c:extLst>
            <c:ext xmlns:c16="http://schemas.microsoft.com/office/drawing/2014/chart" uri="{C3380CC4-5D6E-409C-BE32-E72D297353CC}">
              <c16:uniqueId val="{00000000-CB3B-4246-B8FB-5128C75B6B9C}"/>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Times for New Choices </a:t>
            </a:r>
          </a:p>
        </c:rich>
      </c:tx>
      <c:overlay val="0"/>
    </c:title>
    <c:autoTitleDeleted val="0"/>
    <c:plotArea>
      <c:layout/>
      <c:lineChart>
        <c:grouping val="standard"/>
        <c:varyColors val="0"/>
        <c:ser>
          <c:idx val="0"/>
          <c:order val="0"/>
          <c:tx>
            <c:strRef>
              <c:f>'Times per unit'!$A$9</c:f>
              <c:strCache>
                <c:ptCount val="1"/>
                <c:pt idx="0">
                  <c:v>Amount of alleged incidents within each time period</c:v>
                </c:pt>
              </c:strCache>
            </c:strRef>
          </c:tx>
          <c:marker>
            <c:symbol val="none"/>
          </c:marker>
          <c:cat>
            <c:strRef>
              <c:f>'Times per unit'!$A$53:$A$76</c:f>
              <c:strCache>
                <c:ptCount val="24"/>
                <c:pt idx="0">
                  <c:v>12:00 to 12:59 AM</c:v>
                </c:pt>
                <c:pt idx="1">
                  <c:v>1:00 to 1:59 AM</c:v>
                </c:pt>
                <c:pt idx="2">
                  <c:v>2:00 to 2:59 AM</c:v>
                </c:pt>
                <c:pt idx="3">
                  <c:v>3:00 to 3:59 AM</c:v>
                </c:pt>
                <c:pt idx="4">
                  <c:v>4:00 to 4:59 AM</c:v>
                </c:pt>
                <c:pt idx="5">
                  <c:v>5:00 to 5:59 AM</c:v>
                </c:pt>
                <c:pt idx="6">
                  <c:v>6:00 to 6:59 AM</c:v>
                </c:pt>
                <c:pt idx="7">
                  <c:v>7:00 to 7:59 AM</c:v>
                </c:pt>
                <c:pt idx="8">
                  <c:v>8:00 to 8:59 AM</c:v>
                </c:pt>
                <c:pt idx="9">
                  <c:v>9:00 to 9:59 AM</c:v>
                </c:pt>
                <c:pt idx="10">
                  <c:v>10:00 to 10:59 AM</c:v>
                </c:pt>
                <c:pt idx="11">
                  <c:v>11:00 to 11:59 AM</c:v>
                </c:pt>
                <c:pt idx="12">
                  <c:v>12:00 to 12:59 PM</c:v>
                </c:pt>
                <c:pt idx="13">
                  <c:v>1:00 to 1:59 PM</c:v>
                </c:pt>
                <c:pt idx="14">
                  <c:v>2:00 to 2:59 PM</c:v>
                </c:pt>
                <c:pt idx="15">
                  <c:v>3:00 to 3:59 PM</c:v>
                </c:pt>
                <c:pt idx="16">
                  <c:v>4:00 to 4:59 PM</c:v>
                </c:pt>
                <c:pt idx="17">
                  <c:v>5:00 to 5:59 PM</c:v>
                </c:pt>
                <c:pt idx="18">
                  <c:v>6:00 to 6:59 PM</c:v>
                </c:pt>
                <c:pt idx="19">
                  <c:v>7:00 to 7:59 PM</c:v>
                </c:pt>
                <c:pt idx="20">
                  <c:v>8:00 to 8:59 PM</c:v>
                </c:pt>
                <c:pt idx="21">
                  <c:v>9:00 to 9:59 PM</c:v>
                </c:pt>
                <c:pt idx="22">
                  <c:v>10:00 to 10:59 PM</c:v>
                </c:pt>
                <c:pt idx="23">
                  <c:v>11:00 to 11:59 PM</c:v>
                </c:pt>
              </c:strCache>
            </c:strRef>
          </c:cat>
          <c:val>
            <c:numRef>
              <c:f>'Times per unit'!$B$53:$B$76</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0-DDF8-2445-8F78-BCEB2F932F3B}"/>
            </c:ext>
          </c:extLst>
        </c:ser>
        <c:dLbls>
          <c:showLegendKey val="0"/>
          <c:showVal val="0"/>
          <c:showCatName val="0"/>
          <c:showSerName val="0"/>
          <c:showPercent val="0"/>
          <c:showBubbleSize val="0"/>
        </c:dLbls>
        <c:smooth val="0"/>
        <c:axId val="134418432"/>
        <c:axId val="134419968"/>
      </c:lineChart>
      <c:catAx>
        <c:axId val="134418432"/>
        <c:scaling>
          <c:orientation val="minMax"/>
        </c:scaling>
        <c:delete val="0"/>
        <c:axPos val="b"/>
        <c:numFmt formatCode="General" sourceLinked="0"/>
        <c:majorTickMark val="none"/>
        <c:minorTickMark val="none"/>
        <c:tickLblPos val="nextTo"/>
        <c:crossAx val="134419968"/>
        <c:crosses val="autoZero"/>
        <c:auto val="1"/>
        <c:lblAlgn val="ctr"/>
        <c:lblOffset val="100"/>
        <c:noMultiLvlLbl val="0"/>
      </c:catAx>
      <c:valAx>
        <c:axId val="134419968"/>
        <c:scaling>
          <c:orientation val="minMax"/>
        </c:scaling>
        <c:delete val="0"/>
        <c:axPos val="l"/>
        <c:majorGridlines/>
        <c:numFmt formatCode="General" sourceLinked="1"/>
        <c:majorTickMark val="none"/>
        <c:minorTickMark val="none"/>
        <c:tickLblPos val="nextTo"/>
        <c:spPr>
          <a:ln w="9525">
            <a:noFill/>
          </a:ln>
        </c:spPr>
        <c:crossAx val="134418432"/>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NC Grievances/ Complaints occurred on:</a:t>
            </a:r>
          </a:p>
        </c:rich>
      </c:tx>
      <c:overlay val="0"/>
    </c:title>
    <c:autoTitleDeleted val="0"/>
    <c:plotArea>
      <c:layout/>
      <c:barChart>
        <c:barDir val="col"/>
        <c:grouping val="clustered"/>
        <c:varyColors val="0"/>
        <c:ser>
          <c:idx val="0"/>
          <c:order val="0"/>
          <c:tx>
            <c:strRef>
              <c:f>'Times per unit'!$A$37</c:f>
              <c:strCache>
                <c:ptCount val="1"/>
                <c:pt idx="0">
                  <c:v>Grievances/ Complaints occurred on:</c:v>
                </c:pt>
              </c:strCache>
            </c:strRef>
          </c:tx>
          <c:invertIfNegative val="0"/>
          <c:cat>
            <c:strRef>
              <c:f>'Times per unit'!$A$79:$A$86</c:f>
              <c:strCache>
                <c:ptCount val="8"/>
                <c:pt idx="0">
                  <c:v>Monday</c:v>
                </c:pt>
                <c:pt idx="1">
                  <c:v>Tuesday</c:v>
                </c:pt>
                <c:pt idx="2">
                  <c:v>Wednesday</c:v>
                </c:pt>
                <c:pt idx="3">
                  <c:v>Thursday</c:v>
                </c:pt>
                <c:pt idx="4">
                  <c:v>Friday</c:v>
                </c:pt>
                <c:pt idx="5">
                  <c:v>Saturday</c:v>
                </c:pt>
                <c:pt idx="6">
                  <c:v>Sunday</c:v>
                </c:pt>
                <c:pt idx="7">
                  <c:v>Over a period of time</c:v>
                </c:pt>
              </c:strCache>
            </c:strRef>
          </c:cat>
          <c:val>
            <c:numRef>
              <c:f>'Times per unit'!$B$79:$B$86</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5FF8-4C4C-BFBC-2075B29991A2}"/>
            </c:ext>
          </c:extLst>
        </c:ser>
        <c:dLbls>
          <c:showLegendKey val="0"/>
          <c:showVal val="0"/>
          <c:showCatName val="0"/>
          <c:showSerName val="0"/>
          <c:showPercent val="0"/>
          <c:showBubbleSize val="0"/>
        </c:dLbls>
        <c:gapWidth val="75"/>
        <c:axId val="134444160"/>
        <c:axId val="134445696"/>
      </c:barChart>
      <c:catAx>
        <c:axId val="134444160"/>
        <c:scaling>
          <c:orientation val="minMax"/>
        </c:scaling>
        <c:delete val="0"/>
        <c:axPos val="b"/>
        <c:numFmt formatCode="General" sourceLinked="0"/>
        <c:majorTickMark val="none"/>
        <c:minorTickMark val="none"/>
        <c:tickLblPos val="nextTo"/>
        <c:crossAx val="134445696"/>
        <c:crosses val="autoZero"/>
        <c:auto val="1"/>
        <c:lblAlgn val="ctr"/>
        <c:lblOffset val="100"/>
        <c:noMultiLvlLbl val="0"/>
      </c:catAx>
      <c:valAx>
        <c:axId val="134445696"/>
        <c:scaling>
          <c:orientation val="minMax"/>
        </c:scaling>
        <c:delete val="0"/>
        <c:axPos val="l"/>
        <c:majorGridlines/>
        <c:numFmt formatCode="General" sourceLinked="1"/>
        <c:majorTickMark val="none"/>
        <c:minorTickMark val="none"/>
        <c:tickLblPos val="nextTo"/>
        <c:spPr>
          <a:ln w="9525">
            <a:noFill/>
          </a:ln>
        </c:spPr>
        <c:crossAx val="134444160"/>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Safe Harbor Grievances</a:t>
            </a:r>
          </a:p>
        </c:rich>
      </c:tx>
      <c:layout>
        <c:manualLayout>
          <c:xMode val="edge"/>
          <c:yMode val="edge"/>
          <c:x val="0.37801377952755905"/>
          <c:y val="2.7777777777777776E-2"/>
        </c:manualLayout>
      </c:layout>
      <c:overlay val="0"/>
    </c:title>
    <c:autoTitleDeleted val="0"/>
    <c:plotArea>
      <c:layout/>
      <c:lineChart>
        <c:grouping val="standard"/>
        <c:varyColors val="0"/>
        <c:ser>
          <c:idx val="0"/>
          <c:order val="0"/>
          <c:tx>
            <c:strRef>
              <c:f>'Unit Stats'!$A$32</c:f>
              <c:strCache>
                <c:ptCount val="1"/>
                <c:pt idx="0">
                  <c:v>FALSE</c:v>
                </c:pt>
              </c:strCache>
            </c:strRef>
          </c:tx>
          <c:marker>
            <c:symbol val="none"/>
          </c:marker>
          <c:cat>
            <c:strRef>
              <c:f>'Unit Stats'!$B$31:$M$31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Stats'!$B$32:$M$32</c:f>
              <c:numCache>
                <c:formatCode>0</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0-0FC3-A143-B5D1-6E4A984C67F4}"/>
            </c:ext>
          </c:extLst>
        </c:ser>
        <c:ser>
          <c:idx val="1"/>
          <c:order val="1"/>
          <c:tx>
            <c:strRef>
              <c:f>'Unit Stats'!$A$35</c:f>
              <c:strCache>
                <c:ptCount val="1"/>
                <c:pt idx="0">
                  <c:v>TRUE</c:v>
                </c:pt>
              </c:strCache>
            </c:strRef>
          </c:tx>
          <c:marker>
            <c:symbol val="none"/>
          </c:marker>
          <c:cat>
            <c:strRef>
              <c:f>'Unit Stats'!$B$31:$M$31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Stats'!$B$35:$M$35</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1-0FC3-A143-B5D1-6E4A984C67F4}"/>
            </c:ext>
          </c:extLst>
        </c:ser>
        <c:ser>
          <c:idx val="2"/>
          <c:order val="2"/>
          <c:tx>
            <c:strRef>
              <c:f>'Unit Stats'!$A$40</c:f>
              <c:strCache>
                <c:ptCount val="1"/>
                <c:pt idx="0">
                  <c:v>INCONCLUSIVE</c:v>
                </c:pt>
              </c:strCache>
            </c:strRef>
          </c:tx>
          <c:marker>
            <c:symbol val="none"/>
          </c:marker>
          <c:cat>
            <c:strRef>
              <c:f>'Unit Stats'!$B$31:$M$31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Stats'!$B$40:$M$40</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2-0FC3-A143-B5D1-6E4A984C67F4}"/>
            </c:ext>
          </c:extLst>
        </c:ser>
        <c:ser>
          <c:idx val="3"/>
          <c:order val="3"/>
          <c:tx>
            <c:strRef>
              <c:f>'Unit Stats'!$A$41</c:f>
              <c:strCache>
                <c:ptCount val="1"/>
                <c:pt idx="0">
                  <c:v>Perception Complaints</c:v>
                </c:pt>
              </c:strCache>
            </c:strRef>
          </c:tx>
          <c:marker>
            <c:symbol val="none"/>
          </c:marker>
          <c:cat>
            <c:strRef>
              <c:f>'Unit Stats'!$B$31:$M$31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Stats'!$B$41:$M$41</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3-0FC3-A143-B5D1-6E4A984C67F4}"/>
            </c:ext>
          </c:extLst>
        </c:ser>
        <c:ser>
          <c:idx val="4"/>
          <c:order val="4"/>
          <c:tx>
            <c:strRef>
              <c:f>'Unit Stats'!$A$42</c:f>
              <c:strCache>
                <c:ptCount val="1"/>
                <c:pt idx="0">
                  <c:v>PENDING</c:v>
                </c:pt>
              </c:strCache>
            </c:strRef>
          </c:tx>
          <c:marker>
            <c:symbol val="none"/>
          </c:marker>
          <c:cat>
            <c:strRef>
              <c:f>'Unit Stats'!$B$31:$M$31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Stats'!$B$42:$M$42</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4-0FC3-A143-B5D1-6E4A984C67F4}"/>
            </c:ext>
          </c:extLst>
        </c:ser>
        <c:ser>
          <c:idx val="5"/>
          <c:order val="5"/>
          <c:tx>
            <c:strRef>
              <c:f>'Unit Stats'!$A$43</c:f>
              <c:strCache>
                <c:ptCount val="1"/>
                <c:pt idx="0">
                  <c:v>Total</c:v>
                </c:pt>
              </c:strCache>
            </c:strRef>
          </c:tx>
          <c:marker>
            <c:symbol val="none"/>
          </c:marker>
          <c:val>
            <c:numRef>
              <c:f>'Unit Stats'!$B$43:$M$43</c:f>
              <c:numCache>
                <c:formatCode>0</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5-0FC3-A143-B5D1-6E4A984C67F4}"/>
            </c:ext>
          </c:extLst>
        </c:ser>
        <c:dLbls>
          <c:showLegendKey val="0"/>
          <c:showVal val="0"/>
          <c:showCatName val="0"/>
          <c:showSerName val="0"/>
          <c:showPercent val="0"/>
          <c:showBubbleSize val="0"/>
        </c:dLbls>
        <c:smooth val="0"/>
        <c:axId val="134945408"/>
        <c:axId val="134955392"/>
      </c:lineChart>
      <c:catAx>
        <c:axId val="134945408"/>
        <c:scaling>
          <c:orientation val="minMax"/>
        </c:scaling>
        <c:delete val="0"/>
        <c:axPos val="b"/>
        <c:numFmt formatCode="General" sourceLinked="0"/>
        <c:majorTickMark val="none"/>
        <c:minorTickMark val="none"/>
        <c:tickLblPos val="nextTo"/>
        <c:crossAx val="134955392"/>
        <c:crosses val="autoZero"/>
        <c:auto val="1"/>
        <c:lblAlgn val="ctr"/>
        <c:lblOffset val="100"/>
        <c:noMultiLvlLbl val="0"/>
      </c:catAx>
      <c:valAx>
        <c:axId val="134955392"/>
        <c:scaling>
          <c:orientation val="minMax"/>
        </c:scaling>
        <c:delete val="0"/>
        <c:axPos val="l"/>
        <c:majorGridlines/>
        <c:numFmt formatCode="0" sourceLinked="1"/>
        <c:majorTickMark val="none"/>
        <c:minorTickMark val="none"/>
        <c:tickLblPos val="nextTo"/>
        <c:crossAx val="134945408"/>
        <c:crosses val="autoZero"/>
        <c:crossBetween val="between"/>
      </c:valAx>
      <c:dTable>
        <c:showHorzBorder val="1"/>
        <c:showVertBorder val="1"/>
        <c:showOutline val="1"/>
        <c:showKeys val="1"/>
      </c:dTable>
    </c:plotArea>
    <c:plotVisOnly val="1"/>
    <c:dispBlanksAs val="gap"/>
    <c:showDLblsOverMax val="0"/>
  </c:chart>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en-US"/>
              <a:t>Safe Harbor - Grievances for 2015</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Stats'!$A$32,'Unit Stats'!$A$35,'Unit Stats'!$A$40:$A$42)</c:f>
              <c:strCache>
                <c:ptCount val="5"/>
                <c:pt idx="0">
                  <c:v>FALSE</c:v>
                </c:pt>
                <c:pt idx="1">
                  <c:v>TRUE</c:v>
                </c:pt>
                <c:pt idx="2">
                  <c:v>INCONCLUSIVE</c:v>
                </c:pt>
                <c:pt idx="3">
                  <c:v>Perception Complaints</c:v>
                </c:pt>
                <c:pt idx="4">
                  <c:v>PENDING</c:v>
                </c:pt>
              </c:strCache>
            </c:strRef>
          </c:cat>
          <c:val>
            <c:numRef>
              <c:f>('Unit Stats'!$N$32,'Unit Stats'!$N$35,'Unit Stats'!$N$40:$N$42)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1B9B-E14C-9F8B-A403730D345E}"/>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1"/>
    </mc:Choice>
    <mc:Fallback>
      <c:style val="11"/>
    </mc:Fallback>
  </mc:AlternateContent>
  <c:chart>
    <c:title>
      <c:tx>
        <c:rich>
          <a:bodyPr/>
          <a:lstStyle/>
          <a:p>
            <a:pPr>
              <a:defRPr/>
            </a:pPr>
            <a:r>
              <a:rPr lang="en-US"/>
              <a:t>Safe Harbor: False Grievances for 2015</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Stats'!$A$33:$A$34</c:f>
              <c:strCache>
                <c:ptCount val="2"/>
                <c:pt idx="0">
                  <c:v>Deliberate</c:v>
                </c:pt>
                <c:pt idx="1">
                  <c:v>Misunderstanding</c:v>
                </c:pt>
              </c:strCache>
            </c:strRef>
          </c:cat>
          <c:val>
            <c:numRef>
              <c:f>'Unit Stats'!$N$33:$N$34</c:f>
              <c:numCache>
                <c:formatCode>0</c:formatCode>
                <c:ptCount val="2"/>
                <c:pt idx="0">
                  <c:v>0</c:v>
                </c:pt>
                <c:pt idx="1">
                  <c:v>0</c:v>
                </c:pt>
              </c:numCache>
            </c:numRef>
          </c:val>
          <c:extLst>
            <c:ext xmlns:c16="http://schemas.microsoft.com/office/drawing/2014/chart" uri="{C3380CC4-5D6E-409C-BE32-E72D297353CC}">
              <c16:uniqueId val="{00000000-608E-6244-8FC2-19D6E5D1AF83}"/>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2"/>
    </mc:Choice>
    <mc:Fallback>
      <c:style val="12"/>
    </mc:Fallback>
  </mc:AlternateContent>
  <c:chart>
    <c:title>
      <c:tx>
        <c:rich>
          <a:bodyPr/>
          <a:lstStyle/>
          <a:p>
            <a:pPr>
              <a:defRPr/>
            </a:pPr>
            <a:r>
              <a:rPr lang="en-US"/>
              <a:t>Safe Harbor: True Grievances for 2015</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Stats'!$A$36:$A$39</c:f>
              <c:strCache>
                <c:ptCount val="4"/>
                <c:pt idx="0">
                  <c:v>Rights Violation</c:v>
                </c:pt>
                <c:pt idx="1">
                  <c:v>Policy Violation</c:v>
                </c:pt>
                <c:pt idx="2">
                  <c:v>Anti-Therapeutic</c:v>
                </c:pt>
                <c:pt idx="3">
                  <c:v>Other/ Misc</c:v>
                </c:pt>
              </c:strCache>
            </c:strRef>
          </c:cat>
          <c:val>
            <c:numRef>
              <c:f>'Unit Stats'!$N$36:$N$39</c:f>
              <c:numCache>
                <c:formatCode>0</c:formatCode>
                <c:ptCount val="4"/>
                <c:pt idx="0">
                  <c:v>0</c:v>
                </c:pt>
                <c:pt idx="1">
                  <c:v>0</c:v>
                </c:pt>
                <c:pt idx="2">
                  <c:v>0</c:v>
                </c:pt>
                <c:pt idx="3">
                  <c:v>0</c:v>
                </c:pt>
              </c:numCache>
            </c:numRef>
          </c:val>
          <c:extLst>
            <c:ext xmlns:c16="http://schemas.microsoft.com/office/drawing/2014/chart" uri="{C3380CC4-5D6E-409C-BE32-E72D297353CC}">
              <c16:uniqueId val="{00000000-E344-4644-90E2-594570E19871}"/>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Total Population Writing Grievances in 2015</a:t>
            </a:r>
          </a:p>
        </c:rich>
      </c:tx>
      <c:overlay val="0"/>
    </c:title>
    <c:autoTitleDeleted val="0"/>
    <c:plotArea>
      <c:layout/>
      <c:lineChart>
        <c:grouping val="standard"/>
        <c:varyColors val="0"/>
        <c:ser>
          <c:idx val="0"/>
          <c:order val="0"/>
          <c:tx>
            <c:strRef>
              <c:f>'Population %'!$A$18</c:f>
              <c:strCache>
                <c:ptCount val="1"/>
                <c:pt idx="0">
                  <c:v>Total Population Writing Grievances</c:v>
                </c:pt>
              </c:strCache>
            </c:strRef>
          </c:tx>
          <c:marker>
            <c:symbol val="none"/>
          </c:marker>
          <c:cat>
            <c:strRef>
              <c:f>'Population %'!$B$17:$M$17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'Population %'!$B$18:$M$18</c:f>
              <c:numCache>
                <c:formatCode>0%</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0-45EC-764A-8679-6C46F803B844}"/>
            </c:ext>
          </c:extLst>
        </c:ser>
        <c:dLbls>
          <c:showLegendKey val="0"/>
          <c:showVal val="0"/>
          <c:showCatName val="0"/>
          <c:showSerName val="0"/>
          <c:showPercent val="0"/>
          <c:showBubbleSize val="0"/>
        </c:dLbls>
        <c:smooth val="0"/>
        <c:axId val="135140096"/>
        <c:axId val="135141632"/>
      </c:lineChart>
      <c:catAx>
        <c:axId val="135140096"/>
        <c:scaling>
          <c:orientation val="minMax"/>
        </c:scaling>
        <c:delete val="0"/>
        <c:axPos val="b"/>
        <c:numFmt formatCode="General" sourceLinked="0"/>
        <c:majorTickMark val="out"/>
        <c:minorTickMark val="none"/>
        <c:tickLblPos val="nextTo"/>
        <c:crossAx val="135141632"/>
        <c:crosses val="autoZero"/>
        <c:auto val="1"/>
        <c:lblAlgn val="ctr"/>
        <c:lblOffset val="100"/>
        <c:noMultiLvlLbl val="0"/>
      </c:catAx>
      <c:valAx>
        <c:axId val="135141632"/>
        <c:scaling>
          <c:orientation val="minMax"/>
        </c:scaling>
        <c:delete val="0"/>
        <c:axPos val="l"/>
        <c:majorGridlines/>
        <c:numFmt formatCode="0%" sourceLinked="1"/>
        <c:majorTickMark val="out"/>
        <c:minorTickMark val="none"/>
        <c:tickLblPos val="nextTo"/>
        <c:crossAx val="135140096"/>
        <c:crosses val="autoZero"/>
        <c:crossBetween val="between"/>
      </c:valAx>
    </c:plotArea>
    <c:plotVisOnly val="0"/>
    <c:dispBlanksAs val="gap"/>
    <c:showDLblsOverMax val="0"/>
  </c:chart>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'Population %'!$A$67</c:f>
              <c:strCache>
                <c:ptCount val="1"/>
                <c:pt idx="0">
                  <c:v>Population Writing Grievances on New Choices in 2015</c:v>
                </c:pt>
              </c:strCache>
            </c:strRef>
          </c:tx>
          <c:marker>
            <c:symbol val="none"/>
          </c:marker>
          <c:cat>
            <c:strRef>
              <c:f>'Population %'!$B$66:$M$66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'Population %'!$B$67:$M$67</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5B57-C043-9DEE-332FF3A7F1C1}"/>
            </c:ext>
          </c:extLst>
        </c:ser>
        <c:dLbls>
          <c:showLegendKey val="0"/>
          <c:showVal val="0"/>
          <c:showCatName val="0"/>
          <c:showSerName val="0"/>
          <c:showPercent val="0"/>
          <c:showBubbleSize val="0"/>
        </c:dLbls>
        <c:smooth val="0"/>
        <c:axId val="135157632"/>
        <c:axId val="135159168"/>
      </c:lineChart>
      <c:catAx>
        <c:axId val="135157632"/>
        <c:scaling>
          <c:orientation val="minMax"/>
        </c:scaling>
        <c:delete val="0"/>
        <c:axPos val="b"/>
        <c:numFmt formatCode="General" sourceLinked="0"/>
        <c:majorTickMark val="out"/>
        <c:minorTickMark val="none"/>
        <c:tickLblPos val="nextTo"/>
        <c:crossAx val="135159168"/>
        <c:crosses val="autoZero"/>
        <c:auto val="1"/>
        <c:lblAlgn val="ctr"/>
        <c:lblOffset val="100"/>
        <c:noMultiLvlLbl val="0"/>
      </c:catAx>
      <c:valAx>
        <c:axId val="135159168"/>
        <c:scaling>
          <c:orientation val="minMax"/>
        </c:scaling>
        <c:delete val="0"/>
        <c:axPos val="l"/>
        <c:majorGridlines/>
        <c:numFmt formatCode="0%" sourceLinked="1"/>
        <c:majorTickMark val="out"/>
        <c:minorTickMark val="none"/>
        <c:tickLblPos val="nextTo"/>
        <c:crossAx val="135157632"/>
        <c:crosses val="autoZero"/>
        <c:crossBetween val="between"/>
      </c:valAx>
    </c:plotArea>
    <c:plotVisOnly val="1"/>
    <c:dispBlanksAs val="gap"/>
    <c:showDLblsOverMax val="0"/>
  </c:chart>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'Times per unit'!$A$91</c:f>
              <c:strCache>
                <c:ptCount val="1"/>
                <c:pt idx="0">
                  <c:v>Times for Safe Harbor</c:v>
                </c:pt>
              </c:strCache>
            </c:strRef>
          </c:tx>
          <c:marker>
            <c:symbol val="none"/>
          </c:marker>
          <c:cat>
            <c:strRef>
              <c:f>'Times per unit'!$A$93:$A$116</c:f>
              <c:strCache>
                <c:ptCount val="24"/>
                <c:pt idx="0">
                  <c:v>12:00 to 12:59 AM</c:v>
                </c:pt>
                <c:pt idx="1">
                  <c:v>1:00 to 1:59 AM</c:v>
                </c:pt>
                <c:pt idx="2">
                  <c:v>2:00 to 2:59 AM</c:v>
                </c:pt>
                <c:pt idx="3">
                  <c:v>3:00 to 3:59 AM</c:v>
                </c:pt>
                <c:pt idx="4">
                  <c:v>4:00 to 4:59 AM</c:v>
                </c:pt>
                <c:pt idx="5">
                  <c:v>5:00 to 5:59 AM</c:v>
                </c:pt>
                <c:pt idx="6">
                  <c:v>6:00 to 6:59 AM</c:v>
                </c:pt>
                <c:pt idx="7">
                  <c:v>7:00 to 7:59 AM</c:v>
                </c:pt>
                <c:pt idx="8">
                  <c:v>8:00 to 8:59 AM</c:v>
                </c:pt>
                <c:pt idx="9">
                  <c:v>9:00 to 9:59 AM</c:v>
                </c:pt>
                <c:pt idx="10">
                  <c:v>10:00 to 10:59 AM</c:v>
                </c:pt>
                <c:pt idx="11">
                  <c:v>11:00 to 11:59 AM</c:v>
                </c:pt>
                <c:pt idx="12">
                  <c:v>12:00 to 12:59 PM</c:v>
                </c:pt>
                <c:pt idx="13">
                  <c:v>1:00 to 1:59 PM</c:v>
                </c:pt>
                <c:pt idx="14">
                  <c:v>2:00 to 2:59 PM</c:v>
                </c:pt>
                <c:pt idx="15">
                  <c:v>3:00 to 3:59 PM</c:v>
                </c:pt>
                <c:pt idx="16">
                  <c:v>4:00 to 4:59 PM</c:v>
                </c:pt>
                <c:pt idx="17">
                  <c:v>5:00 to 5:59 PM</c:v>
                </c:pt>
                <c:pt idx="18">
                  <c:v>6:00 to 6:59 PM</c:v>
                </c:pt>
                <c:pt idx="19">
                  <c:v>7:00 to 7:59 PM</c:v>
                </c:pt>
                <c:pt idx="20">
                  <c:v>8:00 to 8:59 PM</c:v>
                </c:pt>
                <c:pt idx="21">
                  <c:v>9:00 to 9:59 PM</c:v>
                </c:pt>
                <c:pt idx="22">
                  <c:v>10:00 to 10:59 PM</c:v>
                </c:pt>
                <c:pt idx="23">
                  <c:v>11:00 to 11:59 PM</c:v>
                </c:pt>
              </c:strCache>
            </c:strRef>
          </c:cat>
          <c:val>
            <c:numRef>
              <c:f>'Times per unit'!$B$93:$B$116</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0-4080-2C44-9C4F-D3626EE973B4}"/>
            </c:ext>
          </c:extLst>
        </c:ser>
        <c:dLbls>
          <c:showLegendKey val="0"/>
          <c:showVal val="0"/>
          <c:showCatName val="0"/>
          <c:showSerName val="0"/>
          <c:showPercent val="0"/>
          <c:showBubbleSize val="0"/>
        </c:dLbls>
        <c:smooth val="0"/>
        <c:axId val="135183744"/>
        <c:axId val="135189632"/>
      </c:lineChart>
      <c:catAx>
        <c:axId val="135183744"/>
        <c:scaling>
          <c:orientation val="minMax"/>
        </c:scaling>
        <c:delete val="0"/>
        <c:axPos val="b"/>
        <c:numFmt formatCode="General" sourceLinked="0"/>
        <c:majorTickMark val="none"/>
        <c:minorTickMark val="none"/>
        <c:tickLblPos val="nextTo"/>
        <c:crossAx val="135189632"/>
        <c:crosses val="autoZero"/>
        <c:auto val="1"/>
        <c:lblAlgn val="ctr"/>
        <c:lblOffset val="100"/>
        <c:noMultiLvlLbl val="0"/>
      </c:catAx>
      <c:valAx>
        <c:axId val="135189632"/>
        <c:scaling>
          <c:orientation val="minMax"/>
        </c:scaling>
        <c:delete val="0"/>
        <c:axPos val="l"/>
        <c:majorGridlines/>
        <c:numFmt formatCode="General" sourceLinked="1"/>
        <c:majorTickMark val="none"/>
        <c:minorTickMark val="none"/>
        <c:tickLblPos val="nextTo"/>
        <c:spPr>
          <a:ln w="9525">
            <a:noFill/>
          </a:ln>
        </c:spPr>
        <c:crossAx val="135183744"/>
        <c:crosses val="autoZero"/>
        <c:crossBetween val="between"/>
      </c:valAx>
    </c:plotArea>
    <c:plotVisOnly val="1"/>
    <c:dispBlanksAs val="gap"/>
    <c:showDLblsOverMax val="0"/>
  </c:chart>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'Times per unit'!$A$37</c:f>
              <c:strCache>
                <c:ptCount val="1"/>
                <c:pt idx="0">
                  <c:v>Grievances/ Complaints occurred on:</c:v>
                </c:pt>
              </c:strCache>
            </c:strRef>
          </c:tx>
          <c:invertIfNegative val="0"/>
          <c:cat>
            <c:strRef>
              <c:f>'Times per unit'!$A$119:$A$126</c:f>
              <c:strCache>
                <c:ptCount val="8"/>
                <c:pt idx="0">
                  <c:v>Monday</c:v>
                </c:pt>
                <c:pt idx="1">
                  <c:v>Tuesday</c:v>
                </c:pt>
                <c:pt idx="2">
                  <c:v>Wednesday</c:v>
                </c:pt>
                <c:pt idx="3">
                  <c:v>Thursday</c:v>
                </c:pt>
                <c:pt idx="4">
                  <c:v>Friday</c:v>
                </c:pt>
                <c:pt idx="5">
                  <c:v>Saturday</c:v>
                </c:pt>
                <c:pt idx="6">
                  <c:v>Sunday</c:v>
                </c:pt>
                <c:pt idx="7">
                  <c:v>Over a period of time</c:v>
                </c:pt>
              </c:strCache>
            </c:strRef>
          </c:cat>
          <c:val>
            <c:numRef>
              <c:f>'Times per unit'!$B$119:$B$126</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19B3-1A4B-AF59-3D4018788D00}"/>
            </c:ext>
          </c:extLst>
        </c:ser>
        <c:dLbls>
          <c:showLegendKey val="0"/>
          <c:showVal val="0"/>
          <c:showCatName val="0"/>
          <c:showSerName val="0"/>
          <c:showPercent val="0"/>
          <c:showBubbleSize val="0"/>
        </c:dLbls>
        <c:gapWidth val="150"/>
        <c:axId val="135217152"/>
        <c:axId val="135218688"/>
      </c:barChart>
      <c:catAx>
        <c:axId val="135217152"/>
        <c:scaling>
          <c:orientation val="minMax"/>
        </c:scaling>
        <c:delete val="0"/>
        <c:axPos val="b"/>
        <c:numFmt formatCode="General" sourceLinked="0"/>
        <c:majorTickMark val="out"/>
        <c:minorTickMark val="none"/>
        <c:tickLblPos val="nextTo"/>
        <c:crossAx val="135218688"/>
        <c:crosses val="autoZero"/>
        <c:auto val="1"/>
        <c:lblAlgn val="ctr"/>
        <c:lblOffset val="100"/>
        <c:noMultiLvlLbl val="0"/>
      </c:catAx>
      <c:valAx>
        <c:axId val="135218688"/>
        <c:scaling>
          <c:orientation val="minMax"/>
        </c:scaling>
        <c:delete val="0"/>
        <c:axPos val="l"/>
        <c:majorGridlines/>
        <c:numFmt formatCode="General" sourceLinked="1"/>
        <c:majorTickMark val="out"/>
        <c:minorTickMark val="none"/>
        <c:tickLblPos val="nextTo"/>
        <c:crossAx val="13521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'Population %'!$A$85</c:f>
              <c:strCache>
                <c:ptCount val="1"/>
                <c:pt idx="0">
                  <c:v>Population Writing Grievances on Safe Harbor in 2015</c:v>
                </c:pt>
              </c:strCache>
            </c:strRef>
          </c:tx>
          <c:marker>
            <c:symbol val="none"/>
          </c:marker>
          <c:cat>
            <c:strRef>
              <c:f>'Population %'!$B$84:$M$84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'Population %'!$B$85:$M$85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A7A-F942-BE90-430642575B71}"/>
            </c:ext>
          </c:extLst>
        </c:ser>
        <c:dLbls>
          <c:showLegendKey val="0"/>
          <c:showVal val="0"/>
          <c:showCatName val="0"/>
          <c:showSerName val="0"/>
          <c:showPercent val="0"/>
          <c:showBubbleSize val="0"/>
        </c:dLbls>
        <c:smooth val="0"/>
        <c:axId val="135246976"/>
        <c:axId val="135248512"/>
      </c:lineChart>
      <c:catAx>
        <c:axId val="135246976"/>
        <c:scaling>
          <c:orientation val="minMax"/>
        </c:scaling>
        <c:delete val="0"/>
        <c:axPos val="b"/>
        <c:numFmt formatCode="General" sourceLinked="0"/>
        <c:majorTickMark val="out"/>
        <c:minorTickMark val="none"/>
        <c:tickLblPos val="nextTo"/>
        <c:crossAx val="135248512"/>
        <c:crosses val="autoZero"/>
        <c:auto val="1"/>
        <c:lblAlgn val="ctr"/>
        <c:lblOffset val="100"/>
        <c:noMultiLvlLbl val="0"/>
      </c:catAx>
      <c:valAx>
        <c:axId val="135248512"/>
        <c:scaling>
          <c:orientation val="minMax"/>
        </c:scaling>
        <c:delete val="0"/>
        <c:axPos val="l"/>
        <c:majorGridlines/>
        <c:numFmt formatCode="0%" sourceLinked="1"/>
        <c:majorTickMark val="out"/>
        <c:minorTickMark val="none"/>
        <c:tickLblPos val="nextTo"/>
        <c:crossAx val="135246976"/>
        <c:crosses val="autoZero"/>
        <c:crossBetween val="between"/>
      </c:valAx>
    </c:plotArea>
    <c:plotVisOnly val="1"/>
    <c:dispBlanksAs val="gap"/>
    <c:showDLblsOverMax val="0"/>
  </c:chart>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Starting Point Grievances</a:t>
            </a:r>
          </a:p>
        </c:rich>
      </c:tx>
      <c:overlay val="0"/>
    </c:title>
    <c:autoTitleDeleted val="0"/>
    <c:plotArea>
      <c:layout/>
      <c:lineChart>
        <c:grouping val="standard"/>
        <c:varyColors val="0"/>
        <c:ser>
          <c:idx val="0"/>
          <c:order val="0"/>
          <c:tx>
            <c:strRef>
              <c:f>'Unit Stats'!$A$46</c:f>
              <c:strCache>
                <c:ptCount val="1"/>
                <c:pt idx="0">
                  <c:v>FALSE</c:v>
                </c:pt>
              </c:strCache>
            </c:strRef>
          </c:tx>
          <c:marker>
            <c:symbol val="none"/>
          </c:marker>
          <c:cat>
            <c:strRef>
              <c:f>'Unit Stats'!$B$45:$M$45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Stats'!$B$46:$M$46</c:f>
              <c:numCache>
                <c:formatCode>0</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0-BEA1-A54C-8D54-468CDF44A5B8}"/>
            </c:ext>
          </c:extLst>
        </c:ser>
        <c:ser>
          <c:idx val="1"/>
          <c:order val="1"/>
          <c:tx>
            <c:strRef>
              <c:f>'Unit Stats'!$A$49</c:f>
              <c:strCache>
                <c:ptCount val="1"/>
                <c:pt idx="0">
                  <c:v>TRUE</c:v>
                </c:pt>
              </c:strCache>
            </c:strRef>
          </c:tx>
          <c:marker>
            <c:symbol val="none"/>
          </c:marker>
          <c:cat>
            <c:strRef>
              <c:f>'Unit Stats'!$B$45:$M$45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Stats'!$B$49:$M$49</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1-BEA1-A54C-8D54-468CDF44A5B8}"/>
            </c:ext>
          </c:extLst>
        </c:ser>
        <c:ser>
          <c:idx val="2"/>
          <c:order val="2"/>
          <c:tx>
            <c:strRef>
              <c:f>'Unit Stats'!$A$54</c:f>
              <c:strCache>
                <c:ptCount val="1"/>
                <c:pt idx="0">
                  <c:v>INCONCLUSIVE</c:v>
                </c:pt>
              </c:strCache>
            </c:strRef>
          </c:tx>
          <c:marker>
            <c:symbol val="none"/>
          </c:marker>
          <c:cat>
            <c:strRef>
              <c:f>'Unit Stats'!$B$45:$M$45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Stats'!$B$54:$M$54</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2-BEA1-A54C-8D54-468CDF44A5B8}"/>
            </c:ext>
          </c:extLst>
        </c:ser>
        <c:ser>
          <c:idx val="3"/>
          <c:order val="3"/>
          <c:tx>
            <c:strRef>
              <c:f>'Unit Stats'!$A$55</c:f>
              <c:strCache>
                <c:ptCount val="1"/>
                <c:pt idx="0">
                  <c:v>Perception Complaints</c:v>
                </c:pt>
              </c:strCache>
            </c:strRef>
          </c:tx>
          <c:marker>
            <c:symbol val="none"/>
          </c:marker>
          <c:cat>
            <c:strRef>
              <c:f>'Unit Stats'!$B$45:$M$45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Stats'!$B$55:$M$55</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3-BEA1-A54C-8D54-468CDF44A5B8}"/>
            </c:ext>
          </c:extLst>
        </c:ser>
        <c:ser>
          <c:idx val="4"/>
          <c:order val="4"/>
          <c:tx>
            <c:strRef>
              <c:f>'Unit Stats'!$A$56</c:f>
              <c:strCache>
                <c:ptCount val="1"/>
                <c:pt idx="0">
                  <c:v>PENDING</c:v>
                </c:pt>
              </c:strCache>
            </c:strRef>
          </c:tx>
          <c:marker>
            <c:symbol val="none"/>
          </c:marker>
          <c:cat>
            <c:strRef>
              <c:f>'Unit Stats'!$B$45:$M$45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Stats'!$B$56:$M$56</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4-BEA1-A54C-8D54-468CDF44A5B8}"/>
            </c:ext>
          </c:extLst>
        </c:ser>
        <c:ser>
          <c:idx val="5"/>
          <c:order val="5"/>
          <c:tx>
            <c:strRef>
              <c:f>'Unit Stats'!$A$57</c:f>
              <c:strCache>
                <c:ptCount val="1"/>
                <c:pt idx="0">
                  <c:v>Total</c:v>
                </c:pt>
              </c:strCache>
            </c:strRef>
          </c:tx>
          <c:marker>
            <c:symbol val="none"/>
          </c:marker>
          <c:val>
            <c:numRef>
              <c:f>'Unit Stats'!$B$57:$M$57</c:f>
              <c:numCache>
                <c:formatCode>0</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5-BEA1-A54C-8D54-468CDF44A5B8}"/>
            </c:ext>
          </c:extLst>
        </c:ser>
        <c:dLbls>
          <c:showLegendKey val="0"/>
          <c:showVal val="0"/>
          <c:showCatName val="0"/>
          <c:showSerName val="0"/>
          <c:showPercent val="0"/>
          <c:showBubbleSize val="0"/>
        </c:dLbls>
        <c:smooth val="0"/>
        <c:axId val="135297280"/>
        <c:axId val="135303168"/>
      </c:lineChart>
      <c:catAx>
        <c:axId val="135297280"/>
        <c:scaling>
          <c:orientation val="minMax"/>
        </c:scaling>
        <c:delete val="0"/>
        <c:axPos val="b"/>
        <c:numFmt formatCode="General" sourceLinked="0"/>
        <c:majorTickMark val="none"/>
        <c:minorTickMark val="none"/>
        <c:tickLblPos val="nextTo"/>
        <c:crossAx val="135303168"/>
        <c:crosses val="autoZero"/>
        <c:auto val="1"/>
        <c:lblAlgn val="ctr"/>
        <c:lblOffset val="100"/>
        <c:noMultiLvlLbl val="0"/>
      </c:catAx>
      <c:valAx>
        <c:axId val="135303168"/>
        <c:scaling>
          <c:orientation val="minMax"/>
        </c:scaling>
        <c:delete val="0"/>
        <c:axPos val="l"/>
        <c:majorGridlines/>
        <c:numFmt formatCode="0" sourceLinked="1"/>
        <c:majorTickMark val="none"/>
        <c:minorTickMark val="none"/>
        <c:tickLblPos val="nextTo"/>
        <c:crossAx val="135297280"/>
        <c:crosses val="autoZero"/>
        <c:crossBetween val="between"/>
      </c:valAx>
      <c:dTable>
        <c:showHorzBorder val="1"/>
        <c:showVertBorder val="1"/>
        <c:showOutline val="1"/>
        <c:showKeys val="1"/>
      </c:dTable>
    </c:plotArea>
    <c:plotVisOnly val="1"/>
    <c:dispBlanksAs val="gap"/>
    <c:showDLblsOverMax val="0"/>
  </c:chart>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en-US"/>
              <a:t>Starting Point - Grievances for 2015</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Stats'!$A$46,'Unit Stats'!$A$49,'Unit Stats'!$A$54:$A$56)</c:f>
              <c:strCache>
                <c:ptCount val="5"/>
                <c:pt idx="0">
                  <c:v>FALSE</c:v>
                </c:pt>
                <c:pt idx="1">
                  <c:v>TRUE</c:v>
                </c:pt>
                <c:pt idx="2">
                  <c:v>INCONCLUSIVE</c:v>
                </c:pt>
                <c:pt idx="3">
                  <c:v>Perception Complaints</c:v>
                </c:pt>
                <c:pt idx="4">
                  <c:v>PENDING</c:v>
                </c:pt>
              </c:strCache>
            </c:strRef>
          </c:cat>
          <c:val>
            <c:numRef>
              <c:f>('Unit Stats'!$N$46,'Unit Stats'!$N$49,'Unit Stats'!$N$54:$N$56)</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BF8F-B747-9DC6-D833AD082564}"/>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1"/>
    </mc:Choice>
    <mc:Fallback>
      <c:style val="11"/>
    </mc:Fallback>
  </mc:AlternateContent>
  <c:chart>
    <c:title>
      <c:tx>
        <c:rich>
          <a:bodyPr/>
          <a:lstStyle/>
          <a:p>
            <a:pPr>
              <a:defRPr/>
            </a:pPr>
            <a:r>
              <a:rPr lang="en-US"/>
              <a:t>Starting Point: False Grievances </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Stats'!$A$47:$A$48</c:f>
              <c:strCache>
                <c:ptCount val="2"/>
                <c:pt idx="0">
                  <c:v>Deliberate</c:v>
                </c:pt>
                <c:pt idx="1">
                  <c:v>Misunderstanding</c:v>
                </c:pt>
              </c:strCache>
            </c:strRef>
          </c:cat>
          <c:val>
            <c:numRef>
              <c:f>'Unit Stats'!$N$47:$N$48</c:f>
              <c:numCache>
                <c:formatCode>0</c:formatCode>
                <c:ptCount val="2"/>
                <c:pt idx="0">
                  <c:v>0</c:v>
                </c:pt>
                <c:pt idx="1">
                  <c:v>0</c:v>
                </c:pt>
              </c:numCache>
            </c:numRef>
          </c:val>
          <c:extLst>
            <c:ext xmlns:c16="http://schemas.microsoft.com/office/drawing/2014/chart" uri="{C3380CC4-5D6E-409C-BE32-E72D297353CC}">
              <c16:uniqueId val="{00000000-9C1B-AD44-8B94-0B00AD3BFC90}"/>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2"/>
    </mc:Choice>
    <mc:Fallback>
      <c:style val="12"/>
    </mc:Fallback>
  </mc:AlternateContent>
  <c:chart>
    <c:title>
      <c:tx>
        <c:rich>
          <a:bodyPr/>
          <a:lstStyle/>
          <a:p>
            <a:pPr>
              <a:defRPr/>
            </a:pPr>
            <a:r>
              <a:rPr lang="en-US"/>
              <a:t>Starting Point: True Grievances </a:t>
            </a:r>
          </a:p>
        </c:rich>
      </c:tx>
      <c:layout>
        <c:manualLayout>
          <c:xMode val="edge"/>
          <c:yMode val="edge"/>
          <c:x val="5.2077157321003514E-2"/>
          <c:y val="0"/>
        </c:manualLayout>
      </c:layout>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Stats'!$A$50:$A$53</c:f>
              <c:strCache>
                <c:ptCount val="4"/>
                <c:pt idx="0">
                  <c:v>Rights Violation</c:v>
                </c:pt>
                <c:pt idx="1">
                  <c:v>Policy Violation</c:v>
                </c:pt>
                <c:pt idx="2">
                  <c:v>Anti-Therapeutic</c:v>
                </c:pt>
                <c:pt idx="3">
                  <c:v>Other/ Misc</c:v>
                </c:pt>
              </c:strCache>
            </c:strRef>
          </c:cat>
          <c:val>
            <c:numRef>
              <c:f>'Unit Stats'!$N$50:$N$53</c:f>
              <c:numCache>
                <c:formatCode>0</c:formatCode>
                <c:ptCount val="4"/>
                <c:pt idx="0">
                  <c:v>0</c:v>
                </c:pt>
                <c:pt idx="1">
                  <c:v>0</c:v>
                </c:pt>
                <c:pt idx="2">
                  <c:v>0</c:v>
                </c:pt>
                <c:pt idx="3">
                  <c:v>0</c:v>
                </c:pt>
              </c:numCache>
            </c:numRef>
          </c:val>
          <c:extLst>
            <c:ext xmlns:c16="http://schemas.microsoft.com/office/drawing/2014/chart" uri="{C3380CC4-5D6E-409C-BE32-E72D297353CC}">
              <c16:uniqueId val="{00000000-2877-D445-AF8D-7E716485D800}"/>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Times for Starting Point</a:t>
            </a:r>
          </a:p>
        </c:rich>
      </c:tx>
      <c:overlay val="0"/>
    </c:title>
    <c:autoTitleDeleted val="0"/>
    <c:plotArea>
      <c:layout/>
      <c:lineChart>
        <c:grouping val="standard"/>
        <c:varyColors val="0"/>
        <c:ser>
          <c:idx val="0"/>
          <c:order val="0"/>
          <c:tx>
            <c:strRef>
              <c:f>'Times per unit'!$A$9</c:f>
              <c:strCache>
                <c:ptCount val="1"/>
                <c:pt idx="0">
                  <c:v>Amount of alleged incidents within each time period</c:v>
                </c:pt>
              </c:strCache>
            </c:strRef>
          </c:tx>
          <c:marker>
            <c:symbol val="none"/>
          </c:marker>
          <c:cat>
            <c:strRef>
              <c:f>'Times per unit'!$A$133:$A$156</c:f>
              <c:strCache>
                <c:ptCount val="24"/>
                <c:pt idx="0">
                  <c:v>12:00 to 12:59 AM</c:v>
                </c:pt>
                <c:pt idx="1">
                  <c:v>1:00 to 1:59 AM</c:v>
                </c:pt>
                <c:pt idx="2">
                  <c:v>2:00 to 2:59 AM</c:v>
                </c:pt>
                <c:pt idx="3">
                  <c:v>3:00 to 3:59 AM</c:v>
                </c:pt>
                <c:pt idx="4">
                  <c:v>4:00 to 4:59 AM</c:v>
                </c:pt>
                <c:pt idx="5">
                  <c:v>5:00 to 5:59 AM</c:v>
                </c:pt>
                <c:pt idx="6">
                  <c:v>6:00 to 6:59 AM</c:v>
                </c:pt>
                <c:pt idx="7">
                  <c:v>7:00 to 7:59 AM</c:v>
                </c:pt>
                <c:pt idx="8">
                  <c:v>8:00 to 8:59 AM</c:v>
                </c:pt>
                <c:pt idx="9">
                  <c:v>9:00 to 9:59 AM</c:v>
                </c:pt>
                <c:pt idx="10">
                  <c:v>10:00 to 10:59 AM</c:v>
                </c:pt>
                <c:pt idx="11">
                  <c:v>11:00 to 11:59 AM</c:v>
                </c:pt>
                <c:pt idx="12">
                  <c:v>12:00 to 12:59 PM</c:v>
                </c:pt>
                <c:pt idx="13">
                  <c:v>1:00 to 1:59 PM</c:v>
                </c:pt>
                <c:pt idx="14">
                  <c:v>2:00 to 2:59 PM</c:v>
                </c:pt>
                <c:pt idx="15">
                  <c:v>3:00 to 3:59 PM</c:v>
                </c:pt>
                <c:pt idx="16">
                  <c:v>4:00 to 4:59 PM</c:v>
                </c:pt>
                <c:pt idx="17">
                  <c:v>5:00 to 5:59 PM</c:v>
                </c:pt>
                <c:pt idx="18">
                  <c:v>6:00 to 6:59 PM</c:v>
                </c:pt>
                <c:pt idx="19">
                  <c:v>7:00 to 7:59 PM</c:v>
                </c:pt>
                <c:pt idx="20">
                  <c:v>8:00 to 8:59 PM</c:v>
                </c:pt>
                <c:pt idx="21">
                  <c:v>9:00 to 9:59 PM</c:v>
                </c:pt>
                <c:pt idx="22">
                  <c:v>10:00 to 10:59 PM</c:v>
                </c:pt>
                <c:pt idx="23">
                  <c:v>11:00 to 11:59 PM</c:v>
                </c:pt>
              </c:strCache>
            </c:strRef>
          </c:cat>
          <c:val>
            <c:numRef>
              <c:f>'Times per unit'!$B$133:$B$156</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0-0E38-B744-BB65-C51CE0ECC592}"/>
            </c:ext>
          </c:extLst>
        </c:ser>
        <c:dLbls>
          <c:showLegendKey val="0"/>
          <c:showVal val="0"/>
          <c:showCatName val="0"/>
          <c:showSerName val="0"/>
          <c:showPercent val="0"/>
          <c:showBubbleSize val="0"/>
        </c:dLbls>
        <c:smooth val="0"/>
        <c:axId val="135533312"/>
        <c:axId val="135534848"/>
      </c:lineChart>
      <c:catAx>
        <c:axId val="135533312"/>
        <c:scaling>
          <c:orientation val="minMax"/>
        </c:scaling>
        <c:delete val="0"/>
        <c:axPos val="b"/>
        <c:numFmt formatCode="General" sourceLinked="0"/>
        <c:majorTickMark val="none"/>
        <c:minorTickMark val="none"/>
        <c:tickLblPos val="nextTo"/>
        <c:crossAx val="135534848"/>
        <c:crosses val="autoZero"/>
        <c:auto val="1"/>
        <c:lblAlgn val="ctr"/>
        <c:lblOffset val="100"/>
        <c:noMultiLvlLbl val="0"/>
      </c:catAx>
      <c:valAx>
        <c:axId val="135534848"/>
        <c:scaling>
          <c:orientation val="minMax"/>
        </c:scaling>
        <c:delete val="0"/>
        <c:axPos val="l"/>
        <c:majorGridlines/>
        <c:numFmt formatCode="General" sourceLinked="1"/>
        <c:majorTickMark val="none"/>
        <c:minorTickMark val="none"/>
        <c:tickLblPos val="nextTo"/>
        <c:spPr>
          <a:ln w="9525">
            <a:noFill/>
          </a:ln>
        </c:spPr>
        <c:crossAx val="135533312"/>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'Times per unit'!$A$37</c:f>
              <c:strCache>
                <c:ptCount val="1"/>
                <c:pt idx="0">
                  <c:v>Grievances/ Complaints occurred on:</c:v>
                </c:pt>
              </c:strCache>
            </c:strRef>
          </c:tx>
          <c:invertIfNegative val="0"/>
          <c:cat>
            <c:strRef>
              <c:f>'Times per unit'!$A$159:$A$166</c:f>
              <c:strCache>
                <c:ptCount val="8"/>
                <c:pt idx="0">
                  <c:v>Monday</c:v>
                </c:pt>
                <c:pt idx="1">
                  <c:v>Tuesday</c:v>
                </c:pt>
                <c:pt idx="2">
                  <c:v>Wednesday</c:v>
                </c:pt>
                <c:pt idx="3">
                  <c:v>Thursday</c:v>
                </c:pt>
                <c:pt idx="4">
                  <c:v>Friday</c:v>
                </c:pt>
                <c:pt idx="5">
                  <c:v>Saturday</c:v>
                </c:pt>
                <c:pt idx="6">
                  <c:v>Sunday</c:v>
                </c:pt>
                <c:pt idx="7">
                  <c:v>Over a period of time</c:v>
                </c:pt>
              </c:strCache>
            </c:strRef>
          </c:cat>
          <c:val>
            <c:numRef>
              <c:f>'Times per unit'!$B$159:$B$166</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D7A2-1A41-8560-62A075EB2F77}"/>
            </c:ext>
          </c:extLst>
        </c:ser>
        <c:dLbls>
          <c:showLegendKey val="0"/>
          <c:showVal val="0"/>
          <c:showCatName val="0"/>
          <c:showSerName val="0"/>
          <c:showPercent val="0"/>
          <c:showBubbleSize val="0"/>
        </c:dLbls>
        <c:gapWidth val="150"/>
        <c:axId val="135563136"/>
        <c:axId val="135564672"/>
      </c:barChart>
      <c:catAx>
        <c:axId val="135563136"/>
        <c:scaling>
          <c:orientation val="minMax"/>
        </c:scaling>
        <c:delete val="0"/>
        <c:axPos val="b"/>
        <c:numFmt formatCode="General" sourceLinked="0"/>
        <c:majorTickMark val="out"/>
        <c:minorTickMark val="none"/>
        <c:tickLblPos val="nextTo"/>
        <c:crossAx val="135564672"/>
        <c:crosses val="autoZero"/>
        <c:auto val="1"/>
        <c:lblAlgn val="ctr"/>
        <c:lblOffset val="100"/>
        <c:noMultiLvlLbl val="0"/>
      </c:catAx>
      <c:valAx>
        <c:axId val="135564672"/>
        <c:scaling>
          <c:orientation val="minMax"/>
        </c:scaling>
        <c:delete val="0"/>
        <c:axPos val="l"/>
        <c:majorGridlines/>
        <c:numFmt formatCode="General" sourceLinked="1"/>
        <c:majorTickMark val="out"/>
        <c:minorTickMark val="none"/>
        <c:tickLblPos val="nextTo"/>
        <c:crossAx val="135563136"/>
        <c:crosses val="autoZero"/>
        <c:crossBetween val="between"/>
      </c:valAx>
    </c:plotArea>
    <c:plotVisOnly val="1"/>
    <c:dispBlanksAs val="gap"/>
    <c:showDLblsOverMax val="0"/>
  </c:chart>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'Population %'!$A$105</c:f>
              <c:strCache>
                <c:ptCount val="1"/>
                <c:pt idx="0">
                  <c:v>Population Writing Grievances on Starting Point in 2015</c:v>
                </c:pt>
              </c:strCache>
            </c:strRef>
          </c:tx>
          <c:marker>
            <c:symbol val="none"/>
          </c:marker>
          <c:cat>
            <c:strRef>
              <c:f>'Population %'!$B$104:$M$104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'Population %'!$B$105:$M$105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E29-F640-9728-673B296AA744}"/>
            </c:ext>
          </c:extLst>
        </c:ser>
        <c:dLbls>
          <c:showLegendKey val="0"/>
          <c:showVal val="0"/>
          <c:showCatName val="0"/>
          <c:showSerName val="0"/>
          <c:showPercent val="0"/>
          <c:showBubbleSize val="0"/>
        </c:dLbls>
        <c:smooth val="0"/>
        <c:axId val="135584768"/>
        <c:axId val="135590656"/>
      </c:lineChart>
      <c:catAx>
        <c:axId val="135584768"/>
        <c:scaling>
          <c:orientation val="minMax"/>
        </c:scaling>
        <c:delete val="0"/>
        <c:axPos val="b"/>
        <c:numFmt formatCode="General" sourceLinked="0"/>
        <c:majorTickMark val="out"/>
        <c:minorTickMark val="none"/>
        <c:tickLblPos val="nextTo"/>
        <c:crossAx val="135590656"/>
        <c:crosses val="autoZero"/>
        <c:auto val="1"/>
        <c:lblAlgn val="ctr"/>
        <c:lblOffset val="100"/>
        <c:noMultiLvlLbl val="0"/>
      </c:catAx>
      <c:valAx>
        <c:axId val="135590656"/>
        <c:scaling>
          <c:orientation val="minMax"/>
        </c:scaling>
        <c:delete val="0"/>
        <c:axPos val="l"/>
        <c:majorGridlines/>
        <c:numFmt formatCode="0%" sourceLinked="1"/>
        <c:majorTickMark val="out"/>
        <c:minorTickMark val="none"/>
        <c:tickLblPos val="nextTo"/>
        <c:crossAx val="135584768"/>
        <c:crosses val="autoZero"/>
        <c:crossBetween val="between"/>
      </c:valAx>
    </c:plotArea>
    <c:plotVisOnly val="1"/>
    <c:dispBlanksAs val="gap"/>
    <c:showDLblsOverMax val="0"/>
  </c:chart>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Transformations 1 Grievances</a:t>
            </a:r>
          </a:p>
        </c:rich>
      </c:tx>
      <c:overlay val="0"/>
    </c:title>
    <c:autoTitleDeleted val="0"/>
    <c:plotArea>
      <c:layout/>
      <c:lineChart>
        <c:grouping val="standard"/>
        <c:varyColors val="0"/>
        <c:ser>
          <c:idx val="0"/>
          <c:order val="0"/>
          <c:tx>
            <c:strRef>
              <c:f>'Unit Stats'!$A$60</c:f>
              <c:strCache>
                <c:ptCount val="1"/>
                <c:pt idx="0">
                  <c:v>FALSE</c:v>
                </c:pt>
              </c:strCache>
            </c:strRef>
          </c:tx>
          <c:marker>
            <c:symbol val="none"/>
          </c:marker>
          <c:cat>
            <c:strRef>
              <c:f>'Unit Stats'!$B$59:$M$59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Stats'!$B$60:$M$60</c:f>
              <c:numCache>
                <c:formatCode>0</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0-E182-B342-8D23-987D7CC3AF9E}"/>
            </c:ext>
          </c:extLst>
        </c:ser>
        <c:ser>
          <c:idx val="1"/>
          <c:order val="1"/>
          <c:tx>
            <c:strRef>
              <c:f>'Unit Stats'!$A$63</c:f>
              <c:strCache>
                <c:ptCount val="1"/>
                <c:pt idx="0">
                  <c:v>TRUE</c:v>
                </c:pt>
              </c:strCache>
            </c:strRef>
          </c:tx>
          <c:marker>
            <c:symbol val="none"/>
          </c:marker>
          <c:cat>
            <c:strRef>
              <c:f>'Unit Stats'!$B$59:$M$59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Stats'!$B$63:$M$63</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1-E182-B342-8D23-987D7CC3AF9E}"/>
            </c:ext>
          </c:extLst>
        </c:ser>
        <c:ser>
          <c:idx val="2"/>
          <c:order val="2"/>
          <c:tx>
            <c:strRef>
              <c:f>'Unit Stats'!$A$68</c:f>
              <c:strCache>
                <c:ptCount val="1"/>
                <c:pt idx="0">
                  <c:v>INCONCLUSIVE</c:v>
                </c:pt>
              </c:strCache>
            </c:strRef>
          </c:tx>
          <c:marker>
            <c:symbol val="none"/>
          </c:marker>
          <c:cat>
            <c:strRef>
              <c:f>'Unit Stats'!$B$59:$M$59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Stats'!$B$68:$M$68</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2-E182-B342-8D23-987D7CC3AF9E}"/>
            </c:ext>
          </c:extLst>
        </c:ser>
        <c:ser>
          <c:idx val="3"/>
          <c:order val="3"/>
          <c:tx>
            <c:strRef>
              <c:f>'Unit Stats'!$A$69</c:f>
              <c:strCache>
                <c:ptCount val="1"/>
                <c:pt idx="0">
                  <c:v>Perception Complaints</c:v>
                </c:pt>
              </c:strCache>
            </c:strRef>
          </c:tx>
          <c:marker>
            <c:symbol val="none"/>
          </c:marker>
          <c:cat>
            <c:strRef>
              <c:f>'Unit Stats'!$B$59:$M$59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Stats'!$B$69:$M$69</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3-E182-B342-8D23-987D7CC3AF9E}"/>
            </c:ext>
          </c:extLst>
        </c:ser>
        <c:ser>
          <c:idx val="4"/>
          <c:order val="4"/>
          <c:tx>
            <c:strRef>
              <c:f>'Unit Stats'!$A$70</c:f>
              <c:strCache>
                <c:ptCount val="1"/>
                <c:pt idx="0">
                  <c:v>PENDING</c:v>
                </c:pt>
              </c:strCache>
            </c:strRef>
          </c:tx>
          <c:marker>
            <c:symbol val="none"/>
          </c:marker>
          <c:cat>
            <c:strRef>
              <c:f>'Unit Stats'!$B$59:$M$59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Stats'!$B$70:$M$70</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4-E182-B342-8D23-987D7CC3AF9E}"/>
            </c:ext>
          </c:extLst>
        </c:ser>
        <c:ser>
          <c:idx val="5"/>
          <c:order val="5"/>
          <c:tx>
            <c:strRef>
              <c:f>'Unit Stats'!$A$71</c:f>
              <c:strCache>
                <c:ptCount val="1"/>
                <c:pt idx="0">
                  <c:v>Total</c:v>
                </c:pt>
              </c:strCache>
            </c:strRef>
          </c:tx>
          <c:marker>
            <c:symbol val="none"/>
          </c:marker>
          <c:val>
            <c:numRef>
              <c:f>'Unit Stats'!$B$71:$M$71</c:f>
              <c:numCache>
                <c:formatCode>0</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5-E182-B342-8D23-987D7CC3AF9E}"/>
            </c:ext>
          </c:extLst>
        </c:ser>
        <c:dLbls>
          <c:showLegendKey val="0"/>
          <c:showVal val="0"/>
          <c:showCatName val="0"/>
          <c:showSerName val="0"/>
          <c:showPercent val="0"/>
          <c:showBubbleSize val="0"/>
        </c:dLbls>
        <c:smooth val="0"/>
        <c:axId val="135655808"/>
        <c:axId val="135657344"/>
      </c:lineChart>
      <c:catAx>
        <c:axId val="135655808"/>
        <c:scaling>
          <c:orientation val="minMax"/>
        </c:scaling>
        <c:delete val="0"/>
        <c:axPos val="b"/>
        <c:numFmt formatCode="General" sourceLinked="0"/>
        <c:majorTickMark val="none"/>
        <c:minorTickMark val="none"/>
        <c:tickLblPos val="nextTo"/>
        <c:crossAx val="135657344"/>
        <c:crosses val="autoZero"/>
        <c:auto val="1"/>
        <c:lblAlgn val="ctr"/>
        <c:lblOffset val="100"/>
        <c:noMultiLvlLbl val="0"/>
      </c:catAx>
      <c:valAx>
        <c:axId val="135657344"/>
        <c:scaling>
          <c:orientation val="minMax"/>
        </c:scaling>
        <c:delete val="0"/>
        <c:axPos val="l"/>
        <c:majorGridlines/>
        <c:numFmt formatCode="0" sourceLinked="1"/>
        <c:majorTickMark val="none"/>
        <c:minorTickMark val="none"/>
        <c:tickLblPos val="nextTo"/>
        <c:crossAx val="135655808"/>
        <c:crosses val="autoZero"/>
        <c:crossBetween val="between"/>
      </c:valAx>
      <c:dTable>
        <c:showHorzBorder val="1"/>
        <c:showVertBorder val="1"/>
        <c:showOutline val="1"/>
        <c:showKeys val="1"/>
      </c:dTable>
    </c:plotArea>
    <c:plotVisOnly val="1"/>
    <c:dispBlanksAs val="gap"/>
    <c:showDLblsOverMax val="0"/>
  </c:chart>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en-US"/>
              <a:t>Trans</a:t>
            </a:r>
            <a:r>
              <a:rPr lang="en-US" baseline="0"/>
              <a:t> 1 - Grievances for 2015</a:t>
            </a:r>
            <a:endParaRPr lang="en-US"/>
          </a:p>
        </c:rich>
      </c:tx>
      <c:layout>
        <c:manualLayout>
          <c:xMode val="edge"/>
          <c:yMode val="edge"/>
          <c:x val="0.16621912193861674"/>
          <c:y val="3.0710166556306203E-2"/>
        </c:manualLayout>
      </c:layout>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Stats'!$A$60,'Unit Stats'!$A$63,'Unit Stats'!$A$68:$A$70)</c:f>
              <c:strCache>
                <c:ptCount val="5"/>
                <c:pt idx="0">
                  <c:v>FALSE</c:v>
                </c:pt>
                <c:pt idx="1">
                  <c:v>TRUE</c:v>
                </c:pt>
                <c:pt idx="2">
                  <c:v>INCONCLUSIVE</c:v>
                </c:pt>
                <c:pt idx="3">
                  <c:v>Perception Complaints</c:v>
                </c:pt>
                <c:pt idx="4">
                  <c:v>PENDING</c:v>
                </c:pt>
              </c:strCache>
            </c:strRef>
          </c:cat>
          <c:val>
            <c:numRef>
              <c:f>('Unit Stats'!$N$60,'Unit Stats'!$N$63,'Unit Stats'!$N$68:$N$70)</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6A57-4B4A-B7B2-64B4B5682256}"/>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1"/>
    </mc:Choice>
    <mc:Fallback>
      <c:style val="11"/>
    </mc:Fallback>
  </mc:AlternateContent>
  <c:chart>
    <c:title>
      <c:tx>
        <c:rich>
          <a:bodyPr/>
          <a:lstStyle/>
          <a:p>
            <a:pPr>
              <a:defRPr/>
            </a:pPr>
            <a:r>
              <a:rPr lang="en-US"/>
              <a:t>Trans 1: False Grievances </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Stats'!$A$61:$A$62</c:f>
              <c:strCache>
                <c:ptCount val="2"/>
                <c:pt idx="0">
                  <c:v>Deliberate</c:v>
                </c:pt>
                <c:pt idx="1">
                  <c:v>Misunderstanding</c:v>
                </c:pt>
              </c:strCache>
            </c:strRef>
          </c:cat>
          <c:val>
            <c:numRef>
              <c:f>'Unit Stats'!$N$61:$N$62</c:f>
              <c:numCache>
                <c:formatCode>0</c:formatCode>
                <c:ptCount val="2"/>
                <c:pt idx="0">
                  <c:v>0</c:v>
                </c:pt>
                <c:pt idx="1">
                  <c:v>0</c:v>
                </c:pt>
              </c:numCache>
            </c:numRef>
          </c:val>
          <c:extLst>
            <c:ext xmlns:c16="http://schemas.microsoft.com/office/drawing/2014/chart" uri="{C3380CC4-5D6E-409C-BE32-E72D297353CC}">
              <c16:uniqueId val="{00000000-22C5-0748-A8D1-917A786336E8}"/>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2"/>
    </mc:Choice>
    <mc:Fallback>
      <c:style val="12"/>
    </mc:Fallback>
  </mc:AlternateContent>
  <c:chart>
    <c:title>
      <c:tx>
        <c:rich>
          <a:bodyPr/>
          <a:lstStyle/>
          <a:p>
            <a:pPr>
              <a:defRPr/>
            </a:pPr>
            <a:r>
              <a:rPr lang="en-US"/>
              <a:t>Trans 1: True</a:t>
            </a:r>
            <a:r>
              <a:rPr lang="en-US" baseline="0"/>
              <a:t> Grievances </a:t>
            </a:r>
            <a:endParaRPr lang="en-US"/>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Stats'!$A$64:$A$67</c:f>
              <c:strCache>
                <c:ptCount val="4"/>
                <c:pt idx="0">
                  <c:v>Rights Violation</c:v>
                </c:pt>
                <c:pt idx="1">
                  <c:v>Policy Violation</c:v>
                </c:pt>
                <c:pt idx="2">
                  <c:v>Anti-Therapeutic</c:v>
                </c:pt>
                <c:pt idx="3">
                  <c:v>Other/ Misc</c:v>
                </c:pt>
              </c:strCache>
            </c:strRef>
          </c:cat>
          <c:val>
            <c:numRef>
              <c:f>'Unit Stats'!$N$64:$N$67</c:f>
              <c:numCache>
                <c:formatCode>0</c:formatCode>
                <c:ptCount val="4"/>
                <c:pt idx="0">
                  <c:v>0</c:v>
                </c:pt>
                <c:pt idx="1">
                  <c:v>0</c:v>
                </c:pt>
                <c:pt idx="2">
                  <c:v>0</c:v>
                </c:pt>
                <c:pt idx="3">
                  <c:v>0</c:v>
                </c:pt>
              </c:numCache>
            </c:numRef>
          </c:val>
          <c:extLst>
            <c:ext xmlns:c16="http://schemas.microsoft.com/office/drawing/2014/chart" uri="{C3380CC4-5D6E-409C-BE32-E72D297353CC}">
              <c16:uniqueId val="{00000000-8E3B-8C4A-A917-746F81AAEFA3}"/>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Times for Transformations 1</a:t>
            </a:r>
          </a:p>
          <a:p>
            <a:pPr>
              <a:defRPr/>
            </a:pPr>
            <a:endParaRPr lang="en-US"/>
          </a:p>
        </c:rich>
      </c:tx>
      <c:overlay val="0"/>
    </c:title>
    <c:autoTitleDeleted val="0"/>
    <c:plotArea>
      <c:layout/>
      <c:lineChart>
        <c:grouping val="standard"/>
        <c:varyColors val="0"/>
        <c:ser>
          <c:idx val="0"/>
          <c:order val="0"/>
          <c:tx>
            <c:strRef>
              <c:f>'Times per unit'!$A$9</c:f>
              <c:strCache>
                <c:ptCount val="1"/>
                <c:pt idx="0">
                  <c:v>Amount of alleged incidents within each time period</c:v>
                </c:pt>
              </c:strCache>
            </c:strRef>
          </c:tx>
          <c:marker>
            <c:symbol val="none"/>
          </c:marker>
          <c:cat>
            <c:strRef>
              <c:f>'Times per unit'!$A$173:$A$196</c:f>
              <c:strCache>
                <c:ptCount val="24"/>
                <c:pt idx="0">
                  <c:v>12:00 to 12:59 AM</c:v>
                </c:pt>
                <c:pt idx="1">
                  <c:v>1:00 to 1:59 AM</c:v>
                </c:pt>
                <c:pt idx="2">
                  <c:v>2:00 to 2:59 AM</c:v>
                </c:pt>
                <c:pt idx="3">
                  <c:v>3:00 to 3:59 AM</c:v>
                </c:pt>
                <c:pt idx="4">
                  <c:v>4:00 to 4:59 AM</c:v>
                </c:pt>
                <c:pt idx="5">
                  <c:v>5:00 to 5:59 AM</c:v>
                </c:pt>
                <c:pt idx="6">
                  <c:v>6:00 to 6:59 AM</c:v>
                </c:pt>
                <c:pt idx="7">
                  <c:v>7:00 to 7:59 AM</c:v>
                </c:pt>
                <c:pt idx="8">
                  <c:v>8:00 to 8:59 AM</c:v>
                </c:pt>
                <c:pt idx="9">
                  <c:v>9:00 to 9:59 AM</c:v>
                </c:pt>
                <c:pt idx="10">
                  <c:v>10:00 to 10:59 AM</c:v>
                </c:pt>
                <c:pt idx="11">
                  <c:v>11:00 to 11:59 AM</c:v>
                </c:pt>
                <c:pt idx="12">
                  <c:v>12:00 to 12:59 PM</c:v>
                </c:pt>
                <c:pt idx="13">
                  <c:v>1:00 to 1:59 PM</c:v>
                </c:pt>
                <c:pt idx="14">
                  <c:v>2:00 to 2:59 PM</c:v>
                </c:pt>
                <c:pt idx="15">
                  <c:v>3:00 to 3:59 PM</c:v>
                </c:pt>
                <c:pt idx="16">
                  <c:v>4:00 to 4:59 PM</c:v>
                </c:pt>
                <c:pt idx="17">
                  <c:v>5:00 to 5:59 PM</c:v>
                </c:pt>
                <c:pt idx="18">
                  <c:v>6:00 to 6:59 PM</c:v>
                </c:pt>
                <c:pt idx="19">
                  <c:v>7:00 to 7:59 PM</c:v>
                </c:pt>
                <c:pt idx="20">
                  <c:v>8:00 to 8:59 PM</c:v>
                </c:pt>
                <c:pt idx="21">
                  <c:v>9:00 to 9:59 PM</c:v>
                </c:pt>
                <c:pt idx="22">
                  <c:v>10:00 to 10:59 PM</c:v>
                </c:pt>
                <c:pt idx="23">
                  <c:v>11:00 to 11:59 PM</c:v>
                </c:pt>
              </c:strCache>
            </c:strRef>
          </c:cat>
          <c:val>
            <c:numRef>
              <c:f>'Times per unit'!$B$173:$B$196</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0-F0A9-194D-8CE5-AA9EEEBA2929}"/>
            </c:ext>
          </c:extLst>
        </c:ser>
        <c:dLbls>
          <c:showLegendKey val="0"/>
          <c:showVal val="0"/>
          <c:showCatName val="0"/>
          <c:showSerName val="0"/>
          <c:showPercent val="0"/>
          <c:showBubbleSize val="0"/>
        </c:dLbls>
        <c:smooth val="0"/>
        <c:axId val="135813760"/>
        <c:axId val="135836032"/>
      </c:lineChart>
      <c:catAx>
        <c:axId val="135813760"/>
        <c:scaling>
          <c:orientation val="minMax"/>
        </c:scaling>
        <c:delete val="0"/>
        <c:axPos val="b"/>
        <c:numFmt formatCode="General" sourceLinked="0"/>
        <c:majorTickMark val="none"/>
        <c:minorTickMark val="none"/>
        <c:tickLblPos val="nextTo"/>
        <c:crossAx val="135836032"/>
        <c:crosses val="autoZero"/>
        <c:auto val="1"/>
        <c:lblAlgn val="ctr"/>
        <c:lblOffset val="100"/>
        <c:noMultiLvlLbl val="0"/>
      </c:catAx>
      <c:valAx>
        <c:axId val="135836032"/>
        <c:scaling>
          <c:orientation val="minMax"/>
        </c:scaling>
        <c:delete val="0"/>
        <c:axPos val="l"/>
        <c:majorGridlines/>
        <c:numFmt formatCode="General" sourceLinked="1"/>
        <c:majorTickMark val="none"/>
        <c:minorTickMark val="none"/>
        <c:tickLblPos val="nextTo"/>
        <c:spPr>
          <a:ln w="9525">
            <a:noFill/>
          </a:ln>
        </c:spPr>
        <c:crossAx val="135813760"/>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'Times per unit'!$A$37</c:f>
              <c:strCache>
                <c:ptCount val="1"/>
                <c:pt idx="0">
                  <c:v>Grievances/ Complaints occurred on:</c:v>
                </c:pt>
              </c:strCache>
            </c:strRef>
          </c:tx>
          <c:invertIfNegative val="0"/>
          <c:cat>
            <c:strRef>
              <c:f>'Times per unit'!$A$199:$A$206</c:f>
              <c:strCache>
                <c:ptCount val="8"/>
                <c:pt idx="0">
                  <c:v>Monday</c:v>
                </c:pt>
                <c:pt idx="1">
                  <c:v>Tuesday</c:v>
                </c:pt>
                <c:pt idx="2">
                  <c:v>Wednesday</c:v>
                </c:pt>
                <c:pt idx="3">
                  <c:v>Thursday</c:v>
                </c:pt>
                <c:pt idx="4">
                  <c:v>Friday</c:v>
                </c:pt>
                <c:pt idx="5">
                  <c:v>Saturday</c:v>
                </c:pt>
                <c:pt idx="6">
                  <c:v>Sunday</c:v>
                </c:pt>
                <c:pt idx="7">
                  <c:v>Over a period of time</c:v>
                </c:pt>
              </c:strCache>
            </c:strRef>
          </c:cat>
          <c:val>
            <c:numRef>
              <c:f>'Times per unit'!$B$199:$B$206</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98A7-914D-81FA-B2176921C12C}"/>
            </c:ext>
          </c:extLst>
        </c:ser>
        <c:dLbls>
          <c:showLegendKey val="0"/>
          <c:showVal val="0"/>
          <c:showCatName val="0"/>
          <c:showSerName val="0"/>
          <c:showPercent val="0"/>
          <c:showBubbleSize val="0"/>
        </c:dLbls>
        <c:gapWidth val="75"/>
        <c:overlap val="-25"/>
        <c:axId val="135856128"/>
        <c:axId val="135857664"/>
      </c:barChart>
      <c:catAx>
        <c:axId val="135856128"/>
        <c:scaling>
          <c:orientation val="minMax"/>
        </c:scaling>
        <c:delete val="0"/>
        <c:axPos val="b"/>
        <c:numFmt formatCode="General" sourceLinked="0"/>
        <c:majorTickMark val="none"/>
        <c:minorTickMark val="none"/>
        <c:tickLblPos val="nextTo"/>
        <c:crossAx val="135857664"/>
        <c:crosses val="autoZero"/>
        <c:auto val="1"/>
        <c:lblAlgn val="ctr"/>
        <c:lblOffset val="100"/>
        <c:noMultiLvlLbl val="0"/>
      </c:catAx>
      <c:valAx>
        <c:axId val="135857664"/>
        <c:scaling>
          <c:orientation val="minMax"/>
        </c:scaling>
        <c:delete val="0"/>
        <c:axPos val="l"/>
        <c:majorGridlines/>
        <c:numFmt formatCode="General" sourceLinked="1"/>
        <c:majorTickMark val="none"/>
        <c:minorTickMark val="none"/>
        <c:tickLblPos val="nextTo"/>
        <c:spPr>
          <a:ln w="9525">
            <a:noFill/>
          </a:ln>
        </c:spPr>
        <c:crossAx val="135856128"/>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'Population %'!$A$123</c:f>
              <c:strCache>
                <c:ptCount val="1"/>
                <c:pt idx="0">
                  <c:v>Population Writing Grievances on Transformations 1 in 2015</c:v>
                </c:pt>
              </c:strCache>
            </c:strRef>
          </c:tx>
          <c:marker>
            <c:symbol val="none"/>
          </c:marker>
          <c:cat>
            <c:strRef>
              <c:f>'Population %'!$B$122:$M$122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'Population %'!$B$123:$M$123</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A13C-9549-B36E-2794FA2305A5}"/>
            </c:ext>
          </c:extLst>
        </c:ser>
        <c:dLbls>
          <c:showLegendKey val="0"/>
          <c:showVal val="0"/>
          <c:showCatName val="0"/>
          <c:showSerName val="0"/>
          <c:showPercent val="0"/>
          <c:showBubbleSize val="0"/>
        </c:dLbls>
        <c:smooth val="0"/>
        <c:axId val="135882240"/>
        <c:axId val="135883776"/>
      </c:lineChart>
      <c:catAx>
        <c:axId val="135882240"/>
        <c:scaling>
          <c:orientation val="minMax"/>
        </c:scaling>
        <c:delete val="0"/>
        <c:axPos val="b"/>
        <c:numFmt formatCode="General" sourceLinked="0"/>
        <c:majorTickMark val="out"/>
        <c:minorTickMark val="none"/>
        <c:tickLblPos val="nextTo"/>
        <c:crossAx val="135883776"/>
        <c:crosses val="autoZero"/>
        <c:auto val="1"/>
        <c:lblAlgn val="ctr"/>
        <c:lblOffset val="100"/>
        <c:noMultiLvlLbl val="0"/>
      </c:catAx>
      <c:valAx>
        <c:axId val="135883776"/>
        <c:scaling>
          <c:orientation val="minMax"/>
        </c:scaling>
        <c:delete val="0"/>
        <c:axPos val="l"/>
        <c:majorGridlines/>
        <c:numFmt formatCode="0%" sourceLinked="1"/>
        <c:majorTickMark val="out"/>
        <c:minorTickMark val="none"/>
        <c:tickLblPos val="nextTo"/>
        <c:crossAx val="135882240"/>
        <c:crosses val="autoZero"/>
        <c:crossBetween val="between"/>
      </c:valAx>
    </c:plotArea>
    <c:plotVisOnly val="1"/>
    <c:dispBlanksAs val="gap"/>
    <c:showDLblsOverMax val="0"/>
  </c:chart>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Transformations 2 Grievances</a:t>
            </a:r>
          </a:p>
        </c:rich>
      </c:tx>
      <c:overlay val="0"/>
    </c:title>
    <c:autoTitleDeleted val="0"/>
    <c:plotArea>
      <c:layout/>
      <c:lineChart>
        <c:grouping val="standard"/>
        <c:varyColors val="0"/>
        <c:ser>
          <c:idx val="0"/>
          <c:order val="0"/>
          <c:tx>
            <c:strRef>
              <c:f>'Unit Stats'!$A$74</c:f>
              <c:strCache>
                <c:ptCount val="1"/>
                <c:pt idx="0">
                  <c:v>FALSE</c:v>
                </c:pt>
              </c:strCache>
            </c:strRef>
          </c:tx>
          <c:marker>
            <c:symbol val="none"/>
          </c:marker>
          <c:cat>
            <c:strRef>
              <c:f>'Unit Stats'!$B$73:$M$73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Stats'!$B$74:$M$74</c:f>
              <c:numCache>
                <c:formatCode>0</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0-81F4-7446-992E-1D3A63A19E92}"/>
            </c:ext>
          </c:extLst>
        </c:ser>
        <c:ser>
          <c:idx val="1"/>
          <c:order val="1"/>
          <c:tx>
            <c:strRef>
              <c:f>'Unit Stats'!$A$77</c:f>
              <c:strCache>
                <c:ptCount val="1"/>
                <c:pt idx="0">
                  <c:v>TRUE</c:v>
                </c:pt>
              </c:strCache>
            </c:strRef>
          </c:tx>
          <c:marker>
            <c:symbol val="none"/>
          </c:marker>
          <c:cat>
            <c:strRef>
              <c:f>'Unit Stats'!$B$73:$M$73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Stats'!$B$77:$M$77</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1-81F4-7446-992E-1D3A63A19E92}"/>
            </c:ext>
          </c:extLst>
        </c:ser>
        <c:ser>
          <c:idx val="2"/>
          <c:order val="2"/>
          <c:tx>
            <c:strRef>
              <c:f>'Unit Stats'!$A$82</c:f>
              <c:strCache>
                <c:ptCount val="1"/>
                <c:pt idx="0">
                  <c:v>INCONCLUSIVE</c:v>
                </c:pt>
              </c:strCache>
            </c:strRef>
          </c:tx>
          <c:marker>
            <c:symbol val="none"/>
          </c:marker>
          <c:cat>
            <c:strRef>
              <c:f>'Unit Stats'!$B$73:$M$73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Stats'!$B$82:$M$82</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2-81F4-7446-992E-1D3A63A19E92}"/>
            </c:ext>
          </c:extLst>
        </c:ser>
        <c:ser>
          <c:idx val="3"/>
          <c:order val="3"/>
          <c:tx>
            <c:strRef>
              <c:f>'Unit Stats'!$A$83</c:f>
              <c:strCache>
                <c:ptCount val="1"/>
                <c:pt idx="0">
                  <c:v>Perception Complaints</c:v>
                </c:pt>
              </c:strCache>
            </c:strRef>
          </c:tx>
          <c:marker>
            <c:symbol val="none"/>
          </c:marker>
          <c:cat>
            <c:strRef>
              <c:f>'Unit Stats'!$B$73:$M$73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Stats'!$B$83:$M$83</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3-81F4-7446-992E-1D3A63A19E92}"/>
            </c:ext>
          </c:extLst>
        </c:ser>
        <c:ser>
          <c:idx val="4"/>
          <c:order val="4"/>
          <c:tx>
            <c:strRef>
              <c:f>'Unit Stats'!$A$84</c:f>
              <c:strCache>
                <c:ptCount val="1"/>
                <c:pt idx="0">
                  <c:v>PENDING</c:v>
                </c:pt>
              </c:strCache>
            </c:strRef>
          </c:tx>
          <c:marker>
            <c:symbol val="none"/>
          </c:marker>
          <c:cat>
            <c:strRef>
              <c:f>'Unit Stats'!$B$73:$M$73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Stats'!$B$84:$M$84</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4-81F4-7446-992E-1D3A63A19E92}"/>
            </c:ext>
          </c:extLst>
        </c:ser>
        <c:ser>
          <c:idx val="5"/>
          <c:order val="5"/>
          <c:tx>
            <c:strRef>
              <c:f>'Unit Stats'!$A$85</c:f>
              <c:strCache>
                <c:ptCount val="1"/>
                <c:pt idx="0">
                  <c:v>Total</c:v>
                </c:pt>
              </c:strCache>
            </c:strRef>
          </c:tx>
          <c:marker>
            <c:symbol val="none"/>
          </c:marker>
          <c:val>
            <c:numRef>
              <c:f>'Unit Stats'!$B$85:$M$85</c:f>
              <c:numCache>
                <c:formatCode>0</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5-81F4-7446-992E-1D3A63A19E92}"/>
            </c:ext>
          </c:extLst>
        </c:ser>
        <c:dLbls>
          <c:showLegendKey val="0"/>
          <c:showVal val="0"/>
          <c:showCatName val="0"/>
          <c:showSerName val="0"/>
          <c:showPercent val="0"/>
          <c:showBubbleSize val="0"/>
        </c:dLbls>
        <c:smooth val="0"/>
        <c:axId val="135941120"/>
        <c:axId val="135951104"/>
      </c:lineChart>
      <c:catAx>
        <c:axId val="135941120"/>
        <c:scaling>
          <c:orientation val="minMax"/>
        </c:scaling>
        <c:delete val="0"/>
        <c:axPos val="b"/>
        <c:numFmt formatCode="General" sourceLinked="0"/>
        <c:majorTickMark val="none"/>
        <c:minorTickMark val="none"/>
        <c:tickLblPos val="nextTo"/>
        <c:crossAx val="135951104"/>
        <c:crosses val="autoZero"/>
        <c:auto val="1"/>
        <c:lblAlgn val="ctr"/>
        <c:lblOffset val="100"/>
        <c:noMultiLvlLbl val="0"/>
      </c:catAx>
      <c:valAx>
        <c:axId val="135951104"/>
        <c:scaling>
          <c:orientation val="minMax"/>
        </c:scaling>
        <c:delete val="0"/>
        <c:axPos val="l"/>
        <c:majorGridlines/>
        <c:numFmt formatCode="0" sourceLinked="1"/>
        <c:majorTickMark val="none"/>
        <c:minorTickMark val="none"/>
        <c:tickLblPos val="nextTo"/>
        <c:crossAx val="135941120"/>
        <c:crosses val="autoZero"/>
        <c:crossBetween val="between"/>
      </c:valAx>
      <c:dTable>
        <c:showHorzBorder val="1"/>
        <c:showVertBorder val="1"/>
        <c:showOutline val="1"/>
        <c:showKeys val="1"/>
      </c:dTable>
    </c:plotArea>
    <c:plotVisOnly val="1"/>
    <c:dispBlanksAs val="gap"/>
    <c:showDLblsOverMax val="0"/>
  </c:chart>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en-US"/>
              <a:t>Trans 2 - Grievances for 2015</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Stats'!$A$74,'Unit Stats'!$A$77,'Unit Stats'!$A$82:$A$84)</c:f>
              <c:strCache>
                <c:ptCount val="5"/>
                <c:pt idx="0">
                  <c:v>FALSE</c:v>
                </c:pt>
                <c:pt idx="1">
                  <c:v>TRUE</c:v>
                </c:pt>
                <c:pt idx="2">
                  <c:v>INCONCLUSIVE</c:v>
                </c:pt>
                <c:pt idx="3">
                  <c:v>Perception Complaints</c:v>
                </c:pt>
                <c:pt idx="4">
                  <c:v>PENDING</c:v>
                </c:pt>
              </c:strCache>
            </c:strRef>
          </c:cat>
          <c:val>
            <c:numRef>
              <c:f>('Unit Stats'!$N$74,'Unit Stats'!$N$77,'Unit Stats'!$N$82:$N$84)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0340-E346-BFEE-A62BB34C38F5}"/>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1"/>
    </mc:Choice>
    <mc:Fallback>
      <c:style val="11"/>
    </mc:Fallback>
  </mc:AlternateContent>
  <c:chart>
    <c:title>
      <c:tx>
        <c:rich>
          <a:bodyPr/>
          <a:lstStyle/>
          <a:p>
            <a:pPr>
              <a:defRPr/>
            </a:pPr>
            <a:r>
              <a:rPr lang="en-US"/>
              <a:t>Trans 2: False Grievances</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Stats'!$A$75:$A$76</c:f>
              <c:strCache>
                <c:ptCount val="2"/>
                <c:pt idx="0">
                  <c:v>Deliberate</c:v>
                </c:pt>
                <c:pt idx="1">
                  <c:v>Misunderstanding</c:v>
                </c:pt>
              </c:strCache>
            </c:strRef>
          </c:cat>
          <c:val>
            <c:numRef>
              <c:f>'Unit Stats'!$N$75:$N$76</c:f>
              <c:numCache>
                <c:formatCode>0</c:formatCode>
                <c:ptCount val="2"/>
                <c:pt idx="0">
                  <c:v>0</c:v>
                </c:pt>
                <c:pt idx="1">
                  <c:v>0</c:v>
                </c:pt>
              </c:numCache>
            </c:numRef>
          </c:val>
          <c:extLst>
            <c:ext xmlns:c16="http://schemas.microsoft.com/office/drawing/2014/chart" uri="{C3380CC4-5D6E-409C-BE32-E72D297353CC}">
              <c16:uniqueId val="{00000000-0253-9E4F-97B2-BB0971ADE1F7}"/>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2"/>
    </mc:Choice>
    <mc:Fallback>
      <c:style val="12"/>
    </mc:Fallback>
  </mc:AlternateContent>
  <c:chart>
    <c:title>
      <c:tx>
        <c:rich>
          <a:bodyPr/>
          <a:lstStyle/>
          <a:p>
            <a:pPr>
              <a:defRPr/>
            </a:pPr>
            <a:r>
              <a:rPr lang="en-US"/>
              <a:t>Trans 2: True Grievances</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Stats'!$A$78:$A$81</c:f>
              <c:strCache>
                <c:ptCount val="4"/>
                <c:pt idx="0">
                  <c:v>Rights Violation</c:v>
                </c:pt>
                <c:pt idx="1">
                  <c:v>Policy Violation</c:v>
                </c:pt>
                <c:pt idx="2">
                  <c:v>Anti-Therapeutic</c:v>
                </c:pt>
                <c:pt idx="3">
                  <c:v>Other/ Misc</c:v>
                </c:pt>
              </c:strCache>
            </c:strRef>
          </c:cat>
          <c:val>
            <c:numRef>
              <c:f>'Unit Stats'!$N$78:$N$81</c:f>
              <c:numCache>
                <c:formatCode>0</c:formatCode>
                <c:ptCount val="4"/>
                <c:pt idx="0">
                  <c:v>0</c:v>
                </c:pt>
                <c:pt idx="1">
                  <c:v>0</c:v>
                </c:pt>
                <c:pt idx="2">
                  <c:v>0</c:v>
                </c:pt>
                <c:pt idx="3">
                  <c:v>0</c:v>
                </c:pt>
              </c:numCache>
            </c:numRef>
          </c:val>
          <c:extLst>
            <c:ext xmlns:c16="http://schemas.microsoft.com/office/drawing/2014/chart" uri="{C3380CC4-5D6E-409C-BE32-E72D297353CC}">
              <c16:uniqueId val="{00000000-3B12-5543-BE00-E4E5871EC22C}"/>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Times for Transformations 2</a:t>
            </a:r>
          </a:p>
        </c:rich>
      </c:tx>
      <c:overlay val="0"/>
    </c:title>
    <c:autoTitleDeleted val="0"/>
    <c:plotArea>
      <c:layout/>
      <c:lineChart>
        <c:grouping val="standard"/>
        <c:varyColors val="0"/>
        <c:ser>
          <c:idx val="0"/>
          <c:order val="0"/>
          <c:tx>
            <c:strRef>
              <c:f>'Times per unit'!$A$9</c:f>
              <c:strCache>
                <c:ptCount val="1"/>
                <c:pt idx="0">
                  <c:v>Amount of alleged incidents within each time period</c:v>
                </c:pt>
              </c:strCache>
            </c:strRef>
          </c:tx>
          <c:marker>
            <c:symbol val="none"/>
          </c:marker>
          <c:cat>
            <c:strRef>
              <c:f>'Times per unit'!$A$213:$A$236</c:f>
              <c:strCache>
                <c:ptCount val="24"/>
                <c:pt idx="0">
                  <c:v>12:00 to 12:59 AM</c:v>
                </c:pt>
                <c:pt idx="1">
                  <c:v>1:00 to 1:59 AM</c:v>
                </c:pt>
                <c:pt idx="2">
                  <c:v>2:00 to 2:59 AM</c:v>
                </c:pt>
                <c:pt idx="3">
                  <c:v>3:00 to 3:59 AM</c:v>
                </c:pt>
                <c:pt idx="4">
                  <c:v>4:00 to 4:59 AM</c:v>
                </c:pt>
                <c:pt idx="5">
                  <c:v>5:00 to 5:59 AM</c:v>
                </c:pt>
                <c:pt idx="6">
                  <c:v>6:00 to 6:59 AM</c:v>
                </c:pt>
                <c:pt idx="7">
                  <c:v>7:00 to 7:59 AM</c:v>
                </c:pt>
                <c:pt idx="8">
                  <c:v>8:00 to 8:59 AM</c:v>
                </c:pt>
                <c:pt idx="9">
                  <c:v>9:00 to 9:59 AM</c:v>
                </c:pt>
                <c:pt idx="10">
                  <c:v>10:00 to 10:59 AM</c:v>
                </c:pt>
                <c:pt idx="11">
                  <c:v>11:00 to 11:59 AM</c:v>
                </c:pt>
                <c:pt idx="12">
                  <c:v>12:00 to 12:59 PM</c:v>
                </c:pt>
                <c:pt idx="13">
                  <c:v>1:00 to 1:59 PM</c:v>
                </c:pt>
                <c:pt idx="14">
                  <c:v>2:00 to 2:59 PM</c:v>
                </c:pt>
                <c:pt idx="15">
                  <c:v>3:00 to 3:59 PM</c:v>
                </c:pt>
                <c:pt idx="16">
                  <c:v>4:00 to 4:59 PM</c:v>
                </c:pt>
                <c:pt idx="17">
                  <c:v>5:00 to 5:59 PM</c:v>
                </c:pt>
                <c:pt idx="18">
                  <c:v>6:00 to 6:59 PM</c:v>
                </c:pt>
                <c:pt idx="19">
                  <c:v>7:00 to 7:59 PM</c:v>
                </c:pt>
                <c:pt idx="20">
                  <c:v>8:00 to 8:59 PM</c:v>
                </c:pt>
                <c:pt idx="21">
                  <c:v>9:00 to 9:59 PM</c:v>
                </c:pt>
                <c:pt idx="22">
                  <c:v>10:00 to 10:59 PM</c:v>
                </c:pt>
                <c:pt idx="23">
                  <c:v>11:00 to 11:59 PM</c:v>
                </c:pt>
              </c:strCache>
            </c:strRef>
          </c:cat>
          <c:val>
            <c:numRef>
              <c:f>'Times per unit'!$B$213:$B$236</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0-A9CA-934E-B0EE-A0E328D8B32D}"/>
            </c:ext>
          </c:extLst>
        </c:ser>
        <c:dLbls>
          <c:showLegendKey val="0"/>
          <c:showVal val="0"/>
          <c:showCatName val="0"/>
          <c:showSerName val="0"/>
          <c:showPercent val="0"/>
          <c:showBubbleSize val="0"/>
        </c:dLbls>
        <c:smooth val="0"/>
        <c:axId val="134747648"/>
        <c:axId val="134749184"/>
      </c:lineChart>
      <c:catAx>
        <c:axId val="134747648"/>
        <c:scaling>
          <c:orientation val="minMax"/>
        </c:scaling>
        <c:delete val="0"/>
        <c:axPos val="b"/>
        <c:numFmt formatCode="General" sourceLinked="0"/>
        <c:majorTickMark val="none"/>
        <c:minorTickMark val="none"/>
        <c:tickLblPos val="nextTo"/>
        <c:crossAx val="134749184"/>
        <c:crosses val="autoZero"/>
        <c:auto val="1"/>
        <c:lblAlgn val="ctr"/>
        <c:lblOffset val="100"/>
        <c:noMultiLvlLbl val="0"/>
      </c:catAx>
      <c:valAx>
        <c:axId val="134749184"/>
        <c:scaling>
          <c:orientation val="minMax"/>
        </c:scaling>
        <c:delete val="0"/>
        <c:axPos val="l"/>
        <c:majorGridlines/>
        <c:numFmt formatCode="General" sourceLinked="1"/>
        <c:majorTickMark val="none"/>
        <c:minorTickMark val="none"/>
        <c:tickLblPos val="nextTo"/>
        <c:spPr>
          <a:ln w="9525">
            <a:noFill/>
          </a:ln>
        </c:spPr>
        <c:crossAx val="134747648"/>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'Times per unit'!$A$238</c:f>
              <c:strCache>
                <c:ptCount val="1"/>
                <c:pt idx="0">
                  <c:v>Days of the week:</c:v>
                </c:pt>
              </c:strCache>
            </c:strRef>
          </c:tx>
          <c:invertIfNegative val="0"/>
          <c:cat>
            <c:strRef>
              <c:f>'Times per unit'!$A$239:$A$246</c:f>
              <c:strCache>
                <c:ptCount val="8"/>
                <c:pt idx="0">
                  <c:v>Monday</c:v>
                </c:pt>
                <c:pt idx="1">
                  <c:v>Tuesday</c:v>
                </c:pt>
                <c:pt idx="2">
                  <c:v>Wednesday</c:v>
                </c:pt>
                <c:pt idx="3">
                  <c:v>Thursday</c:v>
                </c:pt>
                <c:pt idx="4">
                  <c:v>Friday</c:v>
                </c:pt>
                <c:pt idx="5">
                  <c:v>Saturday</c:v>
                </c:pt>
                <c:pt idx="6">
                  <c:v>Sunday</c:v>
                </c:pt>
                <c:pt idx="7">
                  <c:v>Over a period of time</c:v>
                </c:pt>
              </c:strCache>
            </c:strRef>
          </c:cat>
          <c:val>
            <c:numRef>
              <c:f>'Times per unit'!$B$239:$B$246</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0236-6948-AB29-DBB0C6260B60}"/>
            </c:ext>
          </c:extLst>
        </c:ser>
        <c:dLbls>
          <c:showLegendKey val="0"/>
          <c:showVal val="0"/>
          <c:showCatName val="0"/>
          <c:showSerName val="0"/>
          <c:showPercent val="0"/>
          <c:showBubbleSize val="0"/>
        </c:dLbls>
        <c:gapWidth val="75"/>
        <c:overlap val="-25"/>
        <c:axId val="134761472"/>
        <c:axId val="134775552"/>
      </c:barChart>
      <c:catAx>
        <c:axId val="134761472"/>
        <c:scaling>
          <c:orientation val="minMax"/>
        </c:scaling>
        <c:delete val="0"/>
        <c:axPos val="b"/>
        <c:numFmt formatCode="General" sourceLinked="0"/>
        <c:majorTickMark val="none"/>
        <c:minorTickMark val="none"/>
        <c:tickLblPos val="nextTo"/>
        <c:crossAx val="134775552"/>
        <c:crosses val="autoZero"/>
        <c:auto val="1"/>
        <c:lblAlgn val="ctr"/>
        <c:lblOffset val="100"/>
        <c:noMultiLvlLbl val="0"/>
      </c:catAx>
      <c:valAx>
        <c:axId val="134775552"/>
        <c:scaling>
          <c:orientation val="minMax"/>
        </c:scaling>
        <c:delete val="0"/>
        <c:axPos val="l"/>
        <c:majorGridlines/>
        <c:numFmt formatCode="General" sourceLinked="1"/>
        <c:majorTickMark val="none"/>
        <c:minorTickMark val="none"/>
        <c:tickLblPos val="nextTo"/>
        <c:spPr>
          <a:ln w="9525">
            <a:noFill/>
          </a:ln>
        </c:spPr>
        <c:crossAx val="134761472"/>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'Population %'!$A$144</c:f>
              <c:strCache>
                <c:ptCount val="1"/>
                <c:pt idx="0">
                  <c:v>Population Writing Grievances on Transformations 2 in 2015</c:v>
                </c:pt>
              </c:strCache>
            </c:strRef>
          </c:tx>
          <c:marker>
            <c:symbol val="none"/>
          </c:marker>
          <c:cat>
            <c:strRef>
              <c:f>'Population %'!$B$143:$M$143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'Population %'!$B$144:$M$144</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61A1-2648-B7E6-98DD89C29D29}"/>
            </c:ext>
          </c:extLst>
        </c:ser>
        <c:dLbls>
          <c:showLegendKey val="0"/>
          <c:showVal val="0"/>
          <c:showCatName val="0"/>
          <c:showSerName val="0"/>
          <c:showPercent val="0"/>
          <c:showBubbleSize val="0"/>
        </c:dLbls>
        <c:smooth val="0"/>
        <c:axId val="134812416"/>
        <c:axId val="134813952"/>
      </c:lineChart>
      <c:catAx>
        <c:axId val="134812416"/>
        <c:scaling>
          <c:orientation val="minMax"/>
        </c:scaling>
        <c:delete val="0"/>
        <c:axPos val="b"/>
        <c:numFmt formatCode="General" sourceLinked="0"/>
        <c:majorTickMark val="out"/>
        <c:minorTickMark val="none"/>
        <c:tickLblPos val="nextTo"/>
        <c:crossAx val="134813952"/>
        <c:crosses val="autoZero"/>
        <c:auto val="1"/>
        <c:lblAlgn val="ctr"/>
        <c:lblOffset val="100"/>
        <c:noMultiLvlLbl val="0"/>
      </c:catAx>
      <c:valAx>
        <c:axId val="134813952"/>
        <c:scaling>
          <c:orientation val="minMax"/>
        </c:scaling>
        <c:delete val="0"/>
        <c:axPos val="l"/>
        <c:majorGridlines/>
        <c:numFmt formatCode="0%" sourceLinked="1"/>
        <c:majorTickMark val="out"/>
        <c:minorTickMark val="none"/>
        <c:tickLblPos val="nextTo"/>
        <c:crossAx val="134812416"/>
        <c:crosses val="autoZero"/>
        <c:crossBetween val="between"/>
      </c:valAx>
    </c:plotArea>
    <c:plotVisOnly val="1"/>
    <c:dispBlanksAs val="gap"/>
    <c:showDLblsOverMax val="0"/>
  </c:chart>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Triad Grievances</a:t>
            </a:r>
          </a:p>
        </c:rich>
      </c:tx>
      <c:overlay val="0"/>
    </c:title>
    <c:autoTitleDeleted val="0"/>
    <c:plotArea>
      <c:layout/>
      <c:lineChart>
        <c:grouping val="standard"/>
        <c:varyColors val="0"/>
        <c:ser>
          <c:idx val="0"/>
          <c:order val="0"/>
          <c:tx>
            <c:strRef>
              <c:f>'Unit Stats'!$A$88</c:f>
              <c:strCache>
                <c:ptCount val="1"/>
                <c:pt idx="0">
                  <c:v>FALSE</c:v>
                </c:pt>
              </c:strCache>
            </c:strRef>
          </c:tx>
          <c:marker>
            <c:symbol val="none"/>
          </c:marker>
          <c:cat>
            <c:strRef>
              <c:f>'Unit Stats'!$B$87:$M$87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Stats'!$B$88:$M$88</c:f>
              <c:numCache>
                <c:formatCode>0</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0-1BFA-9E41-96BD-565E8A90AD24}"/>
            </c:ext>
          </c:extLst>
        </c:ser>
        <c:ser>
          <c:idx val="1"/>
          <c:order val="1"/>
          <c:tx>
            <c:strRef>
              <c:f>'Unit Stats'!$A$91</c:f>
              <c:strCache>
                <c:ptCount val="1"/>
                <c:pt idx="0">
                  <c:v>TRUE</c:v>
                </c:pt>
              </c:strCache>
            </c:strRef>
          </c:tx>
          <c:marker>
            <c:symbol val="none"/>
          </c:marker>
          <c:cat>
            <c:strRef>
              <c:f>'Unit Stats'!$B$87:$M$87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Stats'!$B$91:$M$91</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1-1BFA-9E41-96BD-565E8A90AD24}"/>
            </c:ext>
          </c:extLst>
        </c:ser>
        <c:ser>
          <c:idx val="2"/>
          <c:order val="2"/>
          <c:tx>
            <c:strRef>
              <c:f>'Unit Stats'!$A$96</c:f>
              <c:strCache>
                <c:ptCount val="1"/>
                <c:pt idx="0">
                  <c:v>INCONCLUSIVE</c:v>
                </c:pt>
              </c:strCache>
            </c:strRef>
          </c:tx>
          <c:marker>
            <c:symbol val="none"/>
          </c:marker>
          <c:cat>
            <c:strRef>
              <c:f>'Unit Stats'!$B$87:$M$87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Stats'!$B$96:$M$96</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2-1BFA-9E41-96BD-565E8A90AD24}"/>
            </c:ext>
          </c:extLst>
        </c:ser>
        <c:ser>
          <c:idx val="3"/>
          <c:order val="3"/>
          <c:tx>
            <c:strRef>
              <c:f>'Unit Stats'!$A$97</c:f>
              <c:strCache>
                <c:ptCount val="1"/>
                <c:pt idx="0">
                  <c:v>Perception Complaints</c:v>
                </c:pt>
              </c:strCache>
            </c:strRef>
          </c:tx>
          <c:marker>
            <c:symbol val="none"/>
          </c:marker>
          <c:cat>
            <c:strRef>
              <c:f>'Unit Stats'!$B$87:$M$87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Stats'!$B$97:$M$97</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3-1BFA-9E41-96BD-565E8A90AD24}"/>
            </c:ext>
          </c:extLst>
        </c:ser>
        <c:ser>
          <c:idx val="4"/>
          <c:order val="4"/>
          <c:tx>
            <c:strRef>
              <c:f>'Unit Stats'!$A$98</c:f>
              <c:strCache>
                <c:ptCount val="1"/>
                <c:pt idx="0">
                  <c:v>PENDING</c:v>
                </c:pt>
              </c:strCache>
            </c:strRef>
          </c:tx>
          <c:marker>
            <c:symbol val="none"/>
          </c:marker>
          <c:cat>
            <c:strRef>
              <c:f>'Unit Stats'!$B$87:$M$87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Stats'!$B$98:$M$98</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4-1BFA-9E41-96BD-565E8A90AD24}"/>
            </c:ext>
          </c:extLst>
        </c:ser>
        <c:ser>
          <c:idx val="5"/>
          <c:order val="5"/>
          <c:tx>
            <c:strRef>
              <c:f>'Unit Stats'!$A$99</c:f>
              <c:strCache>
                <c:ptCount val="1"/>
                <c:pt idx="0">
                  <c:v>Total</c:v>
                </c:pt>
              </c:strCache>
            </c:strRef>
          </c:tx>
          <c:marker>
            <c:symbol val="none"/>
          </c:marker>
          <c:val>
            <c:numRef>
              <c:f>'Unit Stats'!$B$99:$M$99</c:f>
              <c:numCache>
                <c:formatCode>0</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5-1BFA-9E41-96BD-565E8A90AD24}"/>
            </c:ext>
          </c:extLst>
        </c:ser>
        <c:dLbls>
          <c:showLegendKey val="0"/>
          <c:showVal val="0"/>
          <c:showCatName val="0"/>
          <c:showSerName val="0"/>
          <c:showPercent val="0"/>
          <c:showBubbleSize val="0"/>
        </c:dLbls>
        <c:smooth val="0"/>
        <c:axId val="134862720"/>
        <c:axId val="134864256"/>
      </c:lineChart>
      <c:catAx>
        <c:axId val="134862720"/>
        <c:scaling>
          <c:orientation val="minMax"/>
        </c:scaling>
        <c:delete val="0"/>
        <c:axPos val="b"/>
        <c:numFmt formatCode="General" sourceLinked="0"/>
        <c:majorTickMark val="none"/>
        <c:minorTickMark val="none"/>
        <c:tickLblPos val="nextTo"/>
        <c:crossAx val="134864256"/>
        <c:crosses val="autoZero"/>
        <c:auto val="1"/>
        <c:lblAlgn val="ctr"/>
        <c:lblOffset val="100"/>
        <c:noMultiLvlLbl val="0"/>
      </c:catAx>
      <c:valAx>
        <c:axId val="134864256"/>
        <c:scaling>
          <c:orientation val="minMax"/>
        </c:scaling>
        <c:delete val="0"/>
        <c:axPos val="l"/>
        <c:majorGridlines/>
        <c:numFmt formatCode="0" sourceLinked="1"/>
        <c:majorTickMark val="none"/>
        <c:minorTickMark val="none"/>
        <c:tickLblPos val="nextTo"/>
        <c:crossAx val="134862720"/>
        <c:crosses val="autoZero"/>
        <c:crossBetween val="between"/>
      </c:valAx>
      <c:dTable>
        <c:showHorzBorder val="1"/>
        <c:showVertBorder val="1"/>
        <c:showOutline val="1"/>
        <c:showKeys val="1"/>
      </c:dTable>
    </c:plotArea>
    <c:plotVisOnly val="1"/>
    <c:dispBlanksAs val="gap"/>
    <c:showDLblsOverMax val="0"/>
  </c:chart>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en-US"/>
              <a:t>Triad - Grievances for 2015</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Stats'!$A$88,'Unit Stats'!$A$91,'Unit Stats'!$A$96:$A$98)</c:f>
              <c:strCache>
                <c:ptCount val="5"/>
                <c:pt idx="0">
                  <c:v>FALSE</c:v>
                </c:pt>
                <c:pt idx="1">
                  <c:v>TRUE</c:v>
                </c:pt>
                <c:pt idx="2">
                  <c:v>INCONCLUSIVE</c:v>
                </c:pt>
                <c:pt idx="3">
                  <c:v>Perception Complaints</c:v>
                </c:pt>
                <c:pt idx="4">
                  <c:v>PENDING</c:v>
                </c:pt>
              </c:strCache>
            </c:strRef>
          </c:cat>
          <c:val>
            <c:numRef>
              <c:f>('Unit Stats'!$N$88,'Unit Stats'!$N$91,'Unit Stats'!$N$96:$N$98)</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8C29-F44D-AF56-BEB5B0F3C4D8}"/>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1"/>
    </mc:Choice>
    <mc:Fallback>
      <c:style val="11"/>
    </mc:Fallback>
  </mc:AlternateContent>
  <c:chart>
    <c:title>
      <c:tx>
        <c:rich>
          <a:bodyPr/>
          <a:lstStyle/>
          <a:p>
            <a:pPr>
              <a:defRPr/>
            </a:pPr>
            <a:r>
              <a:rPr lang="en-US"/>
              <a:t>Triad: False Grievances for 2015</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Stats'!$A$89:$A$90</c:f>
              <c:strCache>
                <c:ptCount val="2"/>
                <c:pt idx="0">
                  <c:v>Deliberate</c:v>
                </c:pt>
                <c:pt idx="1">
                  <c:v>Misunderstanding</c:v>
                </c:pt>
              </c:strCache>
            </c:strRef>
          </c:cat>
          <c:val>
            <c:numRef>
              <c:f>'Unit Stats'!$N$89:$N$90</c:f>
              <c:numCache>
                <c:formatCode>0</c:formatCode>
                <c:ptCount val="2"/>
                <c:pt idx="0">
                  <c:v>0</c:v>
                </c:pt>
                <c:pt idx="1">
                  <c:v>0</c:v>
                </c:pt>
              </c:numCache>
            </c:numRef>
          </c:val>
          <c:extLst>
            <c:ext xmlns:c16="http://schemas.microsoft.com/office/drawing/2014/chart" uri="{C3380CC4-5D6E-409C-BE32-E72D297353CC}">
              <c16:uniqueId val="{00000000-333F-DC4C-8B48-38A50CC5B5FA}"/>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2"/>
    </mc:Choice>
    <mc:Fallback>
      <c:style val="12"/>
    </mc:Fallback>
  </mc:AlternateContent>
  <c:chart>
    <c:title>
      <c:tx>
        <c:rich>
          <a:bodyPr/>
          <a:lstStyle/>
          <a:p>
            <a:pPr>
              <a:defRPr/>
            </a:pPr>
            <a:r>
              <a:rPr lang="en-US"/>
              <a:t>Triad: True Grievances for 2015</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Stats'!$A$92:$A$95</c:f>
              <c:strCache>
                <c:ptCount val="4"/>
                <c:pt idx="0">
                  <c:v>Rights Violation</c:v>
                </c:pt>
                <c:pt idx="1">
                  <c:v>Policy Violation</c:v>
                </c:pt>
                <c:pt idx="2">
                  <c:v>Anti-Therapeutic</c:v>
                </c:pt>
                <c:pt idx="3">
                  <c:v>Other/ Misc</c:v>
                </c:pt>
              </c:strCache>
            </c:strRef>
          </c:cat>
          <c:val>
            <c:numRef>
              <c:f>'Unit Stats'!$N$92:$N$95</c:f>
              <c:numCache>
                <c:formatCode>0</c:formatCode>
                <c:ptCount val="4"/>
                <c:pt idx="0">
                  <c:v>0</c:v>
                </c:pt>
                <c:pt idx="1">
                  <c:v>0</c:v>
                </c:pt>
                <c:pt idx="2">
                  <c:v>0</c:v>
                </c:pt>
                <c:pt idx="3">
                  <c:v>0</c:v>
                </c:pt>
              </c:numCache>
            </c:numRef>
          </c:val>
          <c:extLst>
            <c:ext xmlns:c16="http://schemas.microsoft.com/office/drawing/2014/chart" uri="{C3380CC4-5D6E-409C-BE32-E72D297353CC}">
              <c16:uniqueId val="{00000000-BD63-364D-B84F-EBC19E302B05}"/>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Times for Triad</a:t>
            </a:r>
          </a:p>
        </c:rich>
      </c:tx>
      <c:overlay val="0"/>
    </c:title>
    <c:autoTitleDeleted val="0"/>
    <c:plotArea>
      <c:layout/>
      <c:lineChart>
        <c:grouping val="standard"/>
        <c:varyColors val="0"/>
        <c:ser>
          <c:idx val="0"/>
          <c:order val="0"/>
          <c:tx>
            <c:strRef>
              <c:f>'Times per unit'!$A$9</c:f>
              <c:strCache>
                <c:ptCount val="1"/>
                <c:pt idx="0">
                  <c:v>Amount of alleged incidents within each time period</c:v>
                </c:pt>
              </c:strCache>
            </c:strRef>
          </c:tx>
          <c:marker>
            <c:symbol val="none"/>
          </c:marker>
          <c:cat>
            <c:strRef>
              <c:f>'Times per unit'!$A$253:$A$276</c:f>
              <c:strCache>
                <c:ptCount val="24"/>
                <c:pt idx="0">
                  <c:v>12:00 to 12:59 AM</c:v>
                </c:pt>
                <c:pt idx="1">
                  <c:v>1:00 to 1:59 AM</c:v>
                </c:pt>
                <c:pt idx="2">
                  <c:v>2:00 to 2:59 AM</c:v>
                </c:pt>
                <c:pt idx="3">
                  <c:v>3:00 to 3:59 AM</c:v>
                </c:pt>
                <c:pt idx="4">
                  <c:v>4:00 to 4:59 AM</c:v>
                </c:pt>
                <c:pt idx="5">
                  <c:v>5:00 to 5:59 AM</c:v>
                </c:pt>
                <c:pt idx="6">
                  <c:v>6:00 to 6:59 AM</c:v>
                </c:pt>
                <c:pt idx="7">
                  <c:v>7:00 to 7:59 AM</c:v>
                </c:pt>
                <c:pt idx="8">
                  <c:v>8:00 to 8:59 AM</c:v>
                </c:pt>
                <c:pt idx="9">
                  <c:v>9:00 to 9:59 AM</c:v>
                </c:pt>
                <c:pt idx="10">
                  <c:v>10:00 to 10:59 AM</c:v>
                </c:pt>
                <c:pt idx="11">
                  <c:v>11:00 to 11:59 AM</c:v>
                </c:pt>
                <c:pt idx="12">
                  <c:v>12:00 to 12:59 PM</c:v>
                </c:pt>
                <c:pt idx="13">
                  <c:v>1:00 to 1:59 PM</c:v>
                </c:pt>
                <c:pt idx="14">
                  <c:v>2:00 to 2:59 PM</c:v>
                </c:pt>
                <c:pt idx="15">
                  <c:v>3:00 to 3:59 PM</c:v>
                </c:pt>
                <c:pt idx="16">
                  <c:v>4:00 to 4:59 PM</c:v>
                </c:pt>
                <c:pt idx="17">
                  <c:v>5:00 to 5:59 PM</c:v>
                </c:pt>
                <c:pt idx="18">
                  <c:v>6:00 to 6:59 PM</c:v>
                </c:pt>
                <c:pt idx="19">
                  <c:v>7:00 to 7:59 PM</c:v>
                </c:pt>
                <c:pt idx="20">
                  <c:v>8:00 to 8:59 PM</c:v>
                </c:pt>
                <c:pt idx="21">
                  <c:v>9:00 to 9:59 PM</c:v>
                </c:pt>
                <c:pt idx="22">
                  <c:v>10:00 to 10:59 PM</c:v>
                </c:pt>
                <c:pt idx="23">
                  <c:v>11:00 to 11:59 PM</c:v>
                </c:pt>
              </c:strCache>
            </c:strRef>
          </c:cat>
          <c:val>
            <c:numRef>
              <c:f>'Times per unit'!$B$253:$B$276</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0-661C-044B-8E51-8B8988BDCE1A}"/>
            </c:ext>
          </c:extLst>
        </c:ser>
        <c:dLbls>
          <c:showLegendKey val="0"/>
          <c:showVal val="0"/>
          <c:showCatName val="0"/>
          <c:showSerName val="0"/>
          <c:showPercent val="0"/>
          <c:showBubbleSize val="0"/>
        </c:dLbls>
        <c:smooth val="0"/>
        <c:axId val="136413184"/>
        <c:axId val="136414720"/>
      </c:lineChart>
      <c:catAx>
        <c:axId val="136413184"/>
        <c:scaling>
          <c:orientation val="minMax"/>
        </c:scaling>
        <c:delete val="0"/>
        <c:axPos val="b"/>
        <c:numFmt formatCode="General" sourceLinked="0"/>
        <c:majorTickMark val="none"/>
        <c:minorTickMark val="none"/>
        <c:tickLblPos val="nextTo"/>
        <c:crossAx val="136414720"/>
        <c:crosses val="autoZero"/>
        <c:auto val="1"/>
        <c:lblAlgn val="ctr"/>
        <c:lblOffset val="100"/>
        <c:noMultiLvlLbl val="0"/>
      </c:catAx>
      <c:valAx>
        <c:axId val="136414720"/>
        <c:scaling>
          <c:orientation val="minMax"/>
        </c:scaling>
        <c:delete val="0"/>
        <c:axPos val="l"/>
        <c:majorGridlines/>
        <c:numFmt formatCode="General" sourceLinked="1"/>
        <c:majorTickMark val="none"/>
        <c:minorTickMark val="none"/>
        <c:tickLblPos val="nextTo"/>
        <c:spPr>
          <a:ln w="9525">
            <a:noFill/>
          </a:ln>
        </c:spPr>
        <c:crossAx val="136413184"/>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'Times per unit'!$A$278</c:f>
              <c:strCache>
                <c:ptCount val="1"/>
                <c:pt idx="0">
                  <c:v>Days of the week:</c:v>
                </c:pt>
              </c:strCache>
            </c:strRef>
          </c:tx>
          <c:invertIfNegative val="0"/>
          <c:cat>
            <c:strRef>
              <c:f>'Times per unit'!$A$279:$A$286</c:f>
              <c:strCache>
                <c:ptCount val="8"/>
                <c:pt idx="0">
                  <c:v>Monday</c:v>
                </c:pt>
                <c:pt idx="1">
                  <c:v>Tuesday</c:v>
                </c:pt>
                <c:pt idx="2">
                  <c:v>Wednesday</c:v>
                </c:pt>
                <c:pt idx="3">
                  <c:v>Thursday</c:v>
                </c:pt>
                <c:pt idx="4">
                  <c:v>Friday</c:v>
                </c:pt>
                <c:pt idx="5">
                  <c:v>Saturday</c:v>
                </c:pt>
                <c:pt idx="6">
                  <c:v>Sunday</c:v>
                </c:pt>
                <c:pt idx="7">
                  <c:v>Over a period of time</c:v>
                </c:pt>
              </c:strCache>
            </c:strRef>
          </c:cat>
          <c:val>
            <c:numRef>
              <c:f>'Times per unit'!$B$279:$B$286</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97A0-FE4C-9AF6-4C5368AE8FC5}"/>
            </c:ext>
          </c:extLst>
        </c:ser>
        <c:dLbls>
          <c:showLegendKey val="0"/>
          <c:showVal val="0"/>
          <c:showCatName val="0"/>
          <c:showSerName val="0"/>
          <c:showPercent val="0"/>
          <c:showBubbleSize val="0"/>
        </c:dLbls>
        <c:gapWidth val="75"/>
        <c:overlap val="-25"/>
        <c:axId val="136184960"/>
        <c:axId val="136186496"/>
      </c:barChart>
      <c:catAx>
        <c:axId val="136184960"/>
        <c:scaling>
          <c:orientation val="minMax"/>
        </c:scaling>
        <c:delete val="0"/>
        <c:axPos val="b"/>
        <c:numFmt formatCode="General" sourceLinked="0"/>
        <c:majorTickMark val="none"/>
        <c:minorTickMark val="none"/>
        <c:tickLblPos val="nextTo"/>
        <c:crossAx val="136186496"/>
        <c:crosses val="autoZero"/>
        <c:auto val="1"/>
        <c:lblAlgn val="ctr"/>
        <c:lblOffset val="100"/>
        <c:noMultiLvlLbl val="0"/>
      </c:catAx>
      <c:valAx>
        <c:axId val="136186496"/>
        <c:scaling>
          <c:orientation val="minMax"/>
        </c:scaling>
        <c:delete val="0"/>
        <c:axPos val="l"/>
        <c:majorGridlines/>
        <c:numFmt formatCode="General" sourceLinked="1"/>
        <c:majorTickMark val="none"/>
        <c:minorTickMark val="none"/>
        <c:tickLblPos val="nextTo"/>
        <c:spPr>
          <a:ln w="9525">
            <a:noFill/>
          </a:ln>
        </c:spPr>
        <c:crossAx val="136184960"/>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'Population %'!$A$164</c:f>
              <c:strCache>
                <c:ptCount val="1"/>
                <c:pt idx="0">
                  <c:v>Population Writing Grievances on Triad in 2015</c:v>
                </c:pt>
              </c:strCache>
            </c:strRef>
          </c:tx>
          <c:marker>
            <c:symbol val="none"/>
          </c:marker>
          <c:cat>
            <c:strRef>
              <c:f>'Population %'!$B$163:$M$163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'Population %'!$B$164:$M$164</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8E7D-B944-A9B6-5124B87C76F5}"/>
            </c:ext>
          </c:extLst>
        </c:ser>
        <c:dLbls>
          <c:showLegendKey val="0"/>
          <c:showVal val="0"/>
          <c:showCatName val="0"/>
          <c:showSerName val="0"/>
          <c:showPercent val="0"/>
          <c:showBubbleSize val="0"/>
        </c:dLbls>
        <c:smooth val="0"/>
        <c:axId val="136198784"/>
        <c:axId val="136216960"/>
      </c:lineChart>
      <c:catAx>
        <c:axId val="136198784"/>
        <c:scaling>
          <c:orientation val="minMax"/>
        </c:scaling>
        <c:delete val="0"/>
        <c:axPos val="b"/>
        <c:numFmt formatCode="General" sourceLinked="0"/>
        <c:majorTickMark val="out"/>
        <c:minorTickMark val="none"/>
        <c:tickLblPos val="nextTo"/>
        <c:crossAx val="136216960"/>
        <c:crosses val="autoZero"/>
        <c:auto val="1"/>
        <c:lblAlgn val="ctr"/>
        <c:lblOffset val="100"/>
        <c:noMultiLvlLbl val="0"/>
      </c:catAx>
      <c:valAx>
        <c:axId val="136216960"/>
        <c:scaling>
          <c:orientation val="minMax"/>
        </c:scaling>
        <c:delete val="0"/>
        <c:axPos val="l"/>
        <c:majorGridlines/>
        <c:numFmt formatCode="0%" sourceLinked="1"/>
        <c:majorTickMark val="out"/>
        <c:minorTickMark val="none"/>
        <c:tickLblPos val="nextTo"/>
        <c:crossAx val="136198784"/>
        <c:crosses val="autoZero"/>
        <c:crossBetween val="between"/>
      </c:valAx>
    </c:plotArea>
    <c:plotVisOnly val="1"/>
    <c:dispBlanksAs val="gap"/>
    <c:showDLblsOverMax val="0"/>
  </c:chart>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Turning Point Grievances</a:t>
            </a:r>
          </a:p>
        </c:rich>
      </c:tx>
      <c:overlay val="0"/>
    </c:title>
    <c:autoTitleDeleted val="0"/>
    <c:plotArea>
      <c:layout/>
      <c:lineChart>
        <c:grouping val="standard"/>
        <c:varyColors val="0"/>
        <c:ser>
          <c:idx val="0"/>
          <c:order val="0"/>
          <c:tx>
            <c:strRef>
              <c:f>'Unit Stats'!$A$102</c:f>
              <c:strCache>
                <c:ptCount val="1"/>
                <c:pt idx="0">
                  <c:v>FALSE</c:v>
                </c:pt>
              </c:strCache>
            </c:strRef>
          </c:tx>
          <c:marker>
            <c:symbol val="none"/>
          </c:marker>
          <c:cat>
            <c:strRef>
              <c:f>'Unit Stats'!$B$101:$M$101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Stats'!$B$102:$M$102</c:f>
              <c:numCache>
                <c:formatCode>0</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0-28C3-FD4D-BA5E-7232BC408CC3}"/>
            </c:ext>
          </c:extLst>
        </c:ser>
        <c:ser>
          <c:idx val="1"/>
          <c:order val="1"/>
          <c:tx>
            <c:strRef>
              <c:f>'Unit Stats'!$A$105</c:f>
              <c:strCache>
                <c:ptCount val="1"/>
                <c:pt idx="0">
                  <c:v>TRUE</c:v>
                </c:pt>
              </c:strCache>
            </c:strRef>
          </c:tx>
          <c:marker>
            <c:symbol val="none"/>
          </c:marker>
          <c:cat>
            <c:strRef>
              <c:f>'Unit Stats'!$B$101:$M$101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Stats'!$B$105:$M$105</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1-28C3-FD4D-BA5E-7232BC408CC3}"/>
            </c:ext>
          </c:extLst>
        </c:ser>
        <c:ser>
          <c:idx val="2"/>
          <c:order val="2"/>
          <c:tx>
            <c:strRef>
              <c:f>'Unit Stats'!$A$110</c:f>
              <c:strCache>
                <c:ptCount val="1"/>
                <c:pt idx="0">
                  <c:v>INCONCLUSIVE</c:v>
                </c:pt>
              </c:strCache>
            </c:strRef>
          </c:tx>
          <c:marker>
            <c:symbol val="none"/>
          </c:marker>
          <c:cat>
            <c:strRef>
              <c:f>'Unit Stats'!$B$101:$M$101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Stats'!$B$110:$M$110</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2-28C3-FD4D-BA5E-7232BC408CC3}"/>
            </c:ext>
          </c:extLst>
        </c:ser>
        <c:ser>
          <c:idx val="3"/>
          <c:order val="3"/>
          <c:tx>
            <c:strRef>
              <c:f>'Unit Stats'!$A$111</c:f>
              <c:strCache>
                <c:ptCount val="1"/>
                <c:pt idx="0">
                  <c:v>Perception Complaints</c:v>
                </c:pt>
              </c:strCache>
            </c:strRef>
          </c:tx>
          <c:marker>
            <c:symbol val="none"/>
          </c:marker>
          <c:cat>
            <c:strRef>
              <c:f>'Unit Stats'!$B$101:$M$101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Stats'!$B$111:$M$111</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3-28C3-FD4D-BA5E-7232BC408CC3}"/>
            </c:ext>
          </c:extLst>
        </c:ser>
        <c:ser>
          <c:idx val="4"/>
          <c:order val="4"/>
          <c:tx>
            <c:strRef>
              <c:f>'Unit Stats'!$A$112</c:f>
              <c:strCache>
                <c:ptCount val="1"/>
                <c:pt idx="0">
                  <c:v>PENDING</c:v>
                </c:pt>
              </c:strCache>
            </c:strRef>
          </c:tx>
          <c:marker>
            <c:symbol val="none"/>
          </c:marker>
          <c:cat>
            <c:strRef>
              <c:f>'Unit Stats'!$B$101:$M$101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Stats'!$B$112:$M$112</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4-28C3-FD4D-BA5E-7232BC408CC3}"/>
            </c:ext>
          </c:extLst>
        </c:ser>
        <c:ser>
          <c:idx val="5"/>
          <c:order val="5"/>
          <c:tx>
            <c:strRef>
              <c:f>'Unit Stats'!$A$113</c:f>
              <c:strCache>
                <c:ptCount val="1"/>
                <c:pt idx="0">
                  <c:v>Total</c:v>
                </c:pt>
              </c:strCache>
            </c:strRef>
          </c:tx>
          <c:marker>
            <c:symbol val="none"/>
          </c:marker>
          <c:val>
            <c:numRef>
              <c:f>'Unit Stats'!$B$113:$M$113</c:f>
              <c:numCache>
                <c:formatCode>0</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5-28C3-FD4D-BA5E-7232BC408CC3}"/>
            </c:ext>
          </c:extLst>
        </c:ser>
        <c:dLbls>
          <c:showLegendKey val="0"/>
          <c:showVal val="0"/>
          <c:showCatName val="0"/>
          <c:showSerName val="0"/>
          <c:showPercent val="0"/>
          <c:showBubbleSize val="0"/>
        </c:dLbls>
        <c:smooth val="0"/>
        <c:axId val="136261632"/>
        <c:axId val="136263168"/>
      </c:lineChart>
      <c:catAx>
        <c:axId val="136261632"/>
        <c:scaling>
          <c:orientation val="minMax"/>
        </c:scaling>
        <c:delete val="0"/>
        <c:axPos val="b"/>
        <c:numFmt formatCode="General" sourceLinked="0"/>
        <c:majorTickMark val="none"/>
        <c:minorTickMark val="none"/>
        <c:tickLblPos val="nextTo"/>
        <c:crossAx val="136263168"/>
        <c:crosses val="autoZero"/>
        <c:auto val="1"/>
        <c:lblAlgn val="ctr"/>
        <c:lblOffset val="100"/>
        <c:noMultiLvlLbl val="0"/>
      </c:catAx>
      <c:valAx>
        <c:axId val="136263168"/>
        <c:scaling>
          <c:orientation val="minMax"/>
        </c:scaling>
        <c:delete val="0"/>
        <c:axPos val="l"/>
        <c:majorGridlines/>
        <c:numFmt formatCode="0" sourceLinked="1"/>
        <c:majorTickMark val="none"/>
        <c:minorTickMark val="none"/>
        <c:tickLblPos val="nextTo"/>
        <c:crossAx val="136261632"/>
        <c:crosses val="autoZero"/>
        <c:crossBetween val="between"/>
      </c:valAx>
      <c:dTable>
        <c:showHorzBorder val="1"/>
        <c:showVertBorder val="1"/>
        <c:showOutline val="1"/>
        <c:showKeys val="1"/>
      </c:dTable>
    </c:plotArea>
    <c:plotVisOnly val="1"/>
    <c:dispBlanksAs val="gap"/>
    <c:showDLblsOverMax val="0"/>
  </c:chart>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en-US"/>
              <a:t>Turning Point - Grievances for 2015</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Stats'!$A$102,'Unit Stats'!$A$105,'Unit Stats'!$A$110:$A$112)</c:f>
              <c:strCache>
                <c:ptCount val="5"/>
                <c:pt idx="0">
                  <c:v>FALSE</c:v>
                </c:pt>
                <c:pt idx="1">
                  <c:v>TRUE</c:v>
                </c:pt>
                <c:pt idx="2">
                  <c:v>INCONCLUSIVE</c:v>
                </c:pt>
                <c:pt idx="3">
                  <c:v>Perception Complaints</c:v>
                </c:pt>
                <c:pt idx="4">
                  <c:v>PENDING</c:v>
                </c:pt>
              </c:strCache>
            </c:strRef>
          </c:cat>
          <c:val>
            <c:numRef>
              <c:f>('Unit Stats'!$N$102,'Unit Stats'!$N$105,'Unit Stats'!$N$110:$N$112)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C3D3-CA45-9763-53DD36C7223E}"/>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1"/>
    </mc:Choice>
    <mc:Fallback>
      <c:style val="11"/>
    </mc:Fallback>
  </mc:AlternateContent>
  <c:chart>
    <c:title>
      <c:tx>
        <c:rich>
          <a:bodyPr/>
          <a:lstStyle/>
          <a:p>
            <a:pPr>
              <a:defRPr/>
            </a:pPr>
            <a:r>
              <a:rPr lang="en-US"/>
              <a:t>Turning Point: False Grievances </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Stats'!$A$103:$A$104</c:f>
              <c:strCache>
                <c:ptCount val="2"/>
                <c:pt idx="0">
                  <c:v>Deliberate</c:v>
                </c:pt>
                <c:pt idx="1">
                  <c:v>Misunderstanding</c:v>
                </c:pt>
              </c:strCache>
            </c:strRef>
          </c:cat>
          <c:val>
            <c:numRef>
              <c:f>'Unit Stats'!$N$103:$N$104</c:f>
              <c:numCache>
                <c:formatCode>0</c:formatCode>
                <c:ptCount val="2"/>
                <c:pt idx="0">
                  <c:v>0</c:v>
                </c:pt>
                <c:pt idx="1">
                  <c:v>0</c:v>
                </c:pt>
              </c:numCache>
            </c:numRef>
          </c:val>
          <c:extLst>
            <c:ext xmlns:c16="http://schemas.microsoft.com/office/drawing/2014/chart" uri="{C3380CC4-5D6E-409C-BE32-E72D297353CC}">
              <c16:uniqueId val="{00000000-96D3-3D45-BE12-1295E46622A5}"/>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2"/>
    </mc:Choice>
    <mc:Fallback>
      <c:style val="12"/>
    </mc:Fallback>
  </mc:AlternateContent>
  <c:chart>
    <c:title>
      <c:tx>
        <c:rich>
          <a:bodyPr/>
          <a:lstStyle/>
          <a:p>
            <a:pPr>
              <a:defRPr/>
            </a:pPr>
            <a:r>
              <a:rPr lang="en-US"/>
              <a:t>Turning Point:</a:t>
            </a:r>
            <a:r>
              <a:rPr lang="en-US" baseline="0"/>
              <a:t> True Grievances</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Stats'!$A$106:$A$109</c:f>
              <c:strCache>
                <c:ptCount val="4"/>
                <c:pt idx="0">
                  <c:v>Rights Violation</c:v>
                </c:pt>
                <c:pt idx="1">
                  <c:v>Policy Violation</c:v>
                </c:pt>
                <c:pt idx="2">
                  <c:v>Anti-Therapeutic</c:v>
                </c:pt>
                <c:pt idx="3">
                  <c:v>Other/ Misc</c:v>
                </c:pt>
              </c:strCache>
            </c:strRef>
          </c:cat>
          <c:val>
            <c:numRef>
              <c:f>'Unit Stats'!$N$106:$N$109</c:f>
              <c:numCache>
                <c:formatCode>0</c:formatCode>
                <c:ptCount val="4"/>
                <c:pt idx="0">
                  <c:v>0</c:v>
                </c:pt>
                <c:pt idx="1">
                  <c:v>0</c:v>
                </c:pt>
                <c:pt idx="2">
                  <c:v>0</c:v>
                </c:pt>
                <c:pt idx="3">
                  <c:v>0</c:v>
                </c:pt>
              </c:numCache>
            </c:numRef>
          </c:val>
          <c:extLst>
            <c:ext xmlns:c16="http://schemas.microsoft.com/office/drawing/2014/chart" uri="{C3380CC4-5D6E-409C-BE32-E72D297353CC}">
              <c16:uniqueId val="{00000000-77A1-4E40-ADDA-BBC38DCCC939}"/>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Times for Turning Point</a:t>
            </a:r>
          </a:p>
        </c:rich>
      </c:tx>
      <c:overlay val="0"/>
    </c:title>
    <c:autoTitleDeleted val="0"/>
    <c:plotArea>
      <c:layout/>
      <c:lineChart>
        <c:grouping val="standard"/>
        <c:varyColors val="0"/>
        <c:ser>
          <c:idx val="0"/>
          <c:order val="0"/>
          <c:tx>
            <c:strRef>
              <c:f>'Times per unit'!$A$9</c:f>
              <c:strCache>
                <c:ptCount val="1"/>
                <c:pt idx="0">
                  <c:v>Amount of alleged incidents within each time period</c:v>
                </c:pt>
              </c:strCache>
            </c:strRef>
          </c:tx>
          <c:marker>
            <c:symbol val="none"/>
          </c:marker>
          <c:cat>
            <c:strRef>
              <c:f>'Times per unit'!$A$293:$A$316</c:f>
              <c:strCache>
                <c:ptCount val="24"/>
                <c:pt idx="0">
                  <c:v>12:00 to 12:59 AM</c:v>
                </c:pt>
                <c:pt idx="1">
                  <c:v>1:00 to 1:59 AM</c:v>
                </c:pt>
                <c:pt idx="2">
                  <c:v>2:00 to 2:59 AM</c:v>
                </c:pt>
                <c:pt idx="3">
                  <c:v>3:00 to 3:59 AM</c:v>
                </c:pt>
                <c:pt idx="4">
                  <c:v>4:00 to 4:59 AM</c:v>
                </c:pt>
                <c:pt idx="5">
                  <c:v>5:00 to 5:59 AM</c:v>
                </c:pt>
                <c:pt idx="6">
                  <c:v>6:00 to 6:59 AM</c:v>
                </c:pt>
                <c:pt idx="7">
                  <c:v>7:00 to 7:59 AM</c:v>
                </c:pt>
                <c:pt idx="8">
                  <c:v>8:00 to 8:59 AM</c:v>
                </c:pt>
                <c:pt idx="9">
                  <c:v>9:00 to 9:59 AM</c:v>
                </c:pt>
                <c:pt idx="10">
                  <c:v>10:00 to 10:59 AM</c:v>
                </c:pt>
                <c:pt idx="11">
                  <c:v>11:00 to 11:59 AM</c:v>
                </c:pt>
                <c:pt idx="12">
                  <c:v>12:00 to 12:59 PM</c:v>
                </c:pt>
                <c:pt idx="13">
                  <c:v>1:00 to 1:59 PM</c:v>
                </c:pt>
                <c:pt idx="14">
                  <c:v>2:00 to 2:59 PM</c:v>
                </c:pt>
                <c:pt idx="15">
                  <c:v>3:00 to 3:59 PM</c:v>
                </c:pt>
                <c:pt idx="16">
                  <c:v>4:00 to 4:59 PM</c:v>
                </c:pt>
                <c:pt idx="17">
                  <c:v>5:00 to 5:59 PM</c:v>
                </c:pt>
                <c:pt idx="18">
                  <c:v>6:00 to 6:59 PM</c:v>
                </c:pt>
                <c:pt idx="19">
                  <c:v>7:00 to 7:59 PM</c:v>
                </c:pt>
                <c:pt idx="20">
                  <c:v>8:00 to 8:59 PM</c:v>
                </c:pt>
                <c:pt idx="21">
                  <c:v>9:00 to 9:59 PM</c:v>
                </c:pt>
                <c:pt idx="22">
                  <c:v>10:00 to 10:59 PM</c:v>
                </c:pt>
                <c:pt idx="23">
                  <c:v>11:00 to 11:59 PM</c:v>
                </c:pt>
              </c:strCache>
            </c:strRef>
          </c:cat>
          <c:val>
            <c:numRef>
              <c:f>'Times per unit'!$B$293:$B$316</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0-B341-2842-966F-7CA2E6998FD5}"/>
            </c:ext>
          </c:extLst>
        </c:ser>
        <c:dLbls>
          <c:showLegendKey val="0"/>
          <c:showVal val="0"/>
          <c:showCatName val="0"/>
          <c:showSerName val="0"/>
          <c:showPercent val="0"/>
          <c:showBubbleSize val="0"/>
        </c:dLbls>
        <c:smooth val="0"/>
        <c:axId val="136751360"/>
        <c:axId val="136753152"/>
      </c:lineChart>
      <c:catAx>
        <c:axId val="136751360"/>
        <c:scaling>
          <c:orientation val="minMax"/>
        </c:scaling>
        <c:delete val="0"/>
        <c:axPos val="b"/>
        <c:numFmt formatCode="General" sourceLinked="0"/>
        <c:majorTickMark val="none"/>
        <c:minorTickMark val="none"/>
        <c:tickLblPos val="nextTo"/>
        <c:crossAx val="136753152"/>
        <c:crosses val="autoZero"/>
        <c:auto val="1"/>
        <c:lblAlgn val="ctr"/>
        <c:lblOffset val="100"/>
        <c:noMultiLvlLbl val="0"/>
      </c:catAx>
      <c:valAx>
        <c:axId val="136753152"/>
        <c:scaling>
          <c:orientation val="minMax"/>
        </c:scaling>
        <c:delete val="0"/>
        <c:axPos val="l"/>
        <c:majorGridlines/>
        <c:numFmt formatCode="General" sourceLinked="1"/>
        <c:majorTickMark val="none"/>
        <c:minorTickMark val="none"/>
        <c:tickLblPos val="nextTo"/>
        <c:spPr>
          <a:ln w="9525">
            <a:noFill/>
          </a:ln>
        </c:spPr>
        <c:crossAx val="136751360"/>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'Times per unit'!$A$318</c:f>
              <c:strCache>
                <c:ptCount val="1"/>
                <c:pt idx="0">
                  <c:v>Days of the week:</c:v>
                </c:pt>
              </c:strCache>
            </c:strRef>
          </c:tx>
          <c:invertIfNegative val="0"/>
          <c:cat>
            <c:strRef>
              <c:f>'Times per unit'!$A$319:$A$326</c:f>
              <c:strCache>
                <c:ptCount val="8"/>
                <c:pt idx="0">
                  <c:v>Monday</c:v>
                </c:pt>
                <c:pt idx="1">
                  <c:v>Tuesday</c:v>
                </c:pt>
                <c:pt idx="2">
                  <c:v>Wednesday</c:v>
                </c:pt>
                <c:pt idx="3">
                  <c:v>Thursday</c:v>
                </c:pt>
                <c:pt idx="4">
                  <c:v>Friday</c:v>
                </c:pt>
                <c:pt idx="5">
                  <c:v>Saturday</c:v>
                </c:pt>
                <c:pt idx="6">
                  <c:v>Sunday</c:v>
                </c:pt>
                <c:pt idx="7">
                  <c:v>Over a period of time</c:v>
                </c:pt>
              </c:strCache>
            </c:strRef>
          </c:cat>
          <c:val>
            <c:numRef>
              <c:f>'Times per unit'!$B$319:$B$326</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BA5F-394B-B47B-D309247C069E}"/>
            </c:ext>
          </c:extLst>
        </c:ser>
        <c:dLbls>
          <c:showLegendKey val="0"/>
          <c:showVal val="0"/>
          <c:showCatName val="0"/>
          <c:showSerName val="0"/>
          <c:showPercent val="0"/>
          <c:showBubbleSize val="0"/>
        </c:dLbls>
        <c:gapWidth val="75"/>
        <c:overlap val="-25"/>
        <c:axId val="136514944"/>
        <c:axId val="136520832"/>
      </c:barChart>
      <c:catAx>
        <c:axId val="136514944"/>
        <c:scaling>
          <c:orientation val="minMax"/>
        </c:scaling>
        <c:delete val="0"/>
        <c:axPos val="b"/>
        <c:numFmt formatCode="General" sourceLinked="0"/>
        <c:majorTickMark val="none"/>
        <c:minorTickMark val="none"/>
        <c:tickLblPos val="nextTo"/>
        <c:crossAx val="136520832"/>
        <c:crosses val="autoZero"/>
        <c:auto val="1"/>
        <c:lblAlgn val="ctr"/>
        <c:lblOffset val="100"/>
        <c:noMultiLvlLbl val="0"/>
      </c:catAx>
      <c:valAx>
        <c:axId val="136520832"/>
        <c:scaling>
          <c:orientation val="minMax"/>
        </c:scaling>
        <c:delete val="0"/>
        <c:axPos val="l"/>
        <c:majorGridlines/>
        <c:numFmt formatCode="General" sourceLinked="1"/>
        <c:majorTickMark val="none"/>
        <c:minorTickMark val="none"/>
        <c:tickLblPos val="nextTo"/>
        <c:spPr>
          <a:ln w="9525">
            <a:noFill/>
          </a:ln>
        </c:spPr>
        <c:crossAx val="136514944"/>
        <c:crosses val="autoZero"/>
        <c:crossBetween val="between"/>
      </c:valAx>
    </c:plotArea>
    <c:plotVisOnly val="1"/>
    <c:dispBlanksAs val="gap"/>
    <c:showDLblsOverMax val="0"/>
  </c:chart>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'Population %'!$A$185</c:f>
              <c:strCache>
                <c:ptCount val="1"/>
                <c:pt idx="0">
                  <c:v>Population Writing Grievances on Turning Point in 2015</c:v>
                </c:pt>
              </c:strCache>
            </c:strRef>
          </c:tx>
          <c:marker>
            <c:symbol val="none"/>
          </c:marker>
          <c:cat>
            <c:strRef>
              <c:f>'Population %'!$B$184:$M$184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'Population %'!$B$185:$M$185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F2B5-3D45-9B9D-D100E9EE5B7D}"/>
            </c:ext>
          </c:extLst>
        </c:ser>
        <c:dLbls>
          <c:showLegendKey val="0"/>
          <c:showVal val="0"/>
          <c:showCatName val="0"/>
          <c:showSerName val="0"/>
          <c:showPercent val="0"/>
          <c:showBubbleSize val="0"/>
        </c:dLbls>
        <c:smooth val="0"/>
        <c:axId val="136549120"/>
        <c:axId val="136550656"/>
      </c:lineChart>
      <c:catAx>
        <c:axId val="136549120"/>
        <c:scaling>
          <c:orientation val="minMax"/>
        </c:scaling>
        <c:delete val="0"/>
        <c:axPos val="b"/>
        <c:numFmt formatCode="General" sourceLinked="0"/>
        <c:majorTickMark val="out"/>
        <c:minorTickMark val="none"/>
        <c:tickLblPos val="nextTo"/>
        <c:crossAx val="136550656"/>
        <c:crosses val="autoZero"/>
        <c:auto val="1"/>
        <c:lblAlgn val="ctr"/>
        <c:lblOffset val="100"/>
        <c:noMultiLvlLbl val="0"/>
      </c:catAx>
      <c:valAx>
        <c:axId val="136550656"/>
        <c:scaling>
          <c:orientation val="minMax"/>
        </c:scaling>
        <c:delete val="0"/>
        <c:axPos val="l"/>
        <c:majorGridlines/>
        <c:numFmt formatCode="0%" sourceLinked="1"/>
        <c:majorTickMark val="out"/>
        <c:minorTickMark val="none"/>
        <c:tickLblPos val="nextTo"/>
        <c:crossAx val="136549120"/>
        <c:crosses val="autoZero"/>
        <c:crossBetween val="between"/>
      </c:valAx>
    </c:plotArea>
    <c:plotVisOnly val="1"/>
    <c:dispBlanksAs val="gap"/>
    <c:showDLblsOverMax val="0"/>
  </c:chart>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Waypoint Grievances</a:t>
            </a:r>
          </a:p>
        </c:rich>
      </c:tx>
      <c:overlay val="0"/>
    </c:title>
    <c:autoTitleDeleted val="0"/>
    <c:plotArea>
      <c:layout/>
      <c:lineChart>
        <c:grouping val="standard"/>
        <c:varyColors val="0"/>
        <c:ser>
          <c:idx val="0"/>
          <c:order val="0"/>
          <c:tx>
            <c:strRef>
              <c:f>'Unit Stats'!$A$116</c:f>
              <c:strCache>
                <c:ptCount val="1"/>
                <c:pt idx="0">
                  <c:v>FALSE</c:v>
                </c:pt>
              </c:strCache>
            </c:strRef>
          </c:tx>
          <c:marker>
            <c:symbol val="none"/>
          </c:marker>
          <c:cat>
            <c:strRef>
              <c:f>'Unit Stats'!$B$115:$M$115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Stats'!$B$116:$M$116</c:f>
              <c:numCache>
                <c:formatCode>0</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0-D35A-6847-B7B9-C7D837B434C9}"/>
            </c:ext>
          </c:extLst>
        </c:ser>
        <c:ser>
          <c:idx val="1"/>
          <c:order val="1"/>
          <c:tx>
            <c:strRef>
              <c:f>'Unit Stats'!$A$119</c:f>
              <c:strCache>
                <c:ptCount val="1"/>
                <c:pt idx="0">
                  <c:v>TRUE</c:v>
                </c:pt>
              </c:strCache>
            </c:strRef>
          </c:tx>
          <c:marker>
            <c:symbol val="none"/>
          </c:marker>
          <c:cat>
            <c:strRef>
              <c:f>'Unit Stats'!$B$115:$M$115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Stats'!$B$119:$M$119</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1-D35A-6847-B7B9-C7D837B434C9}"/>
            </c:ext>
          </c:extLst>
        </c:ser>
        <c:ser>
          <c:idx val="2"/>
          <c:order val="2"/>
          <c:tx>
            <c:strRef>
              <c:f>'Unit Stats'!$A$124</c:f>
              <c:strCache>
                <c:ptCount val="1"/>
                <c:pt idx="0">
                  <c:v>INCONCLUSIVE</c:v>
                </c:pt>
              </c:strCache>
            </c:strRef>
          </c:tx>
          <c:marker>
            <c:symbol val="none"/>
          </c:marker>
          <c:cat>
            <c:strRef>
              <c:f>'Unit Stats'!$B$115:$M$115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Stats'!$B$124:$M$124</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2-D35A-6847-B7B9-C7D837B434C9}"/>
            </c:ext>
          </c:extLst>
        </c:ser>
        <c:ser>
          <c:idx val="3"/>
          <c:order val="3"/>
          <c:tx>
            <c:strRef>
              <c:f>'Unit Stats'!$A$125</c:f>
              <c:strCache>
                <c:ptCount val="1"/>
                <c:pt idx="0">
                  <c:v>Perception Complaints</c:v>
                </c:pt>
              </c:strCache>
            </c:strRef>
          </c:tx>
          <c:marker>
            <c:symbol val="none"/>
          </c:marker>
          <c:cat>
            <c:strRef>
              <c:f>'Unit Stats'!$B$115:$M$115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Stats'!$B$125:$M$125</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3-D35A-6847-B7B9-C7D837B434C9}"/>
            </c:ext>
          </c:extLst>
        </c:ser>
        <c:ser>
          <c:idx val="4"/>
          <c:order val="4"/>
          <c:tx>
            <c:strRef>
              <c:f>'Unit Stats'!$A$126</c:f>
              <c:strCache>
                <c:ptCount val="1"/>
                <c:pt idx="0">
                  <c:v>PENDING</c:v>
                </c:pt>
              </c:strCache>
            </c:strRef>
          </c:tx>
          <c:marker>
            <c:symbol val="none"/>
          </c:marker>
          <c:cat>
            <c:strRef>
              <c:f>'Unit Stats'!$B$115:$M$115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Stats'!$B$126:$M$126</c:f>
              <c:numCache>
                <c:formatCode>General</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4-D35A-6847-B7B9-C7D837B434C9}"/>
            </c:ext>
          </c:extLst>
        </c:ser>
        <c:ser>
          <c:idx val="5"/>
          <c:order val="5"/>
          <c:tx>
            <c:strRef>
              <c:f>'Unit Stats'!$A$127</c:f>
              <c:strCache>
                <c:ptCount val="1"/>
                <c:pt idx="0">
                  <c:v>Total</c:v>
                </c:pt>
              </c:strCache>
            </c:strRef>
          </c:tx>
          <c:marker>
            <c:symbol val="none"/>
          </c:marker>
          <c:val>
            <c:numRef>
              <c:f>'Unit Stats'!$B$127:$M$127</c:f>
              <c:numCache>
                <c:formatCode>0</c:formatCode>
                <c:ptCount val="12"/>
                <c:pt idx="0">
                  <c:v>0</c:v>
                </c:pt>
                <c:pt idx="1">
                  <c:v>0</c:v>
                </c:pt>
                <c:pt idx="2">
                  <c:v>0</c:v>
                </c:pt>
                <c:pt idx="3">
                  <c:v>0</c:v>
                </c:pt>
                <c:pt idx="4">
                  <c:v>0</c:v>
                </c:pt>
                <c:pt idx="5">
                  <c:v>0</c:v>
                </c:pt>
              </c:numCache>
            </c:numRef>
          </c:val>
          <c:smooth val="0"/>
          <c:extLst>
            <c:ext xmlns:c16="http://schemas.microsoft.com/office/drawing/2014/chart" uri="{C3380CC4-5D6E-409C-BE32-E72D297353CC}">
              <c16:uniqueId val="{00000005-D35A-6847-B7B9-C7D837B434C9}"/>
            </c:ext>
          </c:extLst>
        </c:ser>
        <c:dLbls>
          <c:showLegendKey val="0"/>
          <c:showVal val="0"/>
          <c:showCatName val="0"/>
          <c:showSerName val="0"/>
          <c:showPercent val="0"/>
          <c:showBubbleSize val="0"/>
        </c:dLbls>
        <c:smooth val="0"/>
        <c:axId val="136669056"/>
        <c:axId val="136670592"/>
      </c:lineChart>
      <c:catAx>
        <c:axId val="136669056"/>
        <c:scaling>
          <c:orientation val="minMax"/>
        </c:scaling>
        <c:delete val="0"/>
        <c:axPos val="b"/>
        <c:numFmt formatCode="General" sourceLinked="0"/>
        <c:majorTickMark val="none"/>
        <c:minorTickMark val="none"/>
        <c:tickLblPos val="nextTo"/>
        <c:crossAx val="136670592"/>
        <c:crosses val="autoZero"/>
        <c:auto val="1"/>
        <c:lblAlgn val="ctr"/>
        <c:lblOffset val="100"/>
        <c:noMultiLvlLbl val="0"/>
      </c:catAx>
      <c:valAx>
        <c:axId val="136670592"/>
        <c:scaling>
          <c:orientation val="minMax"/>
        </c:scaling>
        <c:delete val="0"/>
        <c:axPos val="l"/>
        <c:majorGridlines/>
        <c:numFmt formatCode="0" sourceLinked="1"/>
        <c:majorTickMark val="none"/>
        <c:minorTickMark val="none"/>
        <c:tickLblPos val="nextTo"/>
        <c:crossAx val="136669056"/>
        <c:crosses val="autoZero"/>
        <c:crossBetween val="between"/>
      </c:valAx>
      <c:dTable>
        <c:showHorzBorder val="1"/>
        <c:showVertBorder val="1"/>
        <c:showOutline val="1"/>
        <c:showKeys val="1"/>
      </c:dTable>
    </c:plotArea>
    <c:plotVisOnly val="1"/>
    <c:dispBlanksAs val="gap"/>
    <c:showDLblsOverMax val="0"/>
  </c:chart>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en-US"/>
              <a:t>Waypoint - Grievances for 2015</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Stats'!$A$116,'Unit Stats'!$A$119,'Unit Stats'!$A$124:$A$126)</c:f>
              <c:strCache>
                <c:ptCount val="5"/>
                <c:pt idx="0">
                  <c:v>FALSE</c:v>
                </c:pt>
                <c:pt idx="1">
                  <c:v>TRUE</c:v>
                </c:pt>
                <c:pt idx="2">
                  <c:v>INCONCLUSIVE</c:v>
                </c:pt>
                <c:pt idx="3">
                  <c:v>Perception Complaints</c:v>
                </c:pt>
                <c:pt idx="4">
                  <c:v>PENDING</c:v>
                </c:pt>
              </c:strCache>
            </c:strRef>
          </c:cat>
          <c:val>
            <c:numRef>
              <c:f>('Unit Stats'!$N$116,'Unit Stats'!$N$119,'Unit Stats'!$N$124:$N$126)</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922C-A849-B32B-360015BC0B33}"/>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1"/>
    </mc:Choice>
    <mc:Fallback>
      <c:style val="11"/>
    </mc:Fallback>
  </mc:AlternateContent>
  <c:chart>
    <c:title>
      <c:tx>
        <c:rich>
          <a:bodyPr/>
          <a:lstStyle/>
          <a:p>
            <a:pPr>
              <a:defRPr/>
            </a:pPr>
            <a:r>
              <a:rPr lang="en-US"/>
              <a:t>Waypoint:</a:t>
            </a:r>
            <a:r>
              <a:rPr lang="en-US" baseline="0"/>
              <a:t> False Grievances for 2015</a:t>
            </a:r>
            <a:endParaRPr lang="en-US"/>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Stats'!$A$117:$A$118</c:f>
              <c:strCache>
                <c:ptCount val="2"/>
                <c:pt idx="0">
                  <c:v>Deliberate</c:v>
                </c:pt>
                <c:pt idx="1">
                  <c:v>Misunderstanding</c:v>
                </c:pt>
              </c:strCache>
            </c:strRef>
          </c:cat>
          <c:val>
            <c:numRef>
              <c:f>'Unit Stats'!$N$117:$N$118</c:f>
              <c:numCache>
                <c:formatCode>0</c:formatCode>
                <c:ptCount val="2"/>
                <c:pt idx="0">
                  <c:v>0</c:v>
                </c:pt>
                <c:pt idx="1">
                  <c:v>0</c:v>
                </c:pt>
              </c:numCache>
            </c:numRef>
          </c:val>
          <c:extLst>
            <c:ext xmlns:c16="http://schemas.microsoft.com/office/drawing/2014/chart" uri="{C3380CC4-5D6E-409C-BE32-E72D297353CC}">
              <c16:uniqueId val="{00000000-A25B-1548-8D8C-9AED6B292625}"/>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2"/>
    </mc:Choice>
    <mc:Fallback>
      <c:style val="12"/>
    </mc:Fallback>
  </mc:AlternateContent>
  <c:chart>
    <c:title>
      <c:tx>
        <c:rich>
          <a:bodyPr/>
          <a:lstStyle/>
          <a:p>
            <a:pPr>
              <a:defRPr/>
            </a:pPr>
            <a:r>
              <a:rPr lang="en-US"/>
              <a:t>Waypoint: True Grievances for 2015</a:t>
            </a:r>
          </a:p>
        </c:rich>
      </c:tx>
      <c:overlay val="0"/>
    </c:title>
    <c:autoTitleDeleted val="0"/>
    <c:plotArea>
      <c:layout/>
      <c:pie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'Unit Stats'!$A$120:$A$123</c:f>
              <c:strCache>
                <c:ptCount val="4"/>
                <c:pt idx="0">
                  <c:v>Rights Violation</c:v>
                </c:pt>
                <c:pt idx="1">
                  <c:v>Policy Violation</c:v>
                </c:pt>
                <c:pt idx="2">
                  <c:v>Anti-Therapeutic</c:v>
                </c:pt>
                <c:pt idx="3">
                  <c:v>Other/ Misc</c:v>
                </c:pt>
              </c:strCache>
            </c:strRef>
          </c:cat>
          <c:val>
            <c:numRef>
              <c:f>'Unit Stats'!$N$120:$N$123</c:f>
              <c:numCache>
                <c:formatCode>0</c:formatCode>
                <c:ptCount val="4"/>
                <c:pt idx="0">
                  <c:v>0</c:v>
                </c:pt>
                <c:pt idx="1">
                  <c:v>0</c:v>
                </c:pt>
                <c:pt idx="2">
                  <c:v>0</c:v>
                </c:pt>
                <c:pt idx="3">
                  <c:v>0</c:v>
                </c:pt>
              </c:numCache>
            </c:numRef>
          </c:val>
          <c:extLst>
            <c:ext xmlns:c16="http://schemas.microsoft.com/office/drawing/2014/chart" uri="{C3380CC4-5D6E-409C-BE32-E72D297353CC}">
              <c16:uniqueId val="{00000000-B5AC-FA4B-B191-838559D91B97}"/>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Times for Waypoint</a:t>
            </a:r>
          </a:p>
        </c:rich>
      </c:tx>
      <c:overlay val="0"/>
    </c:title>
    <c:autoTitleDeleted val="0"/>
    <c:plotArea>
      <c:layout/>
      <c:lineChart>
        <c:grouping val="standard"/>
        <c:varyColors val="0"/>
        <c:ser>
          <c:idx val="0"/>
          <c:order val="0"/>
          <c:tx>
            <c:strRef>
              <c:f>'Times per unit'!$A$9</c:f>
              <c:strCache>
                <c:ptCount val="1"/>
                <c:pt idx="0">
                  <c:v>Amount of alleged incidents within each time period</c:v>
                </c:pt>
              </c:strCache>
            </c:strRef>
          </c:tx>
          <c:marker>
            <c:symbol val="none"/>
          </c:marker>
          <c:cat>
            <c:strRef>
              <c:f>'Times per unit'!$A$333:$A$356</c:f>
              <c:strCache>
                <c:ptCount val="24"/>
                <c:pt idx="0">
                  <c:v>12:00 to 12:59 AM</c:v>
                </c:pt>
                <c:pt idx="1">
                  <c:v>1:00 to 1:59 AM</c:v>
                </c:pt>
                <c:pt idx="2">
                  <c:v>2:00 to 2:59 AM</c:v>
                </c:pt>
                <c:pt idx="3">
                  <c:v>3:00 to 3:59 AM</c:v>
                </c:pt>
                <c:pt idx="4">
                  <c:v>4:00 to 4:59 AM</c:v>
                </c:pt>
                <c:pt idx="5">
                  <c:v>5:00 to 5:59 AM</c:v>
                </c:pt>
                <c:pt idx="6">
                  <c:v>6:00 to 6:59 AM</c:v>
                </c:pt>
                <c:pt idx="7">
                  <c:v>7:00 to 7:59 AM</c:v>
                </c:pt>
                <c:pt idx="8">
                  <c:v>8:00 to 8:59 AM</c:v>
                </c:pt>
                <c:pt idx="9">
                  <c:v>9:00 to 9:59 AM</c:v>
                </c:pt>
                <c:pt idx="10">
                  <c:v>10:00 to 10:59 AM</c:v>
                </c:pt>
                <c:pt idx="11">
                  <c:v>11:00 to 11:59 AM</c:v>
                </c:pt>
                <c:pt idx="12">
                  <c:v>12:00 to 12:59 PM</c:v>
                </c:pt>
                <c:pt idx="13">
                  <c:v>1:00 to 1:59 PM</c:v>
                </c:pt>
                <c:pt idx="14">
                  <c:v>2:00 to 2:59 PM</c:v>
                </c:pt>
                <c:pt idx="15">
                  <c:v>3:00 to 3:59 PM</c:v>
                </c:pt>
                <c:pt idx="16">
                  <c:v>4:00 to 4:59 PM</c:v>
                </c:pt>
                <c:pt idx="17">
                  <c:v>5:00 to 5:59 PM</c:v>
                </c:pt>
                <c:pt idx="18">
                  <c:v>6:00 to 6:59 PM</c:v>
                </c:pt>
                <c:pt idx="19">
                  <c:v>7:00 to 7:59 PM</c:v>
                </c:pt>
                <c:pt idx="20">
                  <c:v>8:00 to 8:59 PM</c:v>
                </c:pt>
                <c:pt idx="21">
                  <c:v>9:00 to 9:59 PM</c:v>
                </c:pt>
                <c:pt idx="22">
                  <c:v>10:00 to 10:59 PM</c:v>
                </c:pt>
                <c:pt idx="23">
                  <c:v>11:00 to 11:59 PM</c:v>
                </c:pt>
              </c:strCache>
            </c:strRef>
          </c:cat>
          <c:val>
            <c:numRef>
              <c:f>'Times per unit'!$B$333:$B$356</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0-6384-034D-B072-542E757AA5F6}"/>
            </c:ext>
          </c:extLst>
        </c:ser>
        <c:dLbls>
          <c:showLegendKey val="0"/>
          <c:showVal val="0"/>
          <c:showCatName val="0"/>
          <c:showSerName val="0"/>
          <c:showPercent val="0"/>
          <c:showBubbleSize val="0"/>
        </c:dLbls>
        <c:smooth val="0"/>
        <c:axId val="137167232"/>
        <c:axId val="137168768"/>
      </c:lineChart>
      <c:catAx>
        <c:axId val="137167232"/>
        <c:scaling>
          <c:orientation val="minMax"/>
        </c:scaling>
        <c:delete val="0"/>
        <c:axPos val="b"/>
        <c:numFmt formatCode="General" sourceLinked="0"/>
        <c:majorTickMark val="none"/>
        <c:minorTickMark val="none"/>
        <c:tickLblPos val="nextTo"/>
        <c:crossAx val="137168768"/>
        <c:crosses val="autoZero"/>
        <c:auto val="1"/>
        <c:lblAlgn val="ctr"/>
        <c:lblOffset val="100"/>
        <c:noMultiLvlLbl val="0"/>
      </c:catAx>
      <c:valAx>
        <c:axId val="137168768"/>
        <c:scaling>
          <c:orientation val="minMax"/>
        </c:scaling>
        <c:delete val="0"/>
        <c:axPos val="l"/>
        <c:majorGridlines/>
        <c:numFmt formatCode="General" sourceLinked="1"/>
        <c:majorTickMark val="none"/>
        <c:minorTickMark val="none"/>
        <c:tickLblPos val="nextTo"/>
        <c:spPr>
          <a:ln w="9525">
            <a:noFill/>
          </a:ln>
        </c:spPr>
        <c:crossAx val="137167232"/>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'Times per unit'!$A$358</c:f>
              <c:strCache>
                <c:ptCount val="1"/>
                <c:pt idx="0">
                  <c:v>Days of the week:</c:v>
                </c:pt>
              </c:strCache>
            </c:strRef>
          </c:tx>
          <c:invertIfNegative val="0"/>
          <c:cat>
            <c:strRef>
              <c:f>'Times per unit'!$A$359:$A$366</c:f>
              <c:strCache>
                <c:ptCount val="8"/>
                <c:pt idx="0">
                  <c:v>Monday</c:v>
                </c:pt>
                <c:pt idx="1">
                  <c:v>Tuesday</c:v>
                </c:pt>
                <c:pt idx="2">
                  <c:v>Wednesday</c:v>
                </c:pt>
                <c:pt idx="3">
                  <c:v>Thursday</c:v>
                </c:pt>
                <c:pt idx="4">
                  <c:v>Friday</c:v>
                </c:pt>
                <c:pt idx="5">
                  <c:v>Saturday</c:v>
                </c:pt>
                <c:pt idx="6">
                  <c:v>Sunday</c:v>
                </c:pt>
                <c:pt idx="7">
                  <c:v>Over a period of time</c:v>
                </c:pt>
              </c:strCache>
            </c:strRef>
          </c:cat>
          <c:val>
            <c:numRef>
              <c:f>'Times per unit'!$B$359:$B$366</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52CA-C048-A2D8-3780765E4FD1}"/>
            </c:ext>
          </c:extLst>
        </c:ser>
        <c:dLbls>
          <c:showLegendKey val="0"/>
          <c:showVal val="0"/>
          <c:showCatName val="0"/>
          <c:showSerName val="0"/>
          <c:showPercent val="0"/>
          <c:showBubbleSize val="0"/>
        </c:dLbls>
        <c:gapWidth val="75"/>
        <c:overlap val="-25"/>
        <c:axId val="137217536"/>
        <c:axId val="137219072"/>
      </c:barChart>
      <c:catAx>
        <c:axId val="137217536"/>
        <c:scaling>
          <c:orientation val="minMax"/>
        </c:scaling>
        <c:delete val="0"/>
        <c:axPos val="b"/>
        <c:numFmt formatCode="General" sourceLinked="0"/>
        <c:majorTickMark val="none"/>
        <c:minorTickMark val="none"/>
        <c:tickLblPos val="nextTo"/>
        <c:crossAx val="137219072"/>
        <c:crosses val="autoZero"/>
        <c:auto val="1"/>
        <c:lblAlgn val="ctr"/>
        <c:lblOffset val="100"/>
        <c:noMultiLvlLbl val="0"/>
      </c:catAx>
      <c:valAx>
        <c:axId val="137219072"/>
        <c:scaling>
          <c:orientation val="minMax"/>
        </c:scaling>
        <c:delete val="0"/>
        <c:axPos val="l"/>
        <c:majorGridlines/>
        <c:numFmt formatCode="General" sourceLinked="1"/>
        <c:majorTickMark val="none"/>
        <c:minorTickMark val="none"/>
        <c:tickLblPos val="nextTo"/>
        <c:spPr>
          <a:ln w="9525">
            <a:noFill/>
          </a:ln>
        </c:spPr>
        <c:crossAx val="137217536"/>
        <c:crosses val="autoZero"/>
        <c:crossBetween val="between"/>
      </c:valAx>
    </c:plotArea>
    <c:plotVisOnly val="1"/>
    <c:dispBlanksAs val="gap"/>
    <c:showDLblsOverMax val="0"/>
  </c:chart>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'Population %'!$A$205</c:f>
              <c:strCache>
                <c:ptCount val="1"/>
                <c:pt idx="0">
                  <c:v>Population Writing Grievances on Waypoint in 2015</c:v>
                </c:pt>
              </c:strCache>
            </c:strRef>
          </c:tx>
          <c:marker>
            <c:symbol val="none"/>
          </c:marker>
          <c:cat>
            <c:strRef>
              <c:f>'Population %'!$B$204:$M$204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'Population %'!$B$205:$M$205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59D9-AD41-9BDE-4504BB67ED2B}"/>
            </c:ext>
          </c:extLst>
        </c:ser>
        <c:dLbls>
          <c:showLegendKey val="0"/>
          <c:showVal val="0"/>
          <c:showCatName val="0"/>
          <c:showSerName val="0"/>
          <c:showPercent val="0"/>
          <c:showBubbleSize val="0"/>
        </c:dLbls>
        <c:smooth val="0"/>
        <c:axId val="137235072"/>
        <c:axId val="137249152"/>
      </c:lineChart>
      <c:catAx>
        <c:axId val="137235072"/>
        <c:scaling>
          <c:orientation val="minMax"/>
        </c:scaling>
        <c:delete val="0"/>
        <c:axPos val="b"/>
        <c:numFmt formatCode="General" sourceLinked="0"/>
        <c:majorTickMark val="out"/>
        <c:minorTickMark val="none"/>
        <c:tickLblPos val="nextTo"/>
        <c:crossAx val="137249152"/>
        <c:crosses val="autoZero"/>
        <c:auto val="1"/>
        <c:lblAlgn val="ctr"/>
        <c:lblOffset val="100"/>
        <c:noMultiLvlLbl val="0"/>
      </c:catAx>
      <c:valAx>
        <c:axId val="137249152"/>
        <c:scaling>
          <c:orientation val="minMax"/>
        </c:scaling>
        <c:delete val="0"/>
        <c:axPos val="l"/>
        <c:majorGridlines/>
        <c:numFmt formatCode="0%" sourceLinked="1"/>
        <c:majorTickMark val="out"/>
        <c:minorTickMark val="none"/>
        <c:tickLblPos val="nextTo"/>
        <c:crossAx val="137235072"/>
        <c:crosses val="autoZero"/>
        <c:crossBetween val="between"/>
      </c:valAx>
    </c:plotArea>
    <c:plotVisOnly val="1"/>
    <c:dispBlanksAs val="gap"/>
    <c:showDLblsOverMax val="0"/>
  </c:chart>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en-US"/>
              <a:t>Percentage of Population Writing</a:t>
            </a:r>
            <a:r>
              <a:rPr lang="en-US" baseline="0"/>
              <a:t> Grievances: Unit Comparison</a:t>
            </a:r>
            <a:endParaRPr lang="en-US"/>
          </a:p>
        </c:rich>
      </c:tx>
      <c:layout>
        <c:manualLayout>
          <c:xMode val="edge"/>
          <c:yMode val="edge"/>
          <c:x val="1.2207048290890503E-2"/>
          <c:y val="1.5429120906600566E-2"/>
        </c:manualLayout>
      </c:layout>
      <c:overlay val="0"/>
    </c:title>
    <c:autoTitleDeleted val="0"/>
    <c:plotArea>
      <c:layout/>
      <c:lineChart>
        <c:grouping val="standard"/>
        <c:varyColors val="0"/>
        <c:ser>
          <c:idx val="0"/>
          <c:order val="0"/>
          <c:tx>
            <c:strRef>
              <c:f>'Population %'!$A$65</c:f>
              <c:strCache>
                <c:ptCount val="1"/>
                <c:pt idx="0">
                  <c:v>New Choices</c:v>
                </c:pt>
              </c:strCache>
            </c:strRef>
          </c:tx>
          <c:marker>
            <c:symbol val="none"/>
          </c:marker>
          <c:cat>
            <c:strRef>
              <c:f>'Population %'!$B$66:$M$66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'Population %'!$B$67:$M$67</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89D6-E34F-B5DC-180C5404C37A}"/>
            </c:ext>
          </c:extLst>
        </c:ser>
        <c:ser>
          <c:idx val="1"/>
          <c:order val="1"/>
          <c:tx>
            <c:strRef>
              <c:f>'Population %'!$A$83</c:f>
              <c:strCache>
                <c:ptCount val="1"/>
                <c:pt idx="0">
                  <c:v>Safe Harbor</c:v>
                </c:pt>
              </c:strCache>
            </c:strRef>
          </c:tx>
          <c:marker>
            <c:symbol val="none"/>
          </c:marker>
          <c:val>
            <c:numRef>
              <c:f>'Population %'!$B$85:$M$85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89D6-E34F-B5DC-180C5404C37A}"/>
            </c:ext>
          </c:extLst>
        </c:ser>
        <c:ser>
          <c:idx val="2"/>
          <c:order val="2"/>
          <c:tx>
            <c:strRef>
              <c:f>'Population %'!$A$103</c:f>
              <c:strCache>
                <c:ptCount val="1"/>
                <c:pt idx="0">
                  <c:v>Starting Point</c:v>
                </c:pt>
              </c:strCache>
            </c:strRef>
          </c:tx>
          <c:marker>
            <c:symbol val="none"/>
          </c:marker>
          <c:val>
            <c:numRef>
              <c:f>'Population %'!$B$105:$M$105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89D6-E34F-B5DC-180C5404C37A}"/>
            </c:ext>
          </c:extLst>
        </c:ser>
        <c:ser>
          <c:idx val="3"/>
          <c:order val="3"/>
          <c:tx>
            <c:strRef>
              <c:f>'Population %'!$A$121</c:f>
              <c:strCache>
                <c:ptCount val="1"/>
                <c:pt idx="0">
                  <c:v>Transformations 1</c:v>
                </c:pt>
              </c:strCache>
            </c:strRef>
          </c:tx>
          <c:marker>
            <c:symbol val="none"/>
          </c:marker>
          <c:val>
            <c:numRef>
              <c:f>'Population %'!$B$123:$M$123</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3-89D6-E34F-B5DC-180C5404C37A}"/>
            </c:ext>
          </c:extLst>
        </c:ser>
        <c:ser>
          <c:idx val="4"/>
          <c:order val="4"/>
          <c:tx>
            <c:strRef>
              <c:f>'Population %'!$A$142</c:f>
              <c:strCache>
                <c:ptCount val="1"/>
                <c:pt idx="0">
                  <c:v>Transformations 2</c:v>
                </c:pt>
              </c:strCache>
            </c:strRef>
          </c:tx>
          <c:marker>
            <c:symbol val="none"/>
          </c:marker>
          <c:val>
            <c:numRef>
              <c:f>'Population %'!$B$144:$M$144</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4-89D6-E34F-B5DC-180C5404C37A}"/>
            </c:ext>
          </c:extLst>
        </c:ser>
        <c:ser>
          <c:idx val="5"/>
          <c:order val="5"/>
          <c:tx>
            <c:strRef>
              <c:f>'Population %'!$A$162</c:f>
              <c:strCache>
                <c:ptCount val="1"/>
                <c:pt idx="0">
                  <c:v>Triad</c:v>
                </c:pt>
              </c:strCache>
            </c:strRef>
          </c:tx>
          <c:marker>
            <c:symbol val="none"/>
          </c:marker>
          <c:val>
            <c:numRef>
              <c:f>'Population %'!$B$164:$M$164</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5-89D6-E34F-B5DC-180C5404C37A}"/>
            </c:ext>
          </c:extLst>
        </c:ser>
        <c:ser>
          <c:idx val="6"/>
          <c:order val="6"/>
          <c:tx>
            <c:strRef>
              <c:f>'Population %'!$A$183</c:f>
              <c:strCache>
                <c:ptCount val="1"/>
                <c:pt idx="0">
                  <c:v>Turning Point</c:v>
                </c:pt>
              </c:strCache>
            </c:strRef>
          </c:tx>
          <c:marker>
            <c:symbol val="none"/>
          </c:marker>
          <c:val>
            <c:numRef>
              <c:f>'Population %'!$B$185:$M$185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6-89D6-E34F-B5DC-180C5404C37A}"/>
            </c:ext>
          </c:extLst>
        </c:ser>
        <c:ser>
          <c:idx val="7"/>
          <c:order val="7"/>
          <c:tx>
            <c:strRef>
              <c:f>'Population %'!$A$203</c:f>
              <c:strCache>
                <c:ptCount val="1"/>
                <c:pt idx="0">
                  <c:v>Waypoint</c:v>
                </c:pt>
              </c:strCache>
            </c:strRef>
          </c:tx>
          <c:marker>
            <c:symbol val="none"/>
          </c:marker>
          <c:val>
            <c:numRef>
              <c:f>'Population %'!$B$205:$M$205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7-89D6-E34F-B5DC-180C5404C37A}"/>
            </c:ext>
          </c:extLst>
        </c:ser>
        <c:dLbls>
          <c:showLegendKey val="0"/>
          <c:showVal val="0"/>
          <c:showCatName val="0"/>
          <c:showSerName val="0"/>
          <c:showPercent val="0"/>
          <c:showBubbleSize val="0"/>
        </c:dLbls>
        <c:dropLines/>
        <c:smooth val="0"/>
        <c:axId val="1185664"/>
        <c:axId val="1187200"/>
      </c:lineChart>
      <c:catAx>
        <c:axId val="1185664"/>
        <c:scaling>
          <c:orientation val="minMax"/>
        </c:scaling>
        <c:delete val="0"/>
        <c:axPos val="b"/>
        <c:numFmt formatCode="General" sourceLinked="0"/>
        <c:majorTickMark val="none"/>
        <c:minorTickMark val="none"/>
        <c:tickLblPos val="nextTo"/>
        <c:crossAx val="1187200"/>
        <c:crosses val="autoZero"/>
        <c:auto val="1"/>
        <c:lblAlgn val="ctr"/>
        <c:lblOffset val="100"/>
        <c:noMultiLvlLbl val="0"/>
      </c:catAx>
      <c:valAx>
        <c:axId val="1187200"/>
        <c:scaling>
          <c:orientation val="minMax"/>
        </c:scaling>
        <c:delete val="0"/>
        <c:axPos val="l"/>
        <c:majorGridlines/>
        <c:numFmt formatCode="0%" sourceLinked="1"/>
        <c:majorTickMark val="none"/>
        <c:minorTickMark val="none"/>
        <c:tickLblPos val="nextTo"/>
        <c:crossAx val="1185664"/>
        <c:crosses val="autoZero"/>
        <c:crossBetween val="between"/>
      </c:valAx>
      <c:dTable>
        <c:showHorzBorder val="1"/>
        <c:showVertBorder val="1"/>
        <c:showOutline val="1"/>
        <c:showKeys val="1"/>
      </c:dTable>
    </c:plotArea>
    <c:plotVisOnly val="1"/>
    <c:dispBlanksAs val="gap"/>
    <c:showDLblsOverMax val="0"/>
  </c:chart>
  <c:printSettings>
    <c:headerFooter/>
    <c:pageMargins b="0.75" l="0.25" r="0.25" t="0.75" header="0.3" footer="0.3"/>
    <c:pageSetup orientation="landscape"/>
  </c:printSettings>
</c:chartSpace>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8" Type="http://schemas.openxmlformats.org/officeDocument/2006/relationships/chart" Target="../charts/chart12.xml"/><Relationship Id="rId13" Type="http://schemas.openxmlformats.org/officeDocument/2006/relationships/chart" Target="../charts/chart17.xml"/><Relationship Id="rId18" Type="http://schemas.openxmlformats.org/officeDocument/2006/relationships/chart" Target="../charts/chart22.xml"/><Relationship Id="rId3" Type="http://schemas.openxmlformats.org/officeDocument/2006/relationships/chart" Target="../charts/chart7.xml"/><Relationship Id="rId7" Type="http://schemas.openxmlformats.org/officeDocument/2006/relationships/chart" Target="../charts/chart11.xml"/><Relationship Id="rId12" Type="http://schemas.openxmlformats.org/officeDocument/2006/relationships/chart" Target="../charts/chart16.xml"/><Relationship Id="rId17" Type="http://schemas.openxmlformats.org/officeDocument/2006/relationships/chart" Target="../charts/chart21.xml"/><Relationship Id="rId2" Type="http://schemas.openxmlformats.org/officeDocument/2006/relationships/chart" Target="../charts/chart6.xml"/><Relationship Id="rId16" Type="http://schemas.openxmlformats.org/officeDocument/2006/relationships/chart" Target="../charts/chart20.xml"/><Relationship Id="rId1" Type="http://schemas.openxmlformats.org/officeDocument/2006/relationships/chart" Target="../charts/chart5.xml"/><Relationship Id="rId6" Type="http://schemas.openxmlformats.org/officeDocument/2006/relationships/chart" Target="../charts/chart10.xml"/><Relationship Id="rId11" Type="http://schemas.openxmlformats.org/officeDocument/2006/relationships/chart" Target="../charts/chart15.xml"/><Relationship Id="rId5" Type="http://schemas.openxmlformats.org/officeDocument/2006/relationships/chart" Target="../charts/chart9.xml"/><Relationship Id="rId15" Type="http://schemas.openxmlformats.org/officeDocument/2006/relationships/chart" Target="../charts/chart19.xml"/><Relationship Id="rId10" Type="http://schemas.openxmlformats.org/officeDocument/2006/relationships/chart" Target="../charts/chart14.xml"/><Relationship Id="rId4" Type="http://schemas.openxmlformats.org/officeDocument/2006/relationships/chart" Target="../charts/chart8.xml"/><Relationship Id="rId9" Type="http://schemas.openxmlformats.org/officeDocument/2006/relationships/chart" Target="../charts/chart13.xml"/><Relationship Id="rId14" Type="http://schemas.openxmlformats.org/officeDocument/2006/relationships/chart" Target="../charts/chart18.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35.xml"/><Relationship Id="rId18" Type="http://schemas.openxmlformats.org/officeDocument/2006/relationships/chart" Target="../charts/chart40.xml"/><Relationship Id="rId26" Type="http://schemas.openxmlformats.org/officeDocument/2006/relationships/chart" Target="../charts/chart48.xml"/><Relationship Id="rId21" Type="http://schemas.openxmlformats.org/officeDocument/2006/relationships/chart" Target="../charts/chart43.xml"/><Relationship Id="rId34" Type="http://schemas.openxmlformats.org/officeDocument/2006/relationships/chart" Target="../charts/chart56.xml"/><Relationship Id="rId7" Type="http://schemas.openxmlformats.org/officeDocument/2006/relationships/chart" Target="../charts/chart29.xml"/><Relationship Id="rId12" Type="http://schemas.openxmlformats.org/officeDocument/2006/relationships/chart" Target="../charts/chart34.xml"/><Relationship Id="rId17" Type="http://schemas.openxmlformats.org/officeDocument/2006/relationships/chart" Target="../charts/chart39.xml"/><Relationship Id="rId25" Type="http://schemas.openxmlformats.org/officeDocument/2006/relationships/chart" Target="../charts/chart47.xml"/><Relationship Id="rId33" Type="http://schemas.openxmlformats.org/officeDocument/2006/relationships/chart" Target="../charts/chart55.xml"/><Relationship Id="rId2" Type="http://schemas.openxmlformats.org/officeDocument/2006/relationships/chart" Target="../charts/chart24.xml"/><Relationship Id="rId16" Type="http://schemas.openxmlformats.org/officeDocument/2006/relationships/chart" Target="../charts/chart38.xml"/><Relationship Id="rId20" Type="http://schemas.openxmlformats.org/officeDocument/2006/relationships/chart" Target="../charts/chart42.xml"/><Relationship Id="rId29" Type="http://schemas.openxmlformats.org/officeDocument/2006/relationships/chart" Target="../charts/chart51.xml"/><Relationship Id="rId1" Type="http://schemas.openxmlformats.org/officeDocument/2006/relationships/chart" Target="../charts/chart23.xml"/><Relationship Id="rId6" Type="http://schemas.openxmlformats.org/officeDocument/2006/relationships/chart" Target="../charts/chart28.xml"/><Relationship Id="rId11" Type="http://schemas.openxmlformats.org/officeDocument/2006/relationships/chart" Target="../charts/chart33.xml"/><Relationship Id="rId24" Type="http://schemas.openxmlformats.org/officeDocument/2006/relationships/chart" Target="../charts/chart46.xml"/><Relationship Id="rId32" Type="http://schemas.openxmlformats.org/officeDocument/2006/relationships/chart" Target="../charts/chart54.xml"/><Relationship Id="rId37" Type="http://schemas.openxmlformats.org/officeDocument/2006/relationships/chart" Target="../charts/chart59.xml"/><Relationship Id="rId5" Type="http://schemas.openxmlformats.org/officeDocument/2006/relationships/chart" Target="../charts/chart27.xml"/><Relationship Id="rId15" Type="http://schemas.openxmlformats.org/officeDocument/2006/relationships/chart" Target="../charts/chart37.xml"/><Relationship Id="rId23" Type="http://schemas.openxmlformats.org/officeDocument/2006/relationships/chart" Target="../charts/chart45.xml"/><Relationship Id="rId28" Type="http://schemas.openxmlformats.org/officeDocument/2006/relationships/chart" Target="../charts/chart50.xml"/><Relationship Id="rId36" Type="http://schemas.openxmlformats.org/officeDocument/2006/relationships/chart" Target="../charts/chart58.xml"/><Relationship Id="rId10" Type="http://schemas.openxmlformats.org/officeDocument/2006/relationships/chart" Target="../charts/chart32.xml"/><Relationship Id="rId19" Type="http://schemas.openxmlformats.org/officeDocument/2006/relationships/chart" Target="../charts/chart41.xml"/><Relationship Id="rId31" Type="http://schemas.openxmlformats.org/officeDocument/2006/relationships/chart" Target="../charts/chart53.xml"/><Relationship Id="rId4" Type="http://schemas.openxmlformats.org/officeDocument/2006/relationships/chart" Target="../charts/chart26.xml"/><Relationship Id="rId9" Type="http://schemas.openxmlformats.org/officeDocument/2006/relationships/chart" Target="../charts/chart31.xml"/><Relationship Id="rId14" Type="http://schemas.openxmlformats.org/officeDocument/2006/relationships/chart" Target="../charts/chart36.xml"/><Relationship Id="rId22" Type="http://schemas.openxmlformats.org/officeDocument/2006/relationships/chart" Target="../charts/chart44.xml"/><Relationship Id="rId27" Type="http://schemas.openxmlformats.org/officeDocument/2006/relationships/chart" Target="../charts/chart49.xml"/><Relationship Id="rId30" Type="http://schemas.openxmlformats.org/officeDocument/2006/relationships/chart" Target="../charts/chart52.xml"/><Relationship Id="rId35" Type="http://schemas.openxmlformats.org/officeDocument/2006/relationships/chart" Target="../charts/chart57.xml"/><Relationship Id="rId8" Type="http://schemas.openxmlformats.org/officeDocument/2006/relationships/chart" Target="../charts/chart30.xml"/><Relationship Id="rId3" Type="http://schemas.openxmlformats.org/officeDocument/2006/relationships/chart" Target="../charts/chart25.xml"/></Relationships>
</file>

<file path=xl/drawings/_rels/drawing8.xml.rels><?xml version="1.0" encoding="UTF-8" standalone="yes"?>
<Relationships xmlns="http://schemas.openxmlformats.org/package/2006/relationships"><Relationship Id="rId8" Type="http://schemas.openxmlformats.org/officeDocument/2006/relationships/chart" Target="../charts/chart67.xml"/><Relationship Id="rId3" Type="http://schemas.openxmlformats.org/officeDocument/2006/relationships/chart" Target="../charts/chart62.xml"/><Relationship Id="rId7" Type="http://schemas.openxmlformats.org/officeDocument/2006/relationships/chart" Target="../charts/chart66.xml"/><Relationship Id="rId2" Type="http://schemas.openxmlformats.org/officeDocument/2006/relationships/chart" Target="../charts/chart61.xml"/><Relationship Id="rId1" Type="http://schemas.openxmlformats.org/officeDocument/2006/relationships/chart" Target="../charts/chart60.xml"/><Relationship Id="rId6" Type="http://schemas.openxmlformats.org/officeDocument/2006/relationships/chart" Target="../charts/chart65.xml"/><Relationship Id="rId5" Type="http://schemas.openxmlformats.org/officeDocument/2006/relationships/chart" Target="../charts/chart64.xml"/><Relationship Id="rId10" Type="http://schemas.openxmlformats.org/officeDocument/2006/relationships/chart" Target="../charts/chart69.xml"/><Relationship Id="rId4" Type="http://schemas.openxmlformats.org/officeDocument/2006/relationships/chart" Target="../charts/chart63.xml"/><Relationship Id="rId9" Type="http://schemas.openxmlformats.org/officeDocument/2006/relationships/chart" Target="../charts/chart68.xml"/></Relationships>
</file>

<file path=xl/drawings/_rels/drawing9.xml.rels><?xml version="1.0" encoding="UTF-8" standalone="yes"?>
<Relationships xmlns="http://schemas.openxmlformats.org/package/2006/relationships"><Relationship Id="rId3" Type="http://schemas.openxmlformats.org/officeDocument/2006/relationships/chart" Target="../charts/chart72.xml"/><Relationship Id="rId2" Type="http://schemas.openxmlformats.org/officeDocument/2006/relationships/chart" Target="../charts/chart71.xml"/><Relationship Id="rId1" Type="http://schemas.openxmlformats.org/officeDocument/2006/relationships/chart" Target="../charts/chart70.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80.xml"/><Relationship Id="rId3" Type="http://schemas.openxmlformats.org/officeDocument/2006/relationships/chart" Target="../charts/chart75.xml"/><Relationship Id="rId7" Type="http://schemas.openxmlformats.org/officeDocument/2006/relationships/chart" Target="../charts/chart79.xml"/><Relationship Id="rId2" Type="http://schemas.openxmlformats.org/officeDocument/2006/relationships/chart" Target="../charts/chart74.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5" Type="http://schemas.openxmlformats.org/officeDocument/2006/relationships/chart" Target="../charts/chart77.xml"/><Relationship Id="rId10" Type="http://schemas.openxmlformats.org/officeDocument/2006/relationships/chart" Target="../charts/chart82.xml"/><Relationship Id="rId4" Type="http://schemas.openxmlformats.org/officeDocument/2006/relationships/chart" Target="../charts/chart76.xml"/><Relationship Id="rId9" Type="http://schemas.openxmlformats.org/officeDocument/2006/relationships/chart" Target="../charts/chart81.xml"/></Relationships>
</file>

<file path=xl/drawings/_rels/drawing11.xml.rels><?xml version="1.0" encoding="UTF-8" standalone="yes"?>
<Relationships xmlns="http://schemas.openxmlformats.org/package/2006/relationships"><Relationship Id="rId26" Type="http://schemas.openxmlformats.org/officeDocument/2006/relationships/chart" Target="../charts/chart109.xml"/><Relationship Id="rId21" Type="http://schemas.openxmlformats.org/officeDocument/2006/relationships/chart" Target="../charts/chart104.xml"/><Relationship Id="rId34" Type="http://schemas.openxmlformats.org/officeDocument/2006/relationships/chart" Target="../charts/chart117.xml"/><Relationship Id="rId42" Type="http://schemas.openxmlformats.org/officeDocument/2006/relationships/chart" Target="../charts/chart125.xml"/><Relationship Id="rId47" Type="http://schemas.openxmlformats.org/officeDocument/2006/relationships/chart" Target="../charts/chart130.xml"/><Relationship Id="rId50" Type="http://schemas.openxmlformats.org/officeDocument/2006/relationships/chart" Target="../charts/chart133.xml"/><Relationship Id="rId55" Type="http://schemas.openxmlformats.org/officeDocument/2006/relationships/chart" Target="../charts/chart138.xml"/><Relationship Id="rId63" Type="http://schemas.openxmlformats.org/officeDocument/2006/relationships/chart" Target="../charts/chart146.xml"/><Relationship Id="rId7" Type="http://schemas.openxmlformats.org/officeDocument/2006/relationships/chart" Target="../charts/chart90.xml"/><Relationship Id="rId2" Type="http://schemas.openxmlformats.org/officeDocument/2006/relationships/chart" Target="../charts/chart85.xml"/><Relationship Id="rId16" Type="http://schemas.openxmlformats.org/officeDocument/2006/relationships/chart" Target="../charts/chart99.xml"/><Relationship Id="rId29" Type="http://schemas.openxmlformats.org/officeDocument/2006/relationships/chart" Target="../charts/chart112.xml"/><Relationship Id="rId11" Type="http://schemas.openxmlformats.org/officeDocument/2006/relationships/chart" Target="../charts/chart94.xml"/><Relationship Id="rId24" Type="http://schemas.openxmlformats.org/officeDocument/2006/relationships/chart" Target="../charts/chart107.xml"/><Relationship Id="rId32" Type="http://schemas.openxmlformats.org/officeDocument/2006/relationships/chart" Target="../charts/chart115.xml"/><Relationship Id="rId37" Type="http://schemas.openxmlformats.org/officeDocument/2006/relationships/chart" Target="../charts/chart120.xml"/><Relationship Id="rId40" Type="http://schemas.openxmlformats.org/officeDocument/2006/relationships/chart" Target="../charts/chart123.xml"/><Relationship Id="rId45" Type="http://schemas.openxmlformats.org/officeDocument/2006/relationships/chart" Target="../charts/chart128.xml"/><Relationship Id="rId53" Type="http://schemas.openxmlformats.org/officeDocument/2006/relationships/chart" Target="../charts/chart136.xml"/><Relationship Id="rId58" Type="http://schemas.openxmlformats.org/officeDocument/2006/relationships/chart" Target="../charts/chart141.xml"/><Relationship Id="rId5" Type="http://schemas.openxmlformats.org/officeDocument/2006/relationships/chart" Target="../charts/chart88.xml"/><Relationship Id="rId61" Type="http://schemas.openxmlformats.org/officeDocument/2006/relationships/chart" Target="../charts/chart144.xml"/><Relationship Id="rId19" Type="http://schemas.openxmlformats.org/officeDocument/2006/relationships/chart" Target="../charts/chart102.xml"/><Relationship Id="rId14" Type="http://schemas.openxmlformats.org/officeDocument/2006/relationships/chart" Target="../charts/chart97.xml"/><Relationship Id="rId22" Type="http://schemas.openxmlformats.org/officeDocument/2006/relationships/chart" Target="../charts/chart105.xml"/><Relationship Id="rId27" Type="http://schemas.openxmlformats.org/officeDocument/2006/relationships/chart" Target="../charts/chart110.xml"/><Relationship Id="rId30" Type="http://schemas.openxmlformats.org/officeDocument/2006/relationships/chart" Target="../charts/chart113.xml"/><Relationship Id="rId35" Type="http://schemas.openxmlformats.org/officeDocument/2006/relationships/chart" Target="../charts/chart118.xml"/><Relationship Id="rId43" Type="http://schemas.openxmlformats.org/officeDocument/2006/relationships/chart" Target="../charts/chart126.xml"/><Relationship Id="rId48" Type="http://schemas.openxmlformats.org/officeDocument/2006/relationships/chart" Target="../charts/chart131.xml"/><Relationship Id="rId56" Type="http://schemas.openxmlformats.org/officeDocument/2006/relationships/chart" Target="../charts/chart139.xml"/><Relationship Id="rId64" Type="http://schemas.openxmlformats.org/officeDocument/2006/relationships/chart" Target="../charts/chart147.xml"/><Relationship Id="rId8" Type="http://schemas.openxmlformats.org/officeDocument/2006/relationships/chart" Target="../charts/chart91.xml"/><Relationship Id="rId51" Type="http://schemas.openxmlformats.org/officeDocument/2006/relationships/chart" Target="../charts/chart134.xml"/><Relationship Id="rId3" Type="http://schemas.openxmlformats.org/officeDocument/2006/relationships/chart" Target="../charts/chart86.xml"/><Relationship Id="rId12" Type="http://schemas.openxmlformats.org/officeDocument/2006/relationships/chart" Target="../charts/chart95.xml"/><Relationship Id="rId17" Type="http://schemas.openxmlformats.org/officeDocument/2006/relationships/chart" Target="../charts/chart100.xml"/><Relationship Id="rId25" Type="http://schemas.openxmlformats.org/officeDocument/2006/relationships/chart" Target="../charts/chart108.xml"/><Relationship Id="rId33" Type="http://schemas.openxmlformats.org/officeDocument/2006/relationships/chart" Target="../charts/chart116.xml"/><Relationship Id="rId38" Type="http://schemas.openxmlformats.org/officeDocument/2006/relationships/chart" Target="../charts/chart121.xml"/><Relationship Id="rId46" Type="http://schemas.openxmlformats.org/officeDocument/2006/relationships/chart" Target="../charts/chart129.xml"/><Relationship Id="rId59" Type="http://schemas.openxmlformats.org/officeDocument/2006/relationships/chart" Target="../charts/chart142.xml"/><Relationship Id="rId20" Type="http://schemas.openxmlformats.org/officeDocument/2006/relationships/chart" Target="../charts/chart103.xml"/><Relationship Id="rId41" Type="http://schemas.openxmlformats.org/officeDocument/2006/relationships/chart" Target="../charts/chart124.xml"/><Relationship Id="rId54" Type="http://schemas.openxmlformats.org/officeDocument/2006/relationships/chart" Target="../charts/chart137.xml"/><Relationship Id="rId62" Type="http://schemas.openxmlformats.org/officeDocument/2006/relationships/chart" Target="../charts/chart145.xml"/><Relationship Id="rId1" Type="http://schemas.openxmlformats.org/officeDocument/2006/relationships/chart" Target="../charts/chart84.xml"/><Relationship Id="rId6" Type="http://schemas.openxmlformats.org/officeDocument/2006/relationships/chart" Target="../charts/chart89.xml"/><Relationship Id="rId15" Type="http://schemas.openxmlformats.org/officeDocument/2006/relationships/chart" Target="../charts/chart98.xml"/><Relationship Id="rId23" Type="http://schemas.openxmlformats.org/officeDocument/2006/relationships/chart" Target="../charts/chart106.xml"/><Relationship Id="rId28" Type="http://schemas.openxmlformats.org/officeDocument/2006/relationships/chart" Target="../charts/chart111.xml"/><Relationship Id="rId36" Type="http://schemas.openxmlformats.org/officeDocument/2006/relationships/chart" Target="../charts/chart119.xml"/><Relationship Id="rId49" Type="http://schemas.openxmlformats.org/officeDocument/2006/relationships/chart" Target="../charts/chart132.xml"/><Relationship Id="rId57" Type="http://schemas.openxmlformats.org/officeDocument/2006/relationships/chart" Target="../charts/chart140.xml"/><Relationship Id="rId10" Type="http://schemas.openxmlformats.org/officeDocument/2006/relationships/chart" Target="../charts/chart93.xml"/><Relationship Id="rId31" Type="http://schemas.openxmlformats.org/officeDocument/2006/relationships/chart" Target="../charts/chart114.xml"/><Relationship Id="rId44" Type="http://schemas.openxmlformats.org/officeDocument/2006/relationships/chart" Target="../charts/chart127.xml"/><Relationship Id="rId52" Type="http://schemas.openxmlformats.org/officeDocument/2006/relationships/chart" Target="../charts/chart135.xml"/><Relationship Id="rId60" Type="http://schemas.openxmlformats.org/officeDocument/2006/relationships/chart" Target="../charts/chart143.xml"/><Relationship Id="rId65" Type="http://schemas.openxmlformats.org/officeDocument/2006/relationships/chart" Target="../charts/chart148.xml"/><Relationship Id="rId4" Type="http://schemas.openxmlformats.org/officeDocument/2006/relationships/chart" Target="../charts/chart87.xml"/><Relationship Id="rId9" Type="http://schemas.openxmlformats.org/officeDocument/2006/relationships/chart" Target="../charts/chart92.xml"/><Relationship Id="rId13" Type="http://schemas.openxmlformats.org/officeDocument/2006/relationships/chart" Target="../charts/chart96.xml"/><Relationship Id="rId18" Type="http://schemas.openxmlformats.org/officeDocument/2006/relationships/chart" Target="../charts/chart101.xml"/><Relationship Id="rId39" Type="http://schemas.openxmlformats.org/officeDocument/2006/relationships/chart" Target="../charts/chart12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49530</xdr:colOff>
          <xdr:row>18</xdr:row>
          <xdr:rowOff>0</xdr:rowOff>
        </xdr:from>
        <xdr:to>
          <xdr:col>0</xdr:col>
          <xdr:colOff>285750</xdr:colOff>
          <xdr:row>19</xdr:row>
          <xdr:rowOff>38100</xdr:rowOff>
        </xdr:to>
        <xdr:sp macro="" textlink="">
          <xdr:nvSpPr>
            <xdr:cNvPr id="11266" name="Check Box 2" hidden="1">
              <a:extLst>
                <a:ext uri="{63B3BB69-23CF-44E3-9099-C40C66FF867C}">
                  <a14:compatExt spid="_x0000_s11266"/>
                </a:ext>
                <a:ext uri="{FF2B5EF4-FFF2-40B4-BE49-F238E27FC236}">
                  <a16:creationId xmlns:a16="http://schemas.microsoft.com/office/drawing/2014/main" id="{00000000-0008-0000-0500-00000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38100</xdr:colOff>
      <xdr:row>31</xdr:row>
      <xdr:rowOff>19050</xdr:rowOff>
    </xdr:from>
    <xdr:to>
      <xdr:col>0</xdr:col>
      <xdr:colOff>209550</xdr:colOff>
      <xdr:row>31</xdr:row>
      <xdr:rowOff>180975</xdr:rowOff>
    </xdr:to>
    <xdr:sp macro="" textlink="">
      <xdr:nvSpPr>
        <xdr:cNvPr id="2" name="Rectangle 1">
          <a:extLst>
            <a:ext uri="{FF2B5EF4-FFF2-40B4-BE49-F238E27FC236}">
              <a16:creationId xmlns:a16="http://schemas.microsoft.com/office/drawing/2014/main" id="{00000000-0008-0000-0500-000002000000}"/>
            </a:ext>
          </a:extLst>
        </xdr:cNvPr>
        <xdr:cNvSpPr/>
      </xdr:nvSpPr>
      <xdr:spPr>
        <a:xfrm>
          <a:off x="38100" y="5905500"/>
          <a:ext cx="171450" cy="16192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38100</xdr:colOff>
      <xdr:row>32</xdr:row>
      <xdr:rowOff>19050</xdr:rowOff>
    </xdr:from>
    <xdr:to>
      <xdr:col>0</xdr:col>
      <xdr:colOff>209550</xdr:colOff>
      <xdr:row>32</xdr:row>
      <xdr:rowOff>180975</xdr:rowOff>
    </xdr:to>
    <xdr:sp macro="" textlink="">
      <xdr:nvSpPr>
        <xdr:cNvPr id="4" name="Rectangle 3">
          <a:extLst>
            <a:ext uri="{FF2B5EF4-FFF2-40B4-BE49-F238E27FC236}">
              <a16:creationId xmlns:a16="http://schemas.microsoft.com/office/drawing/2014/main" id="{00000000-0008-0000-0500-000004000000}"/>
            </a:ext>
          </a:extLst>
        </xdr:cNvPr>
        <xdr:cNvSpPr/>
      </xdr:nvSpPr>
      <xdr:spPr>
        <a:xfrm>
          <a:off x="38100" y="6105525"/>
          <a:ext cx="171450" cy="16192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38100</xdr:colOff>
      <xdr:row>36</xdr:row>
      <xdr:rowOff>38100</xdr:rowOff>
    </xdr:from>
    <xdr:to>
      <xdr:col>0</xdr:col>
      <xdr:colOff>209550</xdr:colOff>
      <xdr:row>37</xdr:row>
      <xdr:rowOff>0</xdr:rowOff>
    </xdr:to>
    <xdr:sp macro="" textlink="">
      <xdr:nvSpPr>
        <xdr:cNvPr id="5" name="Rectangle 4">
          <a:extLst>
            <a:ext uri="{FF2B5EF4-FFF2-40B4-BE49-F238E27FC236}">
              <a16:creationId xmlns:a16="http://schemas.microsoft.com/office/drawing/2014/main" id="{00000000-0008-0000-0500-000005000000}"/>
            </a:ext>
          </a:extLst>
        </xdr:cNvPr>
        <xdr:cNvSpPr/>
      </xdr:nvSpPr>
      <xdr:spPr>
        <a:xfrm>
          <a:off x="38100" y="6800850"/>
          <a:ext cx="171450" cy="16192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38100</xdr:colOff>
      <xdr:row>35</xdr:row>
      <xdr:rowOff>19050</xdr:rowOff>
    </xdr:from>
    <xdr:to>
      <xdr:col>0</xdr:col>
      <xdr:colOff>209550</xdr:colOff>
      <xdr:row>35</xdr:row>
      <xdr:rowOff>180975</xdr:rowOff>
    </xdr:to>
    <xdr:sp macro="" textlink="">
      <xdr:nvSpPr>
        <xdr:cNvPr id="6" name="Rectangle 5">
          <a:extLst>
            <a:ext uri="{FF2B5EF4-FFF2-40B4-BE49-F238E27FC236}">
              <a16:creationId xmlns:a16="http://schemas.microsoft.com/office/drawing/2014/main" id="{00000000-0008-0000-0500-000006000000}"/>
            </a:ext>
          </a:extLst>
        </xdr:cNvPr>
        <xdr:cNvSpPr/>
      </xdr:nvSpPr>
      <xdr:spPr>
        <a:xfrm>
          <a:off x="38100" y="6581775"/>
          <a:ext cx="171450" cy="16192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38100</xdr:colOff>
      <xdr:row>34</xdr:row>
      <xdr:rowOff>9525</xdr:rowOff>
    </xdr:from>
    <xdr:to>
      <xdr:col>0</xdr:col>
      <xdr:colOff>209550</xdr:colOff>
      <xdr:row>34</xdr:row>
      <xdr:rowOff>171450</xdr:rowOff>
    </xdr:to>
    <xdr:sp macro="" textlink="">
      <xdr:nvSpPr>
        <xdr:cNvPr id="8" name="Rectangle 7">
          <a:extLst>
            <a:ext uri="{FF2B5EF4-FFF2-40B4-BE49-F238E27FC236}">
              <a16:creationId xmlns:a16="http://schemas.microsoft.com/office/drawing/2014/main" id="{00000000-0008-0000-0500-000008000000}"/>
            </a:ext>
          </a:extLst>
        </xdr:cNvPr>
        <xdr:cNvSpPr/>
      </xdr:nvSpPr>
      <xdr:spPr>
        <a:xfrm>
          <a:off x="38100" y="6372225"/>
          <a:ext cx="171450" cy="16192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38100</xdr:colOff>
      <xdr:row>38</xdr:row>
      <xdr:rowOff>19050</xdr:rowOff>
    </xdr:from>
    <xdr:to>
      <xdr:col>0</xdr:col>
      <xdr:colOff>209550</xdr:colOff>
      <xdr:row>38</xdr:row>
      <xdr:rowOff>180975</xdr:rowOff>
    </xdr:to>
    <xdr:sp macro="" textlink="">
      <xdr:nvSpPr>
        <xdr:cNvPr id="9" name="Rectangle 8">
          <a:extLst>
            <a:ext uri="{FF2B5EF4-FFF2-40B4-BE49-F238E27FC236}">
              <a16:creationId xmlns:a16="http://schemas.microsoft.com/office/drawing/2014/main" id="{00000000-0008-0000-0500-000009000000}"/>
            </a:ext>
          </a:extLst>
        </xdr:cNvPr>
        <xdr:cNvSpPr/>
      </xdr:nvSpPr>
      <xdr:spPr>
        <a:xfrm>
          <a:off x="38100" y="7229475"/>
          <a:ext cx="171450" cy="16192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47625</xdr:colOff>
      <xdr:row>43</xdr:row>
      <xdr:rowOff>0</xdr:rowOff>
    </xdr:from>
    <xdr:to>
      <xdr:col>0</xdr:col>
      <xdr:colOff>219075</xdr:colOff>
      <xdr:row>43</xdr:row>
      <xdr:rowOff>161925</xdr:rowOff>
    </xdr:to>
    <xdr:sp macro="" textlink="">
      <xdr:nvSpPr>
        <xdr:cNvPr id="10" name="Rectangle 9">
          <a:extLst>
            <a:ext uri="{FF2B5EF4-FFF2-40B4-BE49-F238E27FC236}">
              <a16:creationId xmlns:a16="http://schemas.microsoft.com/office/drawing/2014/main" id="{00000000-0008-0000-0500-00000A000000}"/>
            </a:ext>
          </a:extLst>
        </xdr:cNvPr>
        <xdr:cNvSpPr/>
      </xdr:nvSpPr>
      <xdr:spPr>
        <a:xfrm>
          <a:off x="47625" y="7410450"/>
          <a:ext cx="171450" cy="16192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47625</xdr:colOff>
      <xdr:row>44</xdr:row>
      <xdr:rowOff>9525</xdr:rowOff>
    </xdr:from>
    <xdr:to>
      <xdr:col>0</xdr:col>
      <xdr:colOff>219075</xdr:colOff>
      <xdr:row>44</xdr:row>
      <xdr:rowOff>171450</xdr:rowOff>
    </xdr:to>
    <xdr:sp macro="" textlink="">
      <xdr:nvSpPr>
        <xdr:cNvPr id="11" name="Rectangle 10">
          <a:extLst>
            <a:ext uri="{FF2B5EF4-FFF2-40B4-BE49-F238E27FC236}">
              <a16:creationId xmlns:a16="http://schemas.microsoft.com/office/drawing/2014/main" id="{00000000-0008-0000-0500-00000B000000}"/>
            </a:ext>
          </a:extLst>
        </xdr:cNvPr>
        <xdr:cNvSpPr/>
      </xdr:nvSpPr>
      <xdr:spPr>
        <a:xfrm>
          <a:off x="47625" y="7620000"/>
          <a:ext cx="171450" cy="16192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47625</xdr:colOff>
      <xdr:row>45</xdr:row>
      <xdr:rowOff>19050</xdr:rowOff>
    </xdr:from>
    <xdr:to>
      <xdr:col>0</xdr:col>
      <xdr:colOff>219075</xdr:colOff>
      <xdr:row>45</xdr:row>
      <xdr:rowOff>180975</xdr:rowOff>
    </xdr:to>
    <xdr:sp macro="" textlink="">
      <xdr:nvSpPr>
        <xdr:cNvPr id="12" name="Rectangle 11">
          <a:extLst>
            <a:ext uri="{FF2B5EF4-FFF2-40B4-BE49-F238E27FC236}">
              <a16:creationId xmlns:a16="http://schemas.microsoft.com/office/drawing/2014/main" id="{00000000-0008-0000-0500-00000C000000}"/>
            </a:ext>
          </a:extLst>
        </xdr:cNvPr>
        <xdr:cNvSpPr/>
      </xdr:nvSpPr>
      <xdr:spPr>
        <a:xfrm>
          <a:off x="47625" y="7829550"/>
          <a:ext cx="171450" cy="16192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47625</xdr:colOff>
      <xdr:row>46</xdr:row>
      <xdr:rowOff>19050</xdr:rowOff>
    </xdr:from>
    <xdr:to>
      <xdr:col>0</xdr:col>
      <xdr:colOff>219075</xdr:colOff>
      <xdr:row>46</xdr:row>
      <xdr:rowOff>180975</xdr:rowOff>
    </xdr:to>
    <xdr:sp macro="" textlink="">
      <xdr:nvSpPr>
        <xdr:cNvPr id="13" name="Rectangle 12">
          <a:extLst>
            <a:ext uri="{FF2B5EF4-FFF2-40B4-BE49-F238E27FC236}">
              <a16:creationId xmlns:a16="http://schemas.microsoft.com/office/drawing/2014/main" id="{00000000-0008-0000-0500-00000D000000}"/>
            </a:ext>
          </a:extLst>
        </xdr:cNvPr>
        <xdr:cNvSpPr/>
      </xdr:nvSpPr>
      <xdr:spPr>
        <a:xfrm>
          <a:off x="47625" y="8048625"/>
          <a:ext cx="171450" cy="16192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38100</xdr:colOff>
      <xdr:row>48</xdr:row>
      <xdr:rowOff>28575</xdr:rowOff>
    </xdr:from>
    <xdr:to>
      <xdr:col>0</xdr:col>
      <xdr:colOff>209550</xdr:colOff>
      <xdr:row>48</xdr:row>
      <xdr:rowOff>190500</xdr:rowOff>
    </xdr:to>
    <xdr:sp macro="" textlink="">
      <xdr:nvSpPr>
        <xdr:cNvPr id="14" name="Rectangle 13">
          <a:extLst>
            <a:ext uri="{FF2B5EF4-FFF2-40B4-BE49-F238E27FC236}">
              <a16:creationId xmlns:a16="http://schemas.microsoft.com/office/drawing/2014/main" id="{00000000-0008-0000-0500-00000E000000}"/>
            </a:ext>
          </a:extLst>
        </xdr:cNvPr>
        <xdr:cNvSpPr/>
      </xdr:nvSpPr>
      <xdr:spPr>
        <a:xfrm>
          <a:off x="38100" y="8439150"/>
          <a:ext cx="171450" cy="16192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xdr:colOff>
      <xdr:row>0</xdr:row>
      <xdr:rowOff>66675</xdr:rowOff>
    </xdr:from>
    <xdr:to>
      <xdr:col>4</xdr:col>
      <xdr:colOff>552450</xdr:colOff>
      <xdr:row>2</xdr:row>
      <xdr:rowOff>95250</xdr:rowOff>
    </xdr:to>
    <xdr:cxnSp macro="">
      <xdr:nvCxnSpPr>
        <xdr:cNvPr id="19" name="Elbow Connector 18">
          <a:extLst>
            <a:ext uri="{FF2B5EF4-FFF2-40B4-BE49-F238E27FC236}">
              <a16:creationId xmlns:a16="http://schemas.microsoft.com/office/drawing/2014/main" id="{00000000-0008-0000-0500-000013000000}"/>
            </a:ext>
          </a:extLst>
        </xdr:cNvPr>
        <xdr:cNvCxnSpPr/>
      </xdr:nvCxnSpPr>
      <xdr:spPr>
        <a:xfrm>
          <a:off x="6791325" y="66675"/>
          <a:ext cx="476250" cy="419100"/>
        </a:xfrm>
        <a:prstGeom prst="bentConnector3">
          <a:avLst/>
        </a:prstGeom>
        <a:ln w="28575">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9525</xdr:colOff>
      <xdr:row>44</xdr:row>
      <xdr:rowOff>38100</xdr:rowOff>
    </xdr:from>
    <xdr:to>
      <xdr:col>2</xdr:col>
      <xdr:colOff>180975</xdr:colOff>
      <xdr:row>44</xdr:row>
      <xdr:rowOff>200025</xdr:rowOff>
    </xdr:to>
    <xdr:sp macro="" textlink="">
      <xdr:nvSpPr>
        <xdr:cNvPr id="16" name="Rectangle 15">
          <a:extLst>
            <a:ext uri="{FF2B5EF4-FFF2-40B4-BE49-F238E27FC236}">
              <a16:creationId xmlns:a16="http://schemas.microsoft.com/office/drawing/2014/main" id="{00000000-0008-0000-0500-000010000000}"/>
            </a:ext>
          </a:extLst>
        </xdr:cNvPr>
        <xdr:cNvSpPr/>
      </xdr:nvSpPr>
      <xdr:spPr>
        <a:xfrm>
          <a:off x="3076575" y="7419975"/>
          <a:ext cx="171450" cy="16192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38100</xdr:colOff>
      <xdr:row>40</xdr:row>
      <xdr:rowOff>0</xdr:rowOff>
    </xdr:from>
    <xdr:to>
      <xdr:col>0</xdr:col>
      <xdr:colOff>209550</xdr:colOff>
      <xdr:row>40</xdr:row>
      <xdr:rowOff>161925</xdr:rowOff>
    </xdr:to>
    <xdr:sp macro="" textlink="">
      <xdr:nvSpPr>
        <xdr:cNvPr id="17" name="Rectangle 16">
          <a:extLst>
            <a:ext uri="{FF2B5EF4-FFF2-40B4-BE49-F238E27FC236}">
              <a16:creationId xmlns:a16="http://schemas.microsoft.com/office/drawing/2014/main" id="{00000000-0008-0000-0500-000011000000}"/>
            </a:ext>
          </a:extLst>
        </xdr:cNvPr>
        <xdr:cNvSpPr/>
      </xdr:nvSpPr>
      <xdr:spPr>
        <a:xfrm>
          <a:off x="38100" y="7048500"/>
          <a:ext cx="171450" cy="16192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38100</xdr:colOff>
      <xdr:row>40</xdr:row>
      <xdr:rowOff>0</xdr:rowOff>
    </xdr:from>
    <xdr:to>
      <xdr:col>0</xdr:col>
      <xdr:colOff>209550</xdr:colOff>
      <xdr:row>40</xdr:row>
      <xdr:rowOff>161925</xdr:rowOff>
    </xdr:to>
    <xdr:sp macro="" textlink="">
      <xdr:nvSpPr>
        <xdr:cNvPr id="18" name="Rectangle 17">
          <a:extLst>
            <a:ext uri="{FF2B5EF4-FFF2-40B4-BE49-F238E27FC236}">
              <a16:creationId xmlns:a16="http://schemas.microsoft.com/office/drawing/2014/main" id="{00000000-0008-0000-0500-000012000000}"/>
            </a:ext>
          </a:extLst>
        </xdr:cNvPr>
        <xdr:cNvSpPr/>
      </xdr:nvSpPr>
      <xdr:spPr>
        <a:xfrm>
          <a:off x="38100" y="7048500"/>
          <a:ext cx="171450" cy="16192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76200</xdr:colOff>
      <xdr:row>0</xdr:row>
      <xdr:rowOff>66675</xdr:rowOff>
    </xdr:from>
    <xdr:to>
      <xdr:col>4</xdr:col>
      <xdr:colOff>552450</xdr:colOff>
      <xdr:row>2</xdr:row>
      <xdr:rowOff>95250</xdr:rowOff>
    </xdr:to>
    <xdr:cxnSp macro="">
      <xdr:nvCxnSpPr>
        <xdr:cNvPr id="14" name="Elbow Connector 13">
          <a:extLst>
            <a:ext uri="{FF2B5EF4-FFF2-40B4-BE49-F238E27FC236}">
              <a16:creationId xmlns:a16="http://schemas.microsoft.com/office/drawing/2014/main" id="{00000000-0008-0000-0600-00000E000000}"/>
            </a:ext>
          </a:extLst>
        </xdr:cNvPr>
        <xdr:cNvCxnSpPr/>
      </xdr:nvCxnSpPr>
      <xdr:spPr>
        <a:xfrm>
          <a:off x="6829425" y="66675"/>
          <a:ext cx="476250" cy="419100"/>
        </a:xfrm>
        <a:prstGeom prst="bentConnector3">
          <a:avLst/>
        </a:prstGeom>
        <a:ln w="28575">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49530</xdr:colOff>
          <xdr:row>18</xdr:row>
          <xdr:rowOff>0</xdr:rowOff>
        </xdr:from>
        <xdr:to>
          <xdr:col>0</xdr:col>
          <xdr:colOff>285750</xdr:colOff>
          <xdr:row>19</xdr:row>
          <xdr:rowOff>38100</xdr:rowOff>
        </xdr:to>
        <xdr:sp macro="" textlink="">
          <xdr:nvSpPr>
            <xdr:cNvPr id="24577" name="Check Box 1" hidden="1">
              <a:extLst>
                <a:ext uri="{63B3BB69-23CF-44E3-9099-C40C66FF867C}">
                  <a14:compatExt spid="_x0000_s24577"/>
                </a:ext>
                <a:ext uri="{FF2B5EF4-FFF2-40B4-BE49-F238E27FC236}">
                  <a16:creationId xmlns:a16="http://schemas.microsoft.com/office/drawing/2014/main" id="{00000000-0008-0000-0700-000001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38100</xdr:colOff>
      <xdr:row>36</xdr:row>
      <xdr:rowOff>28575</xdr:rowOff>
    </xdr:from>
    <xdr:to>
      <xdr:col>0</xdr:col>
      <xdr:colOff>209550</xdr:colOff>
      <xdr:row>36</xdr:row>
      <xdr:rowOff>190500</xdr:rowOff>
    </xdr:to>
    <xdr:sp macro="" textlink="">
      <xdr:nvSpPr>
        <xdr:cNvPr id="13" name="Rectangle 12">
          <a:extLst>
            <a:ext uri="{FF2B5EF4-FFF2-40B4-BE49-F238E27FC236}">
              <a16:creationId xmlns:a16="http://schemas.microsoft.com/office/drawing/2014/main" id="{00000000-0008-0000-0700-00000D000000}"/>
            </a:ext>
          </a:extLst>
        </xdr:cNvPr>
        <xdr:cNvSpPr/>
      </xdr:nvSpPr>
      <xdr:spPr>
        <a:xfrm>
          <a:off x="38100" y="8220075"/>
          <a:ext cx="171450" cy="16192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xdr:colOff>
      <xdr:row>0</xdr:row>
      <xdr:rowOff>66675</xdr:rowOff>
    </xdr:from>
    <xdr:to>
      <xdr:col>4</xdr:col>
      <xdr:colOff>552450</xdr:colOff>
      <xdr:row>2</xdr:row>
      <xdr:rowOff>95250</xdr:rowOff>
    </xdr:to>
    <xdr:cxnSp macro="">
      <xdr:nvCxnSpPr>
        <xdr:cNvPr id="14" name="Elbow Connector 13">
          <a:extLst>
            <a:ext uri="{FF2B5EF4-FFF2-40B4-BE49-F238E27FC236}">
              <a16:creationId xmlns:a16="http://schemas.microsoft.com/office/drawing/2014/main" id="{00000000-0008-0000-0700-00000E000000}"/>
            </a:ext>
          </a:extLst>
        </xdr:cNvPr>
        <xdr:cNvCxnSpPr/>
      </xdr:nvCxnSpPr>
      <xdr:spPr>
        <a:xfrm>
          <a:off x="6829425" y="66675"/>
          <a:ext cx="476250" cy="419100"/>
        </a:xfrm>
        <a:prstGeom prst="bentConnector3">
          <a:avLst/>
        </a:prstGeom>
        <a:ln w="28575">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49530</xdr:colOff>
          <xdr:row>16</xdr:row>
          <xdr:rowOff>0</xdr:rowOff>
        </xdr:from>
        <xdr:to>
          <xdr:col>0</xdr:col>
          <xdr:colOff>285750</xdr:colOff>
          <xdr:row>17</xdr:row>
          <xdr:rowOff>38100</xdr:rowOff>
        </xdr:to>
        <xdr:sp macro="" textlink="">
          <xdr:nvSpPr>
            <xdr:cNvPr id="25601" name="Check Box 1" hidden="1">
              <a:extLst>
                <a:ext uri="{63B3BB69-23CF-44E3-9099-C40C66FF867C}">
                  <a14:compatExt spid="_x0000_s25601"/>
                </a:ext>
                <a:ext uri="{FF2B5EF4-FFF2-40B4-BE49-F238E27FC236}">
                  <a16:creationId xmlns:a16="http://schemas.microsoft.com/office/drawing/2014/main" id="{00000000-0008-0000-0800-000001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38100</xdr:colOff>
      <xdr:row>29</xdr:row>
      <xdr:rowOff>19050</xdr:rowOff>
    </xdr:from>
    <xdr:to>
      <xdr:col>0</xdr:col>
      <xdr:colOff>209550</xdr:colOff>
      <xdr:row>29</xdr:row>
      <xdr:rowOff>180975</xdr:rowOff>
    </xdr:to>
    <xdr:sp macro="" textlink="">
      <xdr:nvSpPr>
        <xdr:cNvPr id="3" name="Rectangle 2">
          <a:extLst>
            <a:ext uri="{FF2B5EF4-FFF2-40B4-BE49-F238E27FC236}">
              <a16:creationId xmlns:a16="http://schemas.microsoft.com/office/drawing/2014/main" id="{00000000-0008-0000-0800-000003000000}"/>
            </a:ext>
          </a:extLst>
        </xdr:cNvPr>
        <xdr:cNvSpPr/>
      </xdr:nvSpPr>
      <xdr:spPr>
        <a:xfrm>
          <a:off x="38100" y="5657850"/>
          <a:ext cx="171450" cy="16192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38100</xdr:colOff>
      <xdr:row>30</xdr:row>
      <xdr:rowOff>19050</xdr:rowOff>
    </xdr:from>
    <xdr:to>
      <xdr:col>0</xdr:col>
      <xdr:colOff>209550</xdr:colOff>
      <xdr:row>30</xdr:row>
      <xdr:rowOff>180975</xdr:rowOff>
    </xdr:to>
    <xdr:sp macro="" textlink="">
      <xdr:nvSpPr>
        <xdr:cNvPr id="4" name="Rectangle 3">
          <a:extLst>
            <a:ext uri="{FF2B5EF4-FFF2-40B4-BE49-F238E27FC236}">
              <a16:creationId xmlns:a16="http://schemas.microsoft.com/office/drawing/2014/main" id="{00000000-0008-0000-0800-000004000000}"/>
            </a:ext>
          </a:extLst>
        </xdr:cNvPr>
        <xdr:cNvSpPr/>
      </xdr:nvSpPr>
      <xdr:spPr>
        <a:xfrm>
          <a:off x="38100" y="5857875"/>
          <a:ext cx="171450" cy="16192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38100</xdr:colOff>
      <xdr:row>34</xdr:row>
      <xdr:rowOff>38100</xdr:rowOff>
    </xdr:from>
    <xdr:to>
      <xdr:col>0</xdr:col>
      <xdr:colOff>209550</xdr:colOff>
      <xdr:row>35</xdr:row>
      <xdr:rowOff>0</xdr:rowOff>
    </xdr:to>
    <xdr:sp macro="" textlink="">
      <xdr:nvSpPr>
        <xdr:cNvPr id="5" name="Rectangle 4">
          <a:extLst>
            <a:ext uri="{FF2B5EF4-FFF2-40B4-BE49-F238E27FC236}">
              <a16:creationId xmlns:a16="http://schemas.microsoft.com/office/drawing/2014/main" id="{00000000-0008-0000-0800-000005000000}"/>
            </a:ext>
          </a:extLst>
        </xdr:cNvPr>
        <xdr:cNvSpPr/>
      </xdr:nvSpPr>
      <xdr:spPr>
        <a:xfrm>
          <a:off x="38100" y="6553200"/>
          <a:ext cx="171450" cy="16192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38100</xdr:colOff>
      <xdr:row>33</xdr:row>
      <xdr:rowOff>19050</xdr:rowOff>
    </xdr:from>
    <xdr:to>
      <xdr:col>0</xdr:col>
      <xdr:colOff>209550</xdr:colOff>
      <xdr:row>33</xdr:row>
      <xdr:rowOff>180975</xdr:rowOff>
    </xdr:to>
    <xdr:sp macro="" textlink="">
      <xdr:nvSpPr>
        <xdr:cNvPr id="6" name="Rectangle 5">
          <a:extLst>
            <a:ext uri="{FF2B5EF4-FFF2-40B4-BE49-F238E27FC236}">
              <a16:creationId xmlns:a16="http://schemas.microsoft.com/office/drawing/2014/main" id="{00000000-0008-0000-0800-000006000000}"/>
            </a:ext>
          </a:extLst>
        </xdr:cNvPr>
        <xdr:cNvSpPr/>
      </xdr:nvSpPr>
      <xdr:spPr>
        <a:xfrm>
          <a:off x="38100" y="6334125"/>
          <a:ext cx="171450" cy="16192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38100</xdr:colOff>
      <xdr:row>32</xdr:row>
      <xdr:rowOff>9525</xdr:rowOff>
    </xdr:from>
    <xdr:to>
      <xdr:col>0</xdr:col>
      <xdr:colOff>209550</xdr:colOff>
      <xdr:row>32</xdr:row>
      <xdr:rowOff>171450</xdr:rowOff>
    </xdr:to>
    <xdr:sp macro="" textlink="">
      <xdr:nvSpPr>
        <xdr:cNvPr id="7" name="Rectangle 6">
          <a:extLst>
            <a:ext uri="{FF2B5EF4-FFF2-40B4-BE49-F238E27FC236}">
              <a16:creationId xmlns:a16="http://schemas.microsoft.com/office/drawing/2014/main" id="{00000000-0008-0000-0800-000007000000}"/>
            </a:ext>
          </a:extLst>
        </xdr:cNvPr>
        <xdr:cNvSpPr/>
      </xdr:nvSpPr>
      <xdr:spPr>
        <a:xfrm>
          <a:off x="38100" y="6124575"/>
          <a:ext cx="171450" cy="16192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38100</xdr:colOff>
      <xdr:row>36</xdr:row>
      <xdr:rowOff>19050</xdr:rowOff>
    </xdr:from>
    <xdr:to>
      <xdr:col>0</xdr:col>
      <xdr:colOff>209550</xdr:colOff>
      <xdr:row>36</xdr:row>
      <xdr:rowOff>180975</xdr:rowOff>
    </xdr:to>
    <xdr:sp macro="" textlink="">
      <xdr:nvSpPr>
        <xdr:cNvPr id="8" name="Rectangle 7">
          <a:extLst>
            <a:ext uri="{FF2B5EF4-FFF2-40B4-BE49-F238E27FC236}">
              <a16:creationId xmlns:a16="http://schemas.microsoft.com/office/drawing/2014/main" id="{00000000-0008-0000-0800-000008000000}"/>
            </a:ext>
          </a:extLst>
        </xdr:cNvPr>
        <xdr:cNvSpPr/>
      </xdr:nvSpPr>
      <xdr:spPr>
        <a:xfrm>
          <a:off x="38100" y="6800850"/>
          <a:ext cx="171450" cy="16192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47625</xdr:colOff>
      <xdr:row>38</xdr:row>
      <xdr:rowOff>0</xdr:rowOff>
    </xdr:from>
    <xdr:to>
      <xdr:col>0</xdr:col>
      <xdr:colOff>219075</xdr:colOff>
      <xdr:row>38</xdr:row>
      <xdr:rowOff>161925</xdr:rowOff>
    </xdr:to>
    <xdr:sp macro="" textlink="">
      <xdr:nvSpPr>
        <xdr:cNvPr id="9" name="Rectangle 8">
          <a:extLst>
            <a:ext uri="{FF2B5EF4-FFF2-40B4-BE49-F238E27FC236}">
              <a16:creationId xmlns:a16="http://schemas.microsoft.com/office/drawing/2014/main" id="{00000000-0008-0000-0800-000009000000}"/>
            </a:ext>
          </a:extLst>
        </xdr:cNvPr>
        <xdr:cNvSpPr/>
      </xdr:nvSpPr>
      <xdr:spPr>
        <a:xfrm>
          <a:off x="47625" y="7181850"/>
          <a:ext cx="171450" cy="16192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47625</xdr:colOff>
      <xdr:row>39</xdr:row>
      <xdr:rowOff>9525</xdr:rowOff>
    </xdr:from>
    <xdr:to>
      <xdr:col>0</xdr:col>
      <xdr:colOff>219075</xdr:colOff>
      <xdr:row>39</xdr:row>
      <xdr:rowOff>171450</xdr:rowOff>
    </xdr:to>
    <xdr:sp macro="" textlink="">
      <xdr:nvSpPr>
        <xdr:cNvPr id="10" name="Rectangle 9">
          <a:extLst>
            <a:ext uri="{FF2B5EF4-FFF2-40B4-BE49-F238E27FC236}">
              <a16:creationId xmlns:a16="http://schemas.microsoft.com/office/drawing/2014/main" id="{00000000-0008-0000-0800-00000A000000}"/>
            </a:ext>
          </a:extLst>
        </xdr:cNvPr>
        <xdr:cNvSpPr/>
      </xdr:nvSpPr>
      <xdr:spPr>
        <a:xfrm>
          <a:off x="47625" y="7391400"/>
          <a:ext cx="171450" cy="16192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47625</xdr:colOff>
      <xdr:row>40</xdr:row>
      <xdr:rowOff>19050</xdr:rowOff>
    </xdr:from>
    <xdr:to>
      <xdr:col>0</xdr:col>
      <xdr:colOff>219075</xdr:colOff>
      <xdr:row>40</xdr:row>
      <xdr:rowOff>180975</xdr:rowOff>
    </xdr:to>
    <xdr:sp macro="" textlink="">
      <xdr:nvSpPr>
        <xdr:cNvPr id="11" name="Rectangle 10">
          <a:extLst>
            <a:ext uri="{FF2B5EF4-FFF2-40B4-BE49-F238E27FC236}">
              <a16:creationId xmlns:a16="http://schemas.microsoft.com/office/drawing/2014/main" id="{00000000-0008-0000-0800-00000B000000}"/>
            </a:ext>
          </a:extLst>
        </xdr:cNvPr>
        <xdr:cNvSpPr/>
      </xdr:nvSpPr>
      <xdr:spPr>
        <a:xfrm>
          <a:off x="47625" y="7610475"/>
          <a:ext cx="171450" cy="16192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47625</xdr:colOff>
      <xdr:row>41</xdr:row>
      <xdr:rowOff>19050</xdr:rowOff>
    </xdr:from>
    <xdr:to>
      <xdr:col>0</xdr:col>
      <xdr:colOff>219075</xdr:colOff>
      <xdr:row>41</xdr:row>
      <xdr:rowOff>180975</xdr:rowOff>
    </xdr:to>
    <xdr:sp macro="" textlink="">
      <xdr:nvSpPr>
        <xdr:cNvPr id="12" name="Rectangle 11">
          <a:extLst>
            <a:ext uri="{FF2B5EF4-FFF2-40B4-BE49-F238E27FC236}">
              <a16:creationId xmlns:a16="http://schemas.microsoft.com/office/drawing/2014/main" id="{00000000-0008-0000-0800-00000C000000}"/>
            </a:ext>
          </a:extLst>
        </xdr:cNvPr>
        <xdr:cNvSpPr/>
      </xdr:nvSpPr>
      <xdr:spPr>
        <a:xfrm>
          <a:off x="47625" y="7810500"/>
          <a:ext cx="171450" cy="16192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38100</xdr:colOff>
      <xdr:row>43</xdr:row>
      <xdr:rowOff>28575</xdr:rowOff>
    </xdr:from>
    <xdr:to>
      <xdr:col>0</xdr:col>
      <xdr:colOff>209550</xdr:colOff>
      <xdr:row>43</xdr:row>
      <xdr:rowOff>190500</xdr:rowOff>
    </xdr:to>
    <xdr:sp macro="" textlink="">
      <xdr:nvSpPr>
        <xdr:cNvPr id="13" name="Rectangle 12">
          <a:extLst>
            <a:ext uri="{FF2B5EF4-FFF2-40B4-BE49-F238E27FC236}">
              <a16:creationId xmlns:a16="http://schemas.microsoft.com/office/drawing/2014/main" id="{00000000-0008-0000-0800-00000D000000}"/>
            </a:ext>
          </a:extLst>
        </xdr:cNvPr>
        <xdr:cNvSpPr/>
      </xdr:nvSpPr>
      <xdr:spPr>
        <a:xfrm>
          <a:off x="38100" y="8220075"/>
          <a:ext cx="171450" cy="16192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xdr:colOff>
      <xdr:row>0</xdr:row>
      <xdr:rowOff>66675</xdr:rowOff>
    </xdr:from>
    <xdr:to>
      <xdr:col>4</xdr:col>
      <xdr:colOff>552450</xdr:colOff>
      <xdr:row>2</xdr:row>
      <xdr:rowOff>95250</xdr:rowOff>
    </xdr:to>
    <xdr:cxnSp macro="">
      <xdr:nvCxnSpPr>
        <xdr:cNvPr id="14" name="Elbow Connector 13">
          <a:extLst>
            <a:ext uri="{FF2B5EF4-FFF2-40B4-BE49-F238E27FC236}">
              <a16:creationId xmlns:a16="http://schemas.microsoft.com/office/drawing/2014/main" id="{00000000-0008-0000-0800-00000E000000}"/>
            </a:ext>
          </a:extLst>
        </xdr:cNvPr>
        <xdr:cNvCxnSpPr/>
      </xdr:nvCxnSpPr>
      <xdr:spPr>
        <a:xfrm>
          <a:off x="6829425" y="66675"/>
          <a:ext cx="476250" cy="419100"/>
        </a:xfrm>
        <a:prstGeom prst="bentConnector3">
          <a:avLst/>
        </a:prstGeom>
        <a:ln w="28575">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9525</xdr:colOff>
      <xdr:row>39</xdr:row>
      <xdr:rowOff>38100</xdr:rowOff>
    </xdr:from>
    <xdr:to>
      <xdr:col>2</xdr:col>
      <xdr:colOff>180975</xdr:colOff>
      <xdr:row>39</xdr:row>
      <xdr:rowOff>200025</xdr:rowOff>
    </xdr:to>
    <xdr:sp macro="" textlink="">
      <xdr:nvSpPr>
        <xdr:cNvPr id="15" name="Rectangle 14">
          <a:extLst>
            <a:ext uri="{FF2B5EF4-FFF2-40B4-BE49-F238E27FC236}">
              <a16:creationId xmlns:a16="http://schemas.microsoft.com/office/drawing/2014/main" id="{00000000-0008-0000-0800-00000F000000}"/>
            </a:ext>
          </a:extLst>
        </xdr:cNvPr>
        <xdr:cNvSpPr/>
      </xdr:nvSpPr>
      <xdr:spPr>
        <a:xfrm>
          <a:off x="3076575" y="7419975"/>
          <a:ext cx="171450" cy="16192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85725</xdr:colOff>
      <xdr:row>4</xdr:row>
      <xdr:rowOff>33337</xdr:rowOff>
    </xdr:from>
    <xdr:to>
      <xdr:col>14</xdr:col>
      <xdr:colOff>19050</xdr:colOff>
      <xdr:row>18</xdr:row>
      <xdr:rowOff>109537</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361949</xdr:colOff>
      <xdr:row>20</xdr:row>
      <xdr:rowOff>33337</xdr:rowOff>
    </xdr:from>
    <xdr:to>
      <xdr:col>15</xdr:col>
      <xdr:colOff>323850</xdr:colOff>
      <xdr:row>34</xdr:row>
      <xdr:rowOff>9525</xdr:rowOff>
    </xdr:to>
    <xdr:graphicFrame macro="">
      <xdr:nvGraphicFramePr>
        <xdr:cNvPr id="5" name="Chart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581025</xdr:colOff>
      <xdr:row>37</xdr:row>
      <xdr:rowOff>119062</xdr:rowOff>
    </xdr:from>
    <xdr:to>
      <xdr:col>13</xdr:col>
      <xdr:colOff>581025</xdr:colOff>
      <xdr:row>48</xdr:row>
      <xdr:rowOff>9525</xdr:rowOff>
    </xdr:to>
    <xdr:graphicFrame macro="">
      <xdr:nvGraphicFramePr>
        <xdr:cNvPr id="7" name="Chart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542925</xdr:colOff>
      <xdr:row>48</xdr:row>
      <xdr:rowOff>147637</xdr:rowOff>
    </xdr:from>
    <xdr:to>
      <xdr:col>13</xdr:col>
      <xdr:colOff>600075</xdr:colOff>
      <xdr:row>63</xdr:row>
      <xdr:rowOff>33337</xdr:rowOff>
    </xdr:to>
    <xdr:graphicFrame macro="">
      <xdr:nvGraphicFramePr>
        <xdr:cNvPr id="8" name="Chart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180975</xdr:colOff>
      <xdr:row>9</xdr:row>
      <xdr:rowOff>114300</xdr:rowOff>
    </xdr:from>
    <xdr:to>
      <xdr:col>17</xdr:col>
      <xdr:colOff>161925</xdr:colOff>
      <xdr:row>35</xdr:row>
      <xdr:rowOff>161925</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304800</xdr:colOff>
      <xdr:row>37</xdr:row>
      <xdr:rowOff>19050</xdr:rowOff>
    </xdr:from>
    <xdr:to>
      <xdr:col>16</xdr:col>
      <xdr:colOff>457200</xdr:colOff>
      <xdr:row>46</xdr:row>
      <xdr:rowOff>95250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514350</xdr:colOff>
      <xdr:row>40</xdr:row>
      <xdr:rowOff>171449</xdr:rowOff>
    </xdr:from>
    <xdr:to>
      <xdr:col>28</xdr:col>
      <xdr:colOff>38100</xdr:colOff>
      <xdr:row>45</xdr:row>
      <xdr:rowOff>295274</xdr:rowOff>
    </xdr:to>
    <xdr:sp macro="" textlink="">
      <xdr:nvSpPr>
        <xdr:cNvPr id="4" name="TextBox 3">
          <a:extLst>
            <a:ext uri="{FF2B5EF4-FFF2-40B4-BE49-F238E27FC236}">
              <a16:creationId xmlns:a16="http://schemas.microsoft.com/office/drawing/2014/main" id="{00000000-0008-0000-0A00-000004000000}"/>
            </a:ext>
          </a:extLst>
        </xdr:cNvPr>
        <xdr:cNvSpPr txBox="1"/>
      </xdr:nvSpPr>
      <xdr:spPr>
        <a:xfrm>
          <a:off x="14354175" y="1123949"/>
          <a:ext cx="3838575" cy="1152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Data is currently skewed due to so many complaints on Thursday, 1/1/15 (holiday-based complaints)</a:t>
          </a:r>
        </a:p>
      </xdr:txBody>
    </xdr:sp>
    <xdr:clientData/>
  </xdr:twoCellAnchor>
  <xdr:twoCellAnchor>
    <xdr:from>
      <xdr:col>2</xdr:col>
      <xdr:colOff>438149</xdr:colOff>
      <xdr:row>50</xdr:row>
      <xdr:rowOff>38100</xdr:rowOff>
    </xdr:from>
    <xdr:to>
      <xdr:col>16</xdr:col>
      <xdr:colOff>609599</xdr:colOff>
      <xdr:row>75</xdr:row>
      <xdr:rowOff>57150</xdr:rowOff>
    </xdr:to>
    <xdr:graphicFrame macro="">
      <xdr:nvGraphicFramePr>
        <xdr:cNvPr id="6" name="Chart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447675</xdr:colOff>
      <xdr:row>76</xdr:row>
      <xdr:rowOff>95250</xdr:rowOff>
    </xdr:from>
    <xdr:to>
      <xdr:col>17</xdr:col>
      <xdr:colOff>0</xdr:colOff>
      <xdr:row>86</xdr:row>
      <xdr:rowOff>28576</xdr:rowOff>
    </xdr:to>
    <xdr:graphicFrame macro="">
      <xdr:nvGraphicFramePr>
        <xdr:cNvPr id="7" name="Chart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333375</xdr:colOff>
      <xdr:row>89</xdr:row>
      <xdr:rowOff>133350</xdr:rowOff>
    </xdr:from>
    <xdr:to>
      <xdr:col>17</xdr:col>
      <xdr:colOff>571500</xdr:colOff>
      <xdr:row>116</xdr:row>
      <xdr:rowOff>0</xdr:rowOff>
    </xdr:to>
    <xdr:graphicFrame macro="">
      <xdr:nvGraphicFramePr>
        <xdr:cNvPr id="8" name="Chart 7">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361949</xdr:colOff>
      <xdr:row>117</xdr:row>
      <xdr:rowOff>23812</xdr:rowOff>
    </xdr:from>
    <xdr:to>
      <xdr:col>17</xdr:col>
      <xdr:colOff>609599</xdr:colOff>
      <xdr:row>126</xdr:row>
      <xdr:rowOff>47625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304800</xdr:colOff>
      <xdr:row>129</xdr:row>
      <xdr:rowOff>180975</xdr:rowOff>
    </xdr:from>
    <xdr:to>
      <xdr:col>17</xdr:col>
      <xdr:colOff>390525</xdr:colOff>
      <xdr:row>156</xdr:row>
      <xdr:rowOff>47625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371475</xdr:colOff>
      <xdr:row>156</xdr:row>
      <xdr:rowOff>180974</xdr:rowOff>
    </xdr:from>
    <xdr:to>
      <xdr:col>17</xdr:col>
      <xdr:colOff>428625</xdr:colOff>
      <xdr:row>165</xdr:row>
      <xdr:rowOff>361949</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238125</xdr:colOff>
      <xdr:row>170</xdr:row>
      <xdr:rowOff>76200</xdr:rowOff>
    </xdr:from>
    <xdr:to>
      <xdr:col>17</xdr:col>
      <xdr:colOff>390525</xdr:colOff>
      <xdr:row>195</xdr:row>
      <xdr:rowOff>152400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190499</xdr:colOff>
      <xdr:row>197</xdr:row>
      <xdr:rowOff>0</xdr:rowOff>
    </xdr:from>
    <xdr:to>
      <xdr:col>17</xdr:col>
      <xdr:colOff>419099</xdr:colOff>
      <xdr:row>206</xdr:row>
      <xdr:rowOff>61912</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152399</xdr:colOff>
      <xdr:row>209</xdr:row>
      <xdr:rowOff>180975</xdr:rowOff>
    </xdr:from>
    <xdr:to>
      <xdr:col>17</xdr:col>
      <xdr:colOff>380999</xdr:colOff>
      <xdr:row>235</xdr:row>
      <xdr:rowOff>161925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104775</xdr:colOff>
      <xdr:row>237</xdr:row>
      <xdr:rowOff>0</xdr:rowOff>
    </xdr:from>
    <xdr:to>
      <xdr:col>17</xdr:col>
      <xdr:colOff>361950</xdr:colOff>
      <xdr:row>246</xdr:row>
      <xdr:rowOff>23812</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28575</xdr:colOff>
      <xdr:row>249</xdr:row>
      <xdr:rowOff>161926</xdr:rowOff>
    </xdr:from>
    <xdr:to>
      <xdr:col>17</xdr:col>
      <xdr:colOff>142875</xdr:colOff>
      <xdr:row>275</xdr:row>
      <xdr:rowOff>123826</xdr:rowOff>
    </xdr:to>
    <xdr:graphicFrame macro="">
      <xdr:nvGraphicFramePr>
        <xdr:cNvPr id="16" name="Chart 15">
          <a:extLst>
            <a:ext uri="{FF2B5EF4-FFF2-40B4-BE49-F238E27FC236}">
              <a16:creationId xmlns:a16="http://schemas.microsoft.com/office/drawing/2014/main" id="{00000000-0008-0000-0A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47625</xdr:colOff>
      <xdr:row>276</xdr:row>
      <xdr:rowOff>42862</xdr:rowOff>
    </xdr:from>
    <xdr:to>
      <xdr:col>17</xdr:col>
      <xdr:colOff>57150</xdr:colOff>
      <xdr:row>286</xdr:row>
      <xdr:rowOff>180975</xdr:rowOff>
    </xdr:to>
    <xdr:graphicFrame macro="">
      <xdr:nvGraphicFramePr>
        <xdr:cNvPr id="17" name="Chart 16">
          <a:extLst>
            <a:ext uri="{FF2B5EF4-FFF2-40B4-BE49-F238E27FC236}">
              <a16:creationId xmlns:a16="http://schemas.microsoft.com/office/drawing/2014/main" id="{00000000-0008-0000-0A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xdr:col>
      <xdr:colOff>95249</xdr:colOff>
      <xdr:row>289</xdr:row>
      <xdr:rowOff>142875</xdr:rowOff>
    </xdr:from>
    <xdr:to>
      <xdr:col>17</xdr:col>
      <xdr:colOff>266699</xdr:colOff>
      <xdr:row>315</xdr:row>
      <xdr:rowOff>180975</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533399</xdr:colOff>
      <xdr:row>317</xdr:row>
      <xdr:rowOff>9524</xdr:rowOff>
    </xdr:from>
    <xdr:to>
      <xdr:col>17</xdr:col>
      <xdr:colOff>247649</xdr:colOff>
      <xdr:row>327</xdr:row>
      <xdr:rowOff>61911</xdr:rowOff>
    </xdr:to>
    <xdr:graphicFrame macro="">
      <xdr:nvGraphicFramePr>
        <xdr:cNvPr id="19" name="Chart 18">
          <a:extLst>
            <a:ext uri="{FF2B5EF4-FFF2-40B4-BE49-F238E27FC236}">
              <a16:creationId xmlns:a16="http://schemas.microsoft.com/office/drawing/2014/main" id="{00000000-0008-0000-0A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xdr:col>
      <xdr:colOff>180975</xdr:colOff>
      <xdr:row>330</xdr:row>
      <xdr:rowOff>57150</xdr:rowOff>
    </xdr:from>
    <xdr:to>
      <xdr:col>17</xdr:col>
      <xdr:colOff>333375</xdr:colOff>
      <xdr:row>356</xdr:row>
      <xdr:rowOff>133350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571500</xdr:colOff>
      <xdr:row>357</xdr:row>
      <xdr:rowOff>166687</xdr:rowOff>
    </xdr:from>
    <xdr:to>
      <xdr:col>17</xdr:col>
      <xdr:colOff>314325</xdr:colOff>
      <xdr:row>371</xdr:row>
      <xdr:rowOff>66675</xdr:rowOff>
    </xdr:to>
    <xdr:graphicFrame macro="">
      <xdr:nvGraphicFramePr>
        <xdr:cNvPr id="21" name="Chart 20">
          <a:extLst>
            <a:ext uri="{FF2B5EF4-FFF2-40B4-BE49-F238E27FC236}">
              <a16:creationId xmlns:a16="http://schemas.microsoft.com/office/drawing/2014/main" id="{00000000-0008-0000-0A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914400</xdr:colOff>
      <xdr:row>128</xdr:row>
      <xdr:rowOff>38100</xdr:rowOff>
    </xdr:from>
    <xdr:to>
      <xdr:col>9</xdr:col>
      <xdr:colOff>95250</xdr:colOff>
      <xdr:row>143</xdr:row>
      <xdr:rowOff>85725</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914400" y="24298275"/>
          <a:ext cx="3619500" cy="2905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For future programming:</a:t>
          </a:r>
        </a:p>
        <a:p>
          <a:endParaRPr lang="en-US" sz="1100"/>
        </a:p>
        <a:p>
          <a:r>
            <a:rPr lang="en-US" sz="1100">
              <a:solidFill>
                <a:schemeClr val="dk1"/>
              </a:solidFill>
              <a:effectLst/>
              <a:latin typeface="+mn-lt"/>
              <a:ea typeface="+mn-ea"/>
              <a:cs typeface="+mn-cs"/>
            </a:rPr>
            <a:t>1.1 Unsubstantiated due to deliberately false report</a:t>
          </a:r>
        </a:p>
        <a:p>
          <a:r>
            <a:rPr lang="en-US" sz="1100">
              <a:solidFill>
                <a:schemeClr val="dk1"/>
              </a:solidFill>
              <a:effectLst/>
              <a:latin typeface="+mn-lt"/>
              <a:ea typeface="+mn-ea"/>
              <a:cs typeface="+mn-cs"/>
            </a:rPr>
            <a:t>1.2 Unsubstantiated; there was a misunderstanding</a:t>
          </a:r>
        </a:p>
        <a:p>
          <a:r>
            <a:rPr lang="en-US" sz="1100">
              <a:solidFill>
                <a:schemeClr val="dk1"/>
              </a:solidFill>
              <a:effectLst/>
              <a:latin typeface="+mn-lt"/>
              <a:ea typeface="+mn-ea"/>
              <a:cs typeface="+mn-cs"/>
            </a:rPr>
            <a:t>2.1 Substantiated; Rights Violation</a:t>
          </a:r>
        </a:p>
        <a:p>
          <a:r>
            <a:rPr lang="en-US" sz="1100">
              <a:solidFill>
                <a:schemeClr val="dk1"/>
              </a:solidFill>
              <a:effectLst/>
              <a:latin typeface="+mn-lt"/>
              <a:ea typeface="+mn-ea"/>
              <a:cs typeface="+mn-cs"/>
            </a:rPr>
            <a:t>2.2 Substantiated; Policy Violation</a:t>
          </a:r>
        </a:p>
        <a:p>
          <a:r>
            <a:rPr lang="en-US" sz="1100">
              <a:solidFill>
                <a:schemeClr val="dk1"/>
              </a:solidFill>
              <a:effectLst/>
              <a:latin typeface="+mn-lt"/>
              <a:ea typeface="+mn-ea"/>
              <a:cs typeface="+mn-cs"/>
            </a:rPr>
            <a:t>2.3 Substantiated; Anti-Therapeutic/ Unprofessional </a:t>
          </a:r>
        </a:p>
        <a:p>
          <a:r>
            <a:rPr lang="en-US" sz="1100">
              <a:solidFill>
                <a:schemeClr val="dk1"/>
              </a:solidFill>
              <a:effectLst/>
              <a:latin typeface="+mn-lt"/>
              <a:ea typeface="+mn-ea"/>
              <a:cs typeface="+mn-cs"/>
            </a:rPr>
            <a:t>2.4 Miscellaneous; Other</a:t>
          </a:r>
        </a:p>
        <a:p>
          <a:r>
            <a:rPr lang="en-US" sz="1100">
              <a:solidFill>
                <a:schemeClr val="dk1"/>
              </a:solidFill>
              <a:effectLst/>
              <a:latin typeface="+mn-lt"/>
              <a:ea typeface="+mn-ea"/>
              <a:cs typeface="+mn-cs"/>
            </a:rPr>
            <a:t>3 Inconclusive</a:t>
          </a:r>
        </a:p>
        <a:p>
          <a:r>
            <a:rPr lang="en-US" sz="1100">
              <a:solidFill>
                <a:schemeClr val="dk1"/>
              </a:solidFill>
              <a:effectLst/>
              <a:latin typeface="+mn-lt"/>
              <a:ea typeface="+mn-ea"/>
              <a:cs typeface="+mn-cs"/>
            </a:rPr>
            <a:t>4 Pending</a:t>
          </a:r>
        </a:p>
        <a:p>
          <a:r>
            <a:rPr lang="en-US" sz="1100">
              <a:solidFill>
                <a:schemeClr val="dk1"/>
              </a:solidFill>
              <a:effectLst/>
              <a:latin typeface="+mn-lt"/>
              <a:ea typeface="+mn-ea"/>
              <a:cs typeface="+mn-cs"/>
            </a:rPr>
            <a:t>5 This was a complaint based on lack of evidence or perception; No findings were determined.</a:t>
          </a:r>
        </a:p>
        <a:p>
          <a:endParaRPr lang="en-US" sz="1100"/>
        </a:p>
        <a:p>
          <a:endParaRPr lang="en-US" sz="1100"/>
        </a:p>
        <a:p>
          <a:pPr marL="0" marR="0" indent="0" defTabSz="914400" eaLnBrk="1" fontAlgn="auto" latinLnBrk="0" hangingPunct="1">
            <a:lnSpc>
              <a:spcPct val="100000"/>
            </a:lnSpc>
            <a:spcBef>
              <a:spcPts val="0"/>
            </a:spcBef>
            <a:spcAft>
              <a:spcPts val="0"/>
            </a:spcAft>
            <a:buClrTx/>
            <a:buSzTx/>
            <a:buFontTx/>
            <a:buNone/>
            <a:tabLst/>
            <a:defRPr/>
          </a:pPr>
          <a:r>
            <a:rPr lang="en-US" sz="1100"/>
            <a:t>Formula: Countifs(unit</a:t>
          </a:r>
          <a:r>
            <a:rPr lang="en-US" sz="1100">
              <a:solidFill>
                <a:schemeClr val="dk1"/>
              </a:solidFill>
              <a:effectLst/>
              <a:latin typeface="+mn-lt"/>
              <a:ea typeface="+mn-ea"/>
              <a:cs typeface="+mn-cs"/>
            </a:rPr>
            <a:t>, finding, month)</a:t>
          </a:r>
          <a:r>
            <a:rPr lang="en-US" sz="1100" b="0" i="0" u="none" strike="noStrike" baseline="0">
              <a:solidFill>
                <a:schemeClr val="dk1"/>
              </a:solidFill>
              <a:effectLst/>
              <a:latin typeface="+mn-lt"/>
              <a:ea typeface="+mn-ea"/>
              <a:cs typeface="+mn-cs"/>
            </a:rPr>
            <a:t> / </a:t>
          </a:r>
          <a:r>
            <a:rPr lang="en-US"/>
            <a:t>M:M, W:W:, AJ:AJ</a:t>
          </a:r>
          <a:endParaRPr lang="en-US">
            <a:effectLst/>
          </a:endParaRPr>
        </a:p>
        <a:p>
          <a:endParaRPr lang="en-US" sz="1100"/>
        </a:p>
      </xdr:txBody>
    </xdr:sp>
    <xdr:clientData/>
  </xdr:twoCellAnchor>
  <xdr:twoCellAnchor>
    <xdr:from>
      <xdr:col>15</xdr:col>
      <xdr:colOff>0</xdr:colOff>
      <xdr:row>15</xdr:row>
      <xdr:rowOff>171451</xdr:rowOff>
    </xdr:from>
    <xdr:to>
      <xdr:col>24</xdr:col>
      <xdr:colOff>28575</xdr:colOff>
      <xdr:row>28</xdr:row>
      <xdr:rowOff>180976</xdr:rowOff>
    </xdr:to>
    <xdr:graphicFrame macro="">
      <xdr:nvGraphicFramePr>
        <xdr:cNvPr id="4" name="Chart 3">
          <a:extLst>
            <a:ext uri="{FF2B5EF4-FFF2-40B4-BE49-F238E27FC236}">
              <a16:creationId xmlns:a16="http://schemas.microsoft.com/office/drawing/2014/main" id="{00000000-0008-0000-0C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9525</xdr:colOff>
      <xdr:row>29</xdr:row>
      <xdr:rowOff>178594</xdr:rowOff>
    </xdr:from>
    <xdr:to>
      <xdr:col>24</xdr:col>
      <xdr:colOff>9525</xdr:colOff>
      <xdr:row>43</xdr:row>
      <xdr:rowOff>0</xdr:rowOff>
    </xdr:to>
    <xdr:graphicFrame macro="">
      <xdr:nvGraphicFramePr>
        <xdr:cNvPr id="5" name="Chart 4">
          <a:extLst>
            <a:ext uri="{FF2B5EF4-FFF2-40B4-BE49-F238E27FC236}">
              <a16:creationId xmlns:a16="http://schemas.microsoft.com/office/drawing/2014/main" id="{00000000-0008-0000-0C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9525</xdr:colOff>
      <xdr:row>44</xdr:row>
      <xdr:rowOff>0</xdr:rowOff>
    </xdr:from>
    <xdr:to>
      <xdr:col>24</xdr:col>
      <xdr:colOff>9525</xdr:colOff>
      <xdr:row>57</xdr:row>
      <xdr:rowOff>9525</xdr:rowOff>
    </xdr:to>
    <xdr:graphicFrame macro="">
      <xdr:nvGraphicFramePr>
        <xdr:cNvPr id="6" name="Chart 5">
          <a:extLst>
            <a:ext uri="{FF2B5EF4-FFF2-40B4-BE49-F238E27FC236}">
              <a16:creationId xmlns:a16="http://schemas.microsoft.com/office/drawing/2014/main" id="{00000000-0008-0000-0C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0</xdr:colOff>
      <xdr:row>58</xdr:row>
      <xdr:rowOff>9526</xdr:rowOff>
    </xdr:from>
    <xdr:to>
      <xdr:col>24</xdr:col>
      <xdr:colOff>9525</xdr:colOff>
      <xdr:row>70</xdr:row>
      <xdr:rowOff>180976</xdr:rowOff>
    </xdr:to>
    <xdr:graphicFrame macro="">
      <xdr:nvGraphicFramePr>
        <xdr:cNvPr id="7" name="Chart 6">
          <a:extLst>
            <a:ext uri="{FF2B5EF4-FFF2-40B4-BE49-F238E27FC236}">
              <a16:creationId xmlns:a16="http://schemas.microsoft.com/office/drawing/2014/main" id="{00000000-0008-0000-0C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600074</xdr:colOff>
      <xdr:row>72</xdr:row>
      <xdr:rowOff>4762</xdr:rowOff>
    </xdr:from>
    <xdr:to>
      <xdr:col>23</xdr:col>
      <xdr:colOff>609599</xdr:colOff>
      <xdr:row>85</xdr:row>
      <xdr:rowOff>0</xdr:rowOff>
    </xdr:to>
    <xdr:graphicFrame macro="">
      <xdr:nvGraphicFramePr>
        <xdr:cNvPr id="8" name="Chart 7">
          <a:extLst>
            <a:ext uri="{FF2B5EF4-FFF2-40B4-BE49-F238E27FC236}">
              <a16:creationId xmlns:a16="http://schemas.microsoft.com/office/drawing/2014/main" id="{00000000-0008-0000-0C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609599</xdr:colOff>
      <xdr:row>86</xdr:row>
      <xdr:rowOff>4762</xdr:rowOff>
    </xdr:from>
    <xdr:to>
      <xdr:col>23</xdr:col>
      <xdr:colOff>600074</xdr:colOff>
      <xdr:row>99</xdr:row>
      <xdr:rowOff>9525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9525</xdr:colOff>
      <xdr:row>100</xdr:row>
      <xdr:rowOff>14287</xdr:rowOff>
    </xdr:from>
    <xdr:to>
      <xdr:col>23</xdr:col>
      <xdr:colOff>600075</xdr:colOff>
      <xdr:row>113</xdr:row>
      <xdr:rowOff>0</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600074</xdr:colOff>
      <xdr:row>114</xdr:row>
      <xdr:rowOff>9526</xdr:rowOff>
    </xdr:from>
    <xdr:to>
      <xdr:col>24</xdr:col>
      <xdr:colOff>19049</xdr:colOff>
      <xdr:row>127</xdr:row>
      <xdr:rowOff>9526</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25</xdr:col>
      <xdr:colOff>19050</xdr:colOff>
      <xdr:row>2</xdr:row>
      <xdr:rowOff>9525</xdr:rowOff>
    </xdr:from>
    <xdr:to>
      <xdr:col>32</xdr:col>
      <xdr:colOff>28575</xdr:colOff>
      <xdr:row>15</xdr:row>
      <xdr:rowOff>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295275</xdr:colOff>
      <xdr:row>16</xdr:row>
      <xdr:rowOff>19050</xdr:rowOff>
    </xdr:from>
    <xdr:to>
      <xdr:col>32</xdr:col>
      <xdr:colOff>9525</xdr:colOff>
      <xdr:row>28</xdr:row>
      <xdr:rowOff>152400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9524</xdr:colOff>
      <xdr:row>30</xdr:row>
      <xdr:rowOff>14287</xdr:rowOff>
    </xdr:from>
    <xdr:to>
      <xdr:col>32</xdr:col>
      <xdr:colOff>0</xdr:colOff>
      <xdr:row>43</xdr:row>
      <xdr:rowOff>9525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9526</xdr:colOff>
      <xdr:row>44</xdr:row>
      <xdr:rowOff>14287</xdr:rowOff>
    </xdr:from>
    <xdr:to>
      <xdr:col>32</xdr:col>
      <xdr:colOff>9525</xdr:colOff>
      <xdr:row>56</xdr:row>
      <xdr:rowOff>180975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25</xdr:col>
      <xdr:colOff>9525</xdr:colOff>
      <xdr:row>58</xdr:row>
      <xdr:rowOff>14287</xdr:rowOff>
    </xdr:from>
    <xdr:to>
      <xdr:col>32</xdr:col>
      <xdr:colOff>0</xdr:colOff>
      <xdr:row>71</xdr:row>
      <xdr:rowOff>19050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25</xdr:col>
      <xdr:colOff>28574</xdr:colOff>
      <xdr:row>71</xdr:row>
      <xdr:rowOff>185737</xdr:rowOff>
    </xdr:from>
    <xdr:to>
      <xdr:col>31</xdr:col>
      <xdr:colOff>857249</xdr:colOff>
      <xdr:row>84</xdr:row>
      <xdr:rowOff>161925</xdr:rowOff>
    </xdr:to>
    <xdr:graphicFrame macro="">
      <xdr:nvGraphicFramePr>
        <xdr:cNvPr id="17" name="Chart 16">
          <a:extLst>
            <a:ext uri="{FF2B5EF4-FFF2-40B4-BE49-F238E27FC236}">
              <a16:creationId xmlns:a16="http://schemas.microsoft.com/office/drawing/2014/main" id="{00000000-0008-0000-0C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25</xdr:col>
      <xdr:colOff>0</xdr:colOff>
      <xdr:row>86</xdr:row>
      <xdr:rowOff>14287</xdr:rowOff>
    </xdr:from>
    <xdr:to>
      <xdr:col>32</xdr:col>
      <xdr:colOff>0</xdr:colOff>
      <xdr:row>99</xdr:row>
      <xdr:rowOff>9525</xdr:rowOff>
    </xdr:to>
    <xdr:graphicFrame macro="">
      <xdr:nvGraphicFramePr>
        <xdr:cNvPr id="18" name="Chart 17">
          <a:extLst>
            <a:ext uri="{FF2B5EF4-FFF2-40B4-BE49-F238E27FC236}">
              <a16:creationId xmlns:a16="http://schemas.microsoft.com/office/drawing/2014/main" id="{00000000-0008-0000-0C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24</xdr:col>
      <xdr:colOff>409575</xdr:colOff>
      <xdr:row>99</xdr:row>
      <xdr:rowOff>180975</xdr:rowOff>
    </xdr:from>
    <xdr:to>
      <xdr:col>32</xdr:col>
      <xdr:colOff>19050</xdr:colOff>
      <xdr:row>113</xdr:row>
      <xdr:rowOff>1</xdr:rowOff>
    </xdr:to>
    <xdr:graphicFrame macro="">
      <xdr:nvGraphicFramePr>
        <xdr:cNvPr id="19" name="Chart 18">
          <a:extLst>
            <a:ext uri="{FF2B5EF4-FFF2-40B4-BE49-F238E27FC236}">
              <a16:creationId xmlns:a16="http://schemas.microsoft.com/office/drawing/2014/main" id="{00000000-0008-0000-0C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25</xdr:col>
      <xdr:colOff>9525</xdr:colOff>
      <xdr:row>114</xdr:row>
      <xdr:rowOff>23812</xdr:rowOff>
    </xdr:from>
    <xdr:to>
      <xdr:col>32</xdr:col>
      <xdr:colOff>9525</xdr:colOff>
      <xdr:row>126</xdr:row>
      <xdr:rowOff>180975</xdr:rowOff>
    </xdr:to>
    <xdr:graphicFrame macro="">
      <xdr:nvGraphicFramePr>
        <xdr:cNvPr id="20" name="Chart 19">
          <a:extLst>
            <a:ext uri="{FF2B5EF4-FFF2-40B4-BE49-F238E27FC236}">
              <a16:creationId xmlns:a16="http://schemas.microsoft.com/office/drawing/2014/main" id="{00000000-0008-0000-0C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33</xdr:col>
      <xdr:colOff>19050</xdr:colOff>
      <xdr:row>2</xdr:row>
      <xdr:rowOff>14287</xdr:rowOff>
    </xdr:from>
    <xdr:to>
      <xdr:col>37</xdr:col>
      <xdr:colOff>9525</xdr:colOff>
      <xdr:row>15</xdr:row>
      <xdr:rowOff>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37</xdr:col>
      <xdr:colOff>390525</xdr:colOff>
      <xdr:row>2</xdr:row>
      <xdr:rowOff>4763</xdr:rowOff>
    </xdr:from>
    <xdr:to>
      <xdr:col>44</xdr:col>
      <xdr:colOff>581025</xdr:colOff>
      <xdr:row>14</xdr:row>
      <xdr:rowOff>171451</xdr:rowOff>
    </xdr:to>
    <xdr:graphicFrame macro="">
      <xdr:nvGraphicFramePr>
        <xdr:cNvPr id="22" name="Chart 21">
          <a:extLst>
            <a:ext uri="{FF2B5EF4-FFF2-40B4-BE49-F238E27FC236}">
              <a16:creationId xmlns:a16="http://schemas.microsoft.com/office/drawing/2014/main" id="{00000000-0008-0000-0C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15</xdr:col>
      <xdr:colOff>9525</xdr:colOff>
      <xdr:row>2</xdr:row>
      <xdr:rowOff>4763</xdr:rowOff>
    </xdr:from>
    <xdr:to>
      <xdr:col>23</xdr:col>
      <xdr:colOff>600075</xdr:colOff>
      <xdr:row>14</xdr:row>
      <xdr:rowOff>171451</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32</xdr:col>
      <xdr:colOff>361950</xdr:colOff>
      <xdr:row>16</xdr:row>
      <xdr:rowOff>19051</xdr:rowOff>
    </xdr:from>
    <xdr:to>
      <xdr:col>36</xdr:col>
      <xdr:colOff>581025</xdr:colOff>
      <xdr:row>28</xdr:row>
      <xdr:rowOff>161926</xdr:rowOff>
    </xdr:to>
    <xdr:graphicFrame macro="">
      <xdr:nvGraphicFramePr>
        <xdr:cNvPr id="23" name="Chart 22">
          <a:extLst>
            <a:ext uri="{FF2B5EF4-FFF2-40B4-BE49-F238E27FC236}">
              <a16:creationId xmlns:a16="http://schemas.microsoft.com/office/drawing/2014/main" id="{00000000-0008-0000-0C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33</xdr:col>
      <xdr:colOff>19050</xdr:colOff>
      <xdr:row>30</xdr:row>
      <xdr:rowOff>33337</xdr:rowOff>
    </xdr:from>
    <xdr:to>
      <xdr:col>36</xdr:col>
      <xdr:colOff>590550</xdr:colOff>
      <xdr:row>42</xdr:row>
      <xdr:rowOff>161925</xdr:rowOff>
    </xdr:to>
    <xdr:graphicFrame macro="">
      <xdr:nvGraphicFramePr>
        <xdr:cNvPr id="24" name="Chart 23">
          <a:extLst>
            <a:ext uri="{FF2B5EF4-FFF2-40B4-BE49-F238E27FC236}">
              <a16:creationId xmlns:a16="http://schemas.microsoft.com/office/drawing/2014/main" id="{00000000-0008-0000-0C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33</xdr:col>
      <xdr:colOff>57151</xdr:colOff>
      <xdr:row>44</xdr:row>
      <xdr:rowOff>9525</xdr:rowOff>
    </xdr:from>
    <xdr:to>
      <xdr:col>36</xdr:col>
      <xdr:colOff>600075</xdr:colOff>
      <xdr:row>57</xdr:row>
      <xdr:rowOff>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33</xdr:col>
      <xdr:colOff>28575</xdr:colOff>
      <xdr:row>58</xdr:row>
      <xdr:rowOff>23812</xdr:rowOff>
    </xdr:from>
    <xdr:to>
      <xdr:col>37</xdr:col>
      <xdr:colOff>9525</xdr:colOff>
      <xdr:row>70</xdr:row>
      <xdr:rowOff>180975</xdr:rowOff>
    </xdr:to>
    <xdr:graphicFrame macro="">
      <xdr:nvGraphicFramePr>
        <xdr:cNvPr id="26" name="Chart 25">
          <a:extLst>
            <a:ext uri="{FF2B5EF4-FFF2-40B4-BE49-F238E27FC236}">
              <a16:creationId xmlns:a16="http://schemas.microsoft.com/office/drawing/2014/main" id="{00000000-0008-0000-0C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33</xdr:col>
      <xdr:colOff>19050</xdr:colOff>
      <xdr:row>72</xdr:row>
      <xdr:rowOff>0</xdr:rowOff>
    </xdr:from>
    <xdr:to>
      <xdr:col>36</xdr:col>
      <xdr:colOff>600075</xdr:colOff>
      <xdr:row>85</xdr:row>
      <xdr:rowOff>9525</xdr:rowOff>
    </xdr:to>
    <xdr:graphicFrame macro="">
      <xdr:nvGraphicFramePr>
        <xdr:cNvPr id="27" name="Chart 26">
          <a:extLst>
            <a:ext uri="{FF2B5EF4-FFF2-40B4-BE49-F238E27FC236}">
              <a16:creationId xmlns:a16="http://schemas.microsoft.com/office/drawing/2014/main" id="{00000000-0008-0000-0C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33</xdr:col>
      <xdr:colOff>28575</xdr:colOff>
      <xdr:row>86</xdr:row>
      <xdr:rowOff>19050</xdr:rowOff>
    </xdr:from>
    <xdr:to>
      <xdr:col>37</xdr:col>
      <xdr:colOff>9525</xdr:colOff>
      <xdr:row>99</xdr:row>
      <xdr:rowOff>9525</xdr:rowOff>
    </xdr:to>
    <xdr:graphicFrame macro="">
      <xdr:nvGraphicFramePr>
        <xdr:cNvPr id="28" name="Chart 27">
          <a:extLst>
            <a:ext uri="{FF2B5EF4-FFF2-40B4-BE49-F238E27FC236}">
              <a16:creationId xmlns:a16="http://schemas.microsoft.com/office/drawing/2014/main" id="{00000000-0008-0000-0C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33</xdr:col>
      <xdr:colOff>19050</xdr:colOff>
      <xdr:row>100</xdr:row>
      <xdr:rowOff>9525</xdr:rowOff>
    </xdr:from>
    <xdr:to>
      <xdr:col>36</xdr:col>
      <xdr:colOff>590550</xdr:colOff>
      <xdr:row>112</xdr:row>
      <xdr:rowOff>180975</xdr:rowOff>
    </xdr:to>
    <xdr:graphicFrame macro="">
      <xdr:nvGraphicFramePr>
        <xdr:cNvPr id="29" name="Chart 28">
          <a:extLst>
            <a:ext uri="{FF2B5EF4-FFF2-40B4-BE49-F238E27FC236}">
              <a16:creationId xmlns:a16="http://schemas.microsoft.com/office/drawing/2014/main" id="{00000000-0008-0000-0C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33</xdr:col>
      <xdr:colOff>28575</xdr:colOff>
      <xdr:row>114</xdr:row>
      <xdr:rowOff>42862</xdr:rowOff>
    </xdr:from>
    <xdr:to>
      <xdr:col>36</xdr:col>
      <xdr:colOff>590550</xdr:colOff>
      <xdr:row>126</xdr:row>
      <xdr:rowOff>161925</xdr:rowOff>
    </xdr:to>
    <xdr:graphicFrame macro="">
      <xdr:nvGraphicFramePr>
        <xdr:cNvPr id="30" name="Chart 29">
          <a:extLst>
            <a:ext uri="{FF2B5EF4-FFF2-40B4-BE49-F238E27FC236}">
              <a16:creationId xmlns:a16="http://schemas.microsoft.com/office/drawing/2014/main" id="{00000000-0008-0000-0C00-00001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37</xdr:col>
      <xdr:colOff>400049</xdr:colOff>
      <xdr:row>16</xdr:row>
      <xdr:rowOff>9524</xdr:rowOff>
    </xdr:from>
    <xdr:to>
      <xdr:col>44</xdr:col>
      <xdr:colOff>590550</xdr:colOff>
      <xdr:row>29</xdr:row>
      <xdr:rowOff>9525</xdr:rowOff>
    </xdr:to>
    <xdr:graphicFrame macro="">
      <xdr:nvGraphicFramePr>
        <xdr:cNvPr id="31" name="Chart 30">
          <a:extLst>
            <a:ext uri="{FF2B5EF4-FFF2-40B4-BE49-F238E27FC236}">
              <a16:creationId xmlns:a16="http://schemas.microsoft.com/office/drawing/2014/main" id="{00000000-0008-0000-0C00-00001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38</xdr:col>
      <xdr:colOff>28575</xdr:colOff>
      <xdr:row>30</xdr:row>
      <xdr:rowOff>28576</xdr:rowOff>
    </xdr:from>
    <xdr:to>
      <xdr:col>44</xdr:col>
      <xdr:colOff>600075</xdr:colOff>
      <xdr:row>42</xdr:row>
      <xdr:rowOff>180976</xdr:rowOff>
    </xdr:to>
    <xdr:graphicFrame macro="">
      <xdr:nvGraphicFramePr>
        <xdr:cNvPr id="32" name="Chart 31">
          <a:extLst>
            <a:ext uri="{FF2B5EF4-FFF2-40B4-BE49-F238E27FC236}">
              <a16:creationId xmlns:a16="http://schemas.microsoft.com/office/drawing/2014/main" id="{00000000-0008-0000-0C00-00002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38</xdr:col>
      <xdr:colOff>47624</xdr:colOff>
      <xdr:row>44</xdr:row>
      <xdr:rowOff>0</xdr:rowOff>
    </xdr:from>
    <xdr:to>
      <xdr:col>44</xdr:col>
      <xdr:colOff>590549</xdr:colOff>
      <xdr:row>56</xdr:row>
      <xdr:rowOff>171450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38</xdr:col>
      <xdr:colOff>47624</xdr:colOff>
      <xdr:row>58</xdr:row>
      <xdr:rowOff>28576</xdr:rowOff>
    </xdr:from>
    <xdr:to>
      <xdr:col>44</xdr:col>
      <xdr:colOff>590549</xdr:colOff>
      <xdr:row>70</xdr:row>
      <xdr:rowOff>171450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38</xdr:col>
      <xdr:colOff>19050</xdr:colOff>
      <xdr:row>72</xdr:row>
      <xdr:rowOff>33337</xdr:rowOff>
    </xdr:from>
    <xdr:to>
      <xdr:col>44</xdr:col>
      <xdr:colOff>581025</xdr:colOff>
      <xdr:row>85</xdr:row>
      <xdr:rowOff>9525</xdr:rowOff>
    </xdr:to>
    <xdr:graphicFrame macro="">
      <xdr:nvGraphicFramePr>
        <xdr:cNvPr id="35" name="Chart 34">
          <a:extLst>
            <a:ext uri="{FF2B5EF4-FFF2-40B4-BE49-F238E27FC236}">
              <a16:creationId xmlns:a16="http://schemas.microsoft.com/office/drawing/2014/main" id="{00000000-0008-0000-0C00-00002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38</xdr:col>
      <xdr:colOff>19050</xdr:colOff>
      <xdr:row>86</xdr:row>
      <xdr:rowOff>23812</xdr:rowOff>
    </xdr:from>
    <xdr:to>
      <xdr:col>44</xdr:col>
      <xdr:colOff>590550</xdr:colOff>
      <xdr:row>98</xdr:row>
      <xdr:rowOff>180975</xdr:rowOff>
    </xdr:to>
    <xdr:graphicFrame macro="">
      <xdr:nvGraphicFramePr>
        <xdr:cNvPr id="36" name="Chart 35">
          <a:extLst>
            <a:ext uri="{FF2B5EF4-FFF2-40B4-BE49-F238E27FC236}">
              <a16:creationId xmlns:a16="http://schemas.microsoft.com/office/drawing/2014/main" id="{00000000-0008-0000-0C00-00002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38</xdr:col>
      <xdr:colOff>38100</xdr:colOff>
      <xdr:row>100</xdr:row>
      <xdr:rowOff>23812</xdr:rowOff>
    </xdr:from>
    <xdr:to>
      <xdr:col>44</xdr:col>
      <xdr:colOff>552450</xdr:colOff>
      <xdr:row>112</xdr:row>
      <xdr:rowOff>180975</xdr:rowOff>
    </xdr:to>
    <xdr:graphicFrame macro="">
      <xdr:nvGraphicFramePr>
        <xdr:cNvPr id="37" name="Chart 36">
          <a:extLst>
            <a:ext uri="{FF2B5EF4-FFF2-40B4-BE49-F238E27FC236}">
              <a16:creationId xmlns:a16="http://schemas.microsoft.com/office/drawing/2014/main" id="{00000000-0008-0000-0C00-00002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38</xdr:col>
      <xdr:colOff>19050</xdr:colOff>
      <xdr:row>114</xdr:row>
      <xdr:rowOff>23812</xdr:rowOff>
    </xdr:from>
    <xdr:to>
      <xdr:col>44</xdr:col>
      <xdr:colOff>581025</xdr:colOff>
      <xdr:row>127</xdr:row>
      <xdr:rowOff>0</xdr:rowOff>
    </xdr:to>
    <xdr:graphicFrame macro="">
      <xdr:nvGraphicFramePr>
        <xdr:cNvPr id="38" name="Chart 37">
          <a:extLst>
            <a:ext uri="{FF2B5EF4-FFF2-40B4-BE49-F238E27FC236}">
              <a16:creationId xmlns:a16="http://schemas.microsoft.com/office/drawing/2014/main" id="{00000000-0008-0000-0C00-00002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7</xdr:col>
      <xdr:colOff>107156</xdr:colOff>
      <xdr:row>156</xdr:row>
      <xdr:rowOff>86916</xdr:rowOff>
    </xdr:from>
    <xdr:to>
      <xdr:col>17</xdr:col>
      <xdr:colOff>416719</xdr:colOff>
      <xdr:row>170</xdr:row>
      <xdr:rowOff>163116</xdr:rowOff>
    </xdr:to>
    <xdr:graphicFrame macro="">
      <xdr:nvGraphicFramePr>
        <xdr:cNvPr id="39" name="Chart 38">
          <a:extLst>
            <a:ext uri="{FF2B5EF4-FFF2-40B4-BE49-F238E27FC236}">
              <a16:creationId xmlns:a16="http://schemas.microsoft.com/office/drawing/2014/main" id="{00000000-0008-0000-0C00-00002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190501</xdr:colOff>
      <xdr:row>18</xdr:row>
      <xdr:rowOff>138112</xdr:rowOff>
    </xdr:from>
    <xdr:to>
      <xdr:col>13</xdr:col>
      <xdr:colOff>76200</xdr:colOff>
      <xdr:row>23</xdr:row>
      <xdr:rowOff>309562</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228599</xdr:colOff>
      <xdr:row>67</xdr:row>
      <xdr:rowOff>185737</xdr:rowOff>
    </xdr:from>
    <xdr:to>
      <xdr:col>14</xdr:col>
      <xdr:colOff>228599</xdr:colOff>
      <xdr:row>80</xdr:row>
      <xdr:rowOff>85725</xdr:rowOff>
    </xdr:to>
    <xdr:graphicFrame macro="">
      <xdr:nvGraphicFramePr>
        <xdr:cNvPr id="5" name="Chart 4">
          <a:extLst>
            <a:ext uri="{FF2B5EF4-FFF2-40B4-BE49-F238E27FC236}">
              <a16:creationId xmlns:a16="http://schemas.microsoft.com/office/drawing/2014/main" id="{00000000-0008-0000-0D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257174</xdr:colOff>
      <xdr:row>85</xdr:row>
      <xdr:rowOff>176212</xdr:rowOff>
    </xdr:from>
    <xdr:to>
      <xdr:col>14</xdr:col>
      <xdr:colOff>66674</xdr:colOff>
      <xdr:row>100</xdr:row>
      <xdr:rowOff>61912</xdr:rowOff>
    </xdr:to>
    <xdr:graphicFrame macro="">
      <xdr:nvGraphicFramePr>
        <xdr:cNvPr id="6" name="Chart 5">
          <a:extLst>
            <a:ext uri="{FF2B5EF4-FFF2-40B4-BE49-F238E27FC236}">
              <a16:creationId xmlns:a16="http://schemas.microsoft.com/office/drawing/2014/main" id="{00000000-0008-0000-0D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219074</xdr:colOff>
      <xdr:row>106</xdr:row>
      <xdr:rowOff>4762</xdr:rowOff>
    </xdr:from>
    <xdr:to>
      <xdr:col>14</xdr:col>
      <xdr:colOff>123824</xdr:colOff>
      <xdr:row>118</xdr:row>
      <xdr:rowOff>123825</xdr:rowOff>
    </xdr:to>
    <xdr:graphicFrame macro="">
      <xdr:nvGraphicFramePr>
        <xdr:cNvPr id="7" name="Chart 6">
          <a:extLst>
            <a:ext uri="{FF2B5EF4-FFF2-40B4-BE49-F238E27FC236}">
              <a16:creationId xmlns:a16="http://schemas.microsoft.com/office/drawing/2014/main" id="{00000000-0008-0000-0D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228599</xdr:colOff>
      <xdr:row>123</xdr:row>
      <xdr:rowOff>185737</xdr:rowOff>
    </xdr:from>
    <xdr:to>
      <xdr:col>14</xdr:col>
      <xdr:colOff>152399</xdr:colOff>
      <xdr:row>138</xdr:row>
      <xdr:rowOff>85725</xdr:rowOff>
    </xdr:to>
    <xdr:graphicFrame macro="">
      <xdr:nvGraphicFramePr>
        <xdr:cNvPr id="8" name="Chart 7">
          <a:extLst>
            <a:ext uri="{FF2B5EF4-FFF2-40B4-BE49-F238E27FC236}">
              <a16:creationId xmlns:a16="http://schemas.microsoft.com/office/drawing/2014/main" id="{00000000-0008-0000-0D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400049</xdr:colOff>
      <xdr:row>145</xdr:row>
      <xdr:rowOff>52387</xdr:rowOff>
    </xdr:from>
    <xdr:to>
      <xdr:col>14</xdr:col>
      <xdr:colOff>171449</xdr:colOff>
      <xdr:row>159</xdr:row>
      <xdr:rowOff>123825</xdr:rowOff>
    </xdr:to>
    <xdr:graphicFrame macro="">
      <xdr:nvGraphicFramePr>
        <xdr:cNvPr id="9" name="Chart 8">
          <a:extLst>
            <a:ext uri="{FF2B5EF4-FFF2-40B4-BE49-F238E27FC236}">
              <a16:creationId xmlns:a16="http://schemas.microsoft.com/office/drawing/2014/main" id="{00000000-0008-0000-0D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257175</xdr:colOff>
      <xdr:row>164</xdr:row>
      <xdr:rowOff>138112</xdr:rowOff>
    </xdr:from>
    <xdr:to>
      <xdr:col>13</xdr:col>
      <xdr:colOff>533400</xdr:colOff>
      <xdr:row>180</xdr:row>
      <xdr:rowOff>76200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247650</xdr:colOff>
      <xdr:row>185</xdr:row>
      <xdr:rowOff>185737</xdr:rowOff>
    </xdr:from>
    <xdr:to>
      <xdr:col>13</xdr:col>
      <xdr:colOff>523875</xdr:colOff>
      <xdr:row>200</xdr:row>
      <xdr:rowOff>71437</xdr:rowOff>
    </xdr:to>
    <xdr:graphicFrame macro="">
      <xdr:nvGraphicFramePr>
        <xdr:cNvPr id="12" name="Chart 11">
          <a:extLst>
            <a:ext uri="{FF2B5EF4-FFF2-40B4-BE49-F238E27FC236}">
              <a16:creationId xmlns:a16="http://schemas.microsoft.com/office/drawing/2014/main" id="{00000000-0008-0000-0D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219074</xdr:colOff>
      <xdr:row>206</xdr:row>
      <xdr:rowOff>42862</xdr:rowOff>
    </xdr:from>
    <xdr:to>
      <xdr:col>13</xdr:col>
      <xdr:colOff>523874</xdr:colOff>
      <xdr:row>220</xdr:row>
      <xdr:rowOff>119062</xdr:rowOff>
    </xdr:to>
    <xdr:graphicFrame macro="">
      <xdr:nvGraphicFramePr>
        <xdr:cNvPr id="13" name="Chart 12">
          <a:extLst>
            <a:ext uri="{FF2B5EF4-FFF2-40B4-BE49-F238E27FC236}">
              <a16:creationId xmlns:a16="http://schemas.microsoft.com/office/drawing/2014/main" id="{00000000-0008-0000-0D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180974</xdr:colOff>
      <xdr:row>34</xdr:row>
      <xdr:rowOff>319086</xdr:rowOff>
    </xdr:from>
    <xdr:to>
      <xdr:col>16</xdr:col>
      <xdr:colOff>104775</xdr:colOff>
      <xdr:row>54</xdr:row>
      <xdr:rowOff>76199</xdr:rowOff>
    </xdr:to>
    <xdr:graphicFrame macro="">
      <xdr:nvGraphicFramePr>
        <xdr:cNvPr id="14" name="Chart 13">
          <a:extLst>
            <a:ext uri="{FF2B5EF4-FFF2-40B4-BE49-F238E27FC236}">
              <a16:creationId xmlns:a16="http://schemas.microsoft.com/office/drawing/2014/main" id="{00000000-0008-0000-0D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312882</xdr:colOff>
      <xdr:row>1</xdr:row>
      <xdr:rowOff>81397</xdr:rowOff>
    </xdr:from>
    <xdr:to>
      <xdr:col>10</xdr:col>
      <xdr:colOff>274782</xdr:colOff>
      <xdr:row>15</xdr:row>
      <xdr:rowOff>106796</xdr:rowOff>
    </xdr:to>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3560041" y="263238"/>
          <a:ext cx="3598718" cy="2571172"/>
        </a:xfrm>
        <a:prstGeom prst="rect">
          <a:avLst/>
        </a:prstGeom>
        <a:solidFill>
          <a:schemeClr val="l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For future programming:</a:t>
          </a:r>
        </a:p>
        <a:p>
          <a:endParaRPr lang="en-US" sz="1100"/>
        </a:p>
        <a:p>
          <a:r>
            <a:rPr lang="en-US" sz="1100">
              <a:solidFill>
                <a:schemeClr val="dk1"/>
              </a:solidFill>
              <a:effectLst/>
              <a:latin typeface="+mn-lt"/>
              <a:ea typeface="+mn-ea"/>
              <a:cs typeface="+mn-cs"/>
            </a:rPr>
            <a:t>1.1 Unsubstantiated due to deliberately false report</a:t>
          </a:r>
        </a:p>
        <a:p>
          <a:r>
            <a:rPr lang="en-US" sz="1100">
              <a:solidFill>
                <a:schemeClr val="dk1"/>
              </a:solidFill>
              <a:effectLst/>
              <a:latin typeface="+mn-lt"/>
              <a:ea typeface="+mn-ea"/>
              <a:cs typeface="+mn-cs"/>
            </a:rPr>
            <a:t>1.2 Unsubstantiated; there was a misunderstanding</a:t>
          </a:r>
        </a:p>
        <a:p>
          <a:r>
            <a:rPr lang="en-US" sz="1100">
              <a:solidFill>
                <a:schemeClr val="dk1"/>
              </a:solidFill>
              <a:effectLst/>
              <a:latin typeface="+mn-lt"/>
              <a:ea typeface="+mn-ea"/>
              <a:cs typeface="+mn-cs"/>
            </a:rPr>
            <a:t>2.1 Substantiated; Rights Violation</a:t>
          </a:r>
        </a:p>
        <a:p>
          <a:r>
            <a:rPr lang="en-US" sz="1100">
              <a:solidFill>
                <a:schemeClr val="dk1"/>
              </a:solidFill>
              <a:effectLst/>
              <a:latin typeface="+mn-lt"/>
              <a:ea typeface="+mn-ea"/>
              <a:cs typeface="+mn-cs"/>
            </a:rPr>
            <a:t>2.2 Substantiated; Policy Violation</a:t>
          </a:r>
        </a:p>
        <a:p>
          <a:r>
            <a:rPr lang="en-US" sz="1100">
              <a:solidFill>
                <a:schemeClr val="dk1"/>
              </a:solidFill>
              <a:effectLst/>
              <a:latin typeface="+mn-lt"/>
              <a:ea typeface="+mn-ea"/>
              <a:cs typeface="+mn-cs"/>
            </a:rPr>
            <a:t>2.3 Substantiated; Anti-Therapeutic/ Unprofessional </a:t>
          </a:r>
        </a:p>
        <a:p>
          <a:r>
            <a:rPr lang="en-US" sz="1100">
              <a:solidFill>
                <a:schemeClr val="dk1"/>
              </a:solidFill>
              <a:effectLst/>
              <a:latin typeface="+mn-lt"/>
              <a:ea typeface="+mn-ea"/>
              <a:cs typeface="+mn-cs"/>
            </a:rPr>
            <a:t>2.4 Miscellaneous; Other</a:t>
          </a:r>
        </a:p>
        <a:p>
          <a:r>
            <a:rPr lang="en-US" sz="1100">
              <a:solidFill>
                <a:schemeClr val="dk1"/>
              </a:solidFill>
              <a:effectLst/>
              <a:latin typeface="+mn-lt"/>
              <a:ea typeface="+mn-ea"/>
              <a:cs typeface="+mn-cs"/>
            </a:rPr>
            <a:t>3 Inconclusive</a:t>
          </a:r>
        </a:p>
        <a:p>
          <a:r>
            <a:rPr lang="en-US" sz="1100">
              <a:solidFill>
                <a:schemeClr val="dk1"/>
              </a:solidFill>
              <a:effectLst/>
              <a:latin typeface="+mn-lt"/>
              <a:ea typeface="+mn-ea"/>
              <a:cs typeface="+mn-cs"/>
            </a:rPr>
            <a:t>4 Pending</a:t>
          </a:r>
        </a:p>
        <a:p>
          <a:r>
            <a:rPr lang="en-US" sz="1100">
              <a:solidFill>
                <a:schemeClr val="dk1"/>
              </a:solidFill>
              <a:effectLst/>
              <a:latin typeface="+mn-lt"/>
              <a:ea typeface="+mn-ea"/>
              <a:cs typeface="+mn-cs"/>
            </a:rPr>
            <a:t>5 This was a complaint based on lack of evidence or perception; No findings were determined.</a:t>
          </a:r>
        </a:p>
        <a:p>
          <a:endParaRPr lang="en-US" sz="1100"/>
        </a:p>
        <a:p>
          <a:endParaRPr lang="en-US" sz="1100"/>
        </a:p>
        <a:p>
          <a:r>
            <a:rPr lang="en-US" sz="1100"/>
            <a:t>Formula: Countifs(unit, date range cells, finding)</a:t>
          </a:r>
        </a:p>
        <a:p>
          <a:endParaRPr lang="en-US" sz="1100"/>
        </a:p>
      </xdr:txBody>
    </xdr:sp>
    <xdr:clientData/>
  </xdr:twoCellAnchor>
  <xdr:twoCellAnchor>
    <xdr:from>
      <xdr:col>2</xdr:col>
      <xdr:colOff>180975</xdr:colOff>
      <xdr:row>17</xdr:row>
      <xdr:rowOff>171450</xdr:rowOff>
    </xdr:from>
    <xdr:to>
      <xdr:col>9</xdr:col>
      <xdr:colOff>0</xdr:colOff>
      <xdr:row>30</xdr:row>
      <xdr:rowOff>152400</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95250</xdr:colOff>
      <xdr:row>17</xdr:row>
      <xdr:rowOff>180975</xdr:rowOff>
    </xdr:from>
    <xdr:to>
      <xdr:col>14</xdr:col>
      <xdr:colOff>600075</xdr:colOff>
      <xdr:row>30</xdr:row>
      <xdr:rowOff>142875</xdr:rowOff>
    </xdr:to>
    <xdr:graphicFrame macro="">
      <xdr:nvGraphicFramePr>
        <xdr:cNvPr id="4" name="Chart 3">
          <a:extLst>
            <a:ext uri="{FF2B5EF4-FFF2-40B4-BE49-F238E27FC236}">
              <a16:creationId xmlns:a16="http://schemas.microsoft.com/office/drawing/2014/main" id="{00000000-0008-0000-0E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180975</xdr:colOff>
      <xdr:row>18</xdr:row>
      <xdr:rowOff>0</xdr:rowOff>
    </xdr:from>
    <xdr:to>
      <xdr:col>21</xdr:col>
      <xdr:colOff>381000</xdr:colOff>
      <xdr:row>30</xdr:row>
      <xdr:rowOff>114299</xdr:rowOff>
    </xdr:to>
    <xdr:graphicFrame macro="">
      <xdr:nvGraphicFramePr>
        <xdr:cNvPr id="5" name="Chart 4">
          <a:extLst>
            <a:ext uri="{FF2B5EF4-FFF2-40B4-BE49-F238E27FC236}">
              <a16:creationId xmlns:a16="http://schemas.microsoft.com/office/drawing/2014/main" id="{00000000-0008-0000-0E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314325</xdr:colOff>
      <xdr:row>15</xdr:row>
      <xdr:rowOff>133349</xdr:rowOff>
    </xdr:from>
    <xdr:to>
      <xdr:col>15</xdr:col>
      <xdr:colOff>571500</xdr:colOff>
      <xdr:row>31</xdr:row>
      <xdr:rowOff>104774</xdr:rowOff>
    </xdr:to>
    <xdr:graphicFrame macro="">
      <xdr:nvGraphicFramePr>
        <xdr:cNvPr id="4" name="Chart 3">
          <a:extLst>
            <a:ext uri="{FF2B5EF4-FFF2-40B4-BE49-F238E27FC236}">
              <a16:creationId xmlns:a16="http://schemas.microsoft.com/office/drawing/2014/main" id="{00000000-0008-0000-0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85725</xdr:colOff>
      <xdr:row>48</xdr:row>
      <xdr:rowOff>52386</xdr:rowOff>
    </xdr:from>
    <xdr:to>
      <xdr:col>15</xdr:col>
      <xdr:colOff>266700</xdr:colOff>
      <xdr:row>62</xdr:row>
      <xdr:rowOff>133349</xdr:rowOff>
    </xdr:to>
    <xdr:graphicFrame macro="">
      <xdr:nvGraphicFramePr>
        <xdr:cNvPr id="5" name="Chart 4">
          <a:extLst>
            <a:ext uri="{FF2B5EF4-FFF2-40B4-BE49-F238E27FC236}">
              <a16:creationId xmlns:a16="http://schemas.microsoft.com/office/drawing/2014/main" id="{00000000-0008-0000-0F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64</xdr:row>
      <xdr:rowOff>95250</xdr:rowOff>
    </xdr:from>
    <xdr:to>
      <xdr:col>5</xdr:col>
      <xdr:colOff>342900</xdr:colOff>
      <xdr:row>78</xdr:row>
      <xdr:rowOff>171450</xdr:rowOff>
    </xdr:to>
    <xdr:graphicFrame macro="">
      <xdr:nvGraphicFramePr>
        <xdr:cNvPr id="6" name="Chart 5">
          <a:extLst>
            <a:ext uri="{FF2B5EF4-FFF2-40B4-BE49-F238E27FC236}">
              <a16:creationId xmlns:a16="http://schemas.microsoft.com/office/drawing/2014/main" id="{00000000-0008-0000-0F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38100</xdr:colOff>
      <xdr:row>94</xdr:row>
      <xdr:rowOff>171450</xdr:rowOff>
    </xdr:from>
    <xdr:to>
      <xdr:col>5</xdr:col>
      <xdr:colOff>311604</xdr:colOff>
      <xdr:row>109</xdr:row>
      <xdr:rowOff>57150</xdr:rowOff>
    </xdr:to>
    <xdr:graphicFrame macro="">
      <xdr:nvGraphicFramePr>
        <xdr:cNvPr id="7" name="Chart 6">
          <a:extLst>
            <a:ext uri="{FF2B5EF4-FFF2-40B4-BE49-F238E27FC236}">
              <a16:creationId xmlns:a16="http://schemas.microsoft.com/office/drawing/2014/main" id="{00000000-0008-0000-0F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66675</xdr:colOff>
      <xdr:row>79</xdr:row>
      <xdr:rowOff>114299</xdr:rowOff>
    </xdr:from>
    <xdr:to>
      <xdr:col>5</xdr:col>
      <xdr:colOff>323850</xdr:colOff>
      <xdr:row>93</xdr:row>
      <xdr:rowOff>180974</xdr:rowOff>
    </xdr:to>
    <xdr:graphicFrame macro="">
      <xdr:nvGraphicFramePr>
        <xdr:cNvPr id="8" name="Chart 7">
          <a:extLst>
            <a:ext uri="{FF2B5EF4-FFF2-40B4-BE49-F238E27FC236}">
              <a16:creationId xmlns:a16="http://schemas.microsoft.com/office/drawing/2014/main" id="{00000000-0008-0000-0F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514350</xdr:colOff>
      <xdr:row>64</xdr:row>
      <xdr:rowOff>71437</xdr:rowOff>
    </xdr:from>
    <xdr:to>
      <xdr:col>13</xdr:col>
      <xdr:colOff>552450</xdr:colOff>
      <xdr:row>78</xdr:row>
      <xdr:rowOff>147637</xdr:rowOff>
    </xdr:to>
    <xdr:graphicFrame macro="">
      <xdr:nvGraphicFramePr>
        <xdr:cNvPr id="9" name="Chart 8">
          <a:extLst>
            <a:ext uri="{FF2B5EF4-FFF2-40B4-BE49-F238E27FC236}">
              <a16:creationId xmlns:a16="http://schemas.microsoft.com/office/drawing/2014/main" id="{00000000-0008-0000-0F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504825</xdr:colOff>
      <xdr:row>79</xdr:row>
      <xdr:rowOff>80962</xdr:rowOff>
    </xdr:from>
    <xdr:to>
      <xdr:col>14</xdr:col>
      <xdr:colOff>1</xdr:colOff>
      <xdr:row>93</xdr:row>
      <xdr:rowOff>157162</xdr:rowOff>
    </xdr:to>
    <xdr:graphicFrame macro="">
      <xdr:nvGraphicFramePr>
        <xdr:cNvPr id="10" name="Chart 9">
          <a:extLst>
            <a:ext uri="{FF2B5EF4-FFF2-40B4-BE49-F238E27FC236}">
              <a16:creationId xmlns:a16="http://schemas.microsoft.com/office/drawing/2014/main" id="{00000000-0008-0000-0F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504825</xdr:colOff>
      <xdr:row>95</xdr:row>
      <xdr:rowOff>14287</xdr:rowOff>
    </xdr:from>
    <xdr:to>
      <xdr:col>14</xdr:col>
      <xdr:colOff>0</xdr:colOff>
      <xdr:row>109</xdr:row>
      <xdr:rowOff>85725</xdr:rowOff>
    </xdr:to>
    <xdr:graphicFrame macro="">
      <xdr:nvGraphicFramePr>
        <xdr:cNvPr id="11" name="Chart 10">
          <a:extLst>
            <a:ext uri="{FF2B5EF4-FFF2-40B4-BE49-F238E27FC236}">
              <a16:creationId xmlns:a16="http://schemas.microsoft.com/office/drawing/2014/main" id="{00000000-0008-0000-0F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154304</xdr:colOff>
      <xdr:row>116</xdr:row>
      <xdr:rowOff>94297</xdr:rowOff>
    </xdr:from>
    <xdr:to>
      <xdr:col>12</xdr:col>
      <xdr:colOff>278129</xdr:colOff>
      <xdr:row>131</xdr:row>
      <xdr:rowOff>102870</xdr:rowOff>
    </xdr:to>
    <xdr:graphicFrame macro="">
      <xdr:nvGraphicFramePr>
        <xdr:cNvPr id="12" name="Chart 11">
          <a:extLst>
            <a:ext uri="{FF2B5EF4-FFF2-40B4-BE49-F238E27FC236}">
              <a16:creationId xmlns:a16="http://schemas.microsoft.com/office/drawing/2014/main" id="{00000000-0008-0000-0F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133</xdr:row>
      <xdr:rowOff>0</xdr:rowOff>
    </xdr:from>
    <xdr:to>
      <xdr:col>12</xdr:col>
      <xdr:colOff>95250</xdr:colOff>
      <xdr:row>148</xdr:row>
      <xdr:rowOff>14288</xdr:rowOff>
    </xdr:to>
    <xdr:graphicFrame macro="">
      <xdr:nvGraphicFramePr>
        <xdr:cNvPr id="13" name="Chart 12">
          <a:extLst>
            <a:ext uri="{FF2B5EF4-FFF2-40B4-BE49-F238E27FC236}">
              <a16:creationId xmlns:a16="http://schemas.microsoft.com/office/drawing/2014/main" id="{00000000-0008-0000-0F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495300</xdr:colOff>
      <xdr:row>153</xdr:row>
      <xdr:rowOff>23812</xdr:rowOff>
    </xdr:from>
    <xdr:to>
      <xdr:col>11</xdr:col>
      <xdr:colOff>504824</xdr:colOff>
      <xdr:row>167</xdr:row>
      <xdr:rowOff>100012</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69396</xdr:colOff>
      <xdr:row>1</xdr:row>
      <xdr:rowOff>108857</xdr:rowOff>
    </xdr:from>
    <xdr:to>
      <xdr:col>10</xdr:col>
      <xdr:colOff>526596</xdr:colOff>
      <xdr:row>23</xdr:row>
      <xdr:rowOff>181428</xdr:rowOff>
    </xdr:to>
    <xdr:graphicFrame macro="">
      <xdr:nvGraphicFramePr>
        <xdr:cNvPr id="8" name="Chart 7">
          <a:extLst>
            <a:ext uri="{FF2B5EF4-FFF2-40B4-BE49-F238E27FC236}">
              <a16:creationId xmlns:a16="http://schemas.microsoft.com/office/drawing/2014/main" id="{00000000-0008-0000-1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57149</xdr:colOff>
      <xdr:row>17</xdr:row>
      <xdr:rowOff>180975</xdr:rowOff>
    </xdr:from>
    <xdr:to>
      <xdr:col>10</xdr:col>
      <xdr:colOff>600074</xdr:colOff>
      <xdr:row>34</xdr:row>
      <xdr:rowOff>161925</xdr:rowOff>
    </xdr:to>
    <xdr:graphicFrame macro="">
      <xdr:nvGraphicFramePr>
        <xdr:cNvPr id="9" name="Chart 8">
          <a:extLst>
            <a:ext uri="{FF2B5EF4-FFF2-40B4-BE49-F238E27FC236}">
              <a16:creationId xmlns:a16="http://schemas.microsoft.com/office/drawing/2014/main" id="{00000000-0008-0000-1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68036</xdr:colOff>
      <xdr:row>35</xdr:row>
      <xdr:rowOff>13606</xdr:rowOff>
    </xdr:from>
    <xdr:to>
      <xdr:col>5</xdr:col>
      <xdr:colOff>229961</xdr:colOff>
      <xdr:row>46</xdr:row>
      <xdr:rowOff>185058</xdr:rowOff>
    </xdr:to>
    <xdr:graphicFrame macro="">
      <xdr:nvGraphicFramePr>
        <xdr:cNvPr id="10" name="Chart 9">
          <a:extLst>
            <a:ext uri="{FF2B5EF4-FFF2-40B4-BE49-F238E27FC236}">
              <a16:creationId xmlns:a16="http://schemas.microsoft.com/office/drawing/2014/main" id="{00000000-0008-0000-1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308429</xdr:colOff>
      <xdr:row>35</xdr:row>
      <xdr:rowOff>17689</xdr:rowOff>
    </xdr:from>
    <xdr:to>
      <xdr:col>10</xdr:col>
      <xdr:colOff>520245</xdr:colOff>
      <xdr:row>46</xdr:row>
      <xdr:rowOff>179615</xdr:rowOff>
    </xdr:to>
    <xdr:graphicFrame macro="">
      <xdr:nvGraphicFramePr>
        <xdr:cNvPr id="11" name="Chart 10">
          <a:extLst>
            <a:ext uri="{FF2B5EF4-FFF2-40B4-BE49-F238E27FC236}">
              <a16:creationId xmlns:a16="http://schemas.microsoft.com/office/drawing/2014/main" id="{00000000-0008-0000-1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47625</xdr:colOff>
      <xdr:row>1</xdr:row>
      <xdr:rowOff>76200</xdr:rowOff>
    </xdr:from>
    <xdr:to>
      <xdr:col>21</xdr:col>
      <xdr:colOff>590550</xdr:colOff>
      <xdr:row>24</xdr:row>
      <xdr:rowOff>111125</xdr:rowOff>
    </xdr:to>
    <xdr:graphicFrame macro="">
      <xdr:nvGraphicFramePr>
        <xdr:cNvPr id="6" name="Chart 5">
          <a:extLst>
            <a:ext uri="{FF2B5EF4-FFF2-40B4-BE49-F238E27FC236}">
              <a16:creationId xmlns:a16="http://schemas.microsoft.com/office/drawing/2014/main" id="{00000000-0008-0000-1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79375</xdr:colOff>
      <xdr:row>25</xdr:row>
      <xdr:rowOff>0</xdr:rowOff>
    </xdr:from>
    <xdr:to>
      <xdr:col>21</xdr:col>
      <xdr:colOff>565150</xdr:colOff>
      <xdr:row>35</xdr:row>
      <xdr:rowOff>123825</xdr:rowOff>
    </xdr:to>
    <xdr:graphicFrame macro="">
      <xdr:nvGraphicFramePr>
        <xdr:cNvPr id="7" name="Chart 6">
          <a:extLst>
            <a:ext uri="{FF2B5EF4-FFF2-40B4-BE49-F238E27FC236}">
              <a16:creationId xmlns:a16="http://schemas.microsoft.com/office/drawing/2014/main" id="{00000000-0008-0000-1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95249</xdr:colOff>
      <xdr:row>35</xdr:row>
      <xdr:rowOff>184150</xdr:rowOff>
    </xdr:from>
    <xdr:to>
      <xdr:col>21</xdr:col>
      <xdr:colOff>581024</xdr:colOff>
      <xdr:row>46</xdr:row>
      <xdr:rowOff>155575</xdr:rowOff>
    </xdr:to>
    <xdr:graphicFrame macro="">
      <xdr:nvGraphicFramePr>
        <xdr:cNvPr id="12" name="Chart 11">
          <a:extLst>
            <a:ext uri="{FF2B5EF4-FFF2-40B4-BE49-F238E27FC236}">
              <a16:creationId xmlns:a16="http://schemas.microsoft.com/office/drawing/2014/main" id="{00000000-0008-0000-1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33</xdr:col>
      <xdr:colOff>66675</xdr:colOff>
      <xdr:row>1</xdr:row>
      <xdr:rowOff>19050</xdr:rowOff>
    </xdr:from>
    <xdr:to>
      <xdr:col>43</xdr:col>
      <xdr:colOff>590550</xdr:colOff>
      <xdr:row>18</xdr:row>
      <xdr:rowOff>0</xdr:rowOff>
    </xdr:to>
    <xdr:graphicFrame macro="">
      <xdr:nvGraphicFramePr>
        <xdr:cNvPr id="13" name="Chart 12">
          <a:extLst>
            <a:ext uri="{FF2B5EF4-FFF2-40B4-BE49-F238E27FC236}">
              <a16:creationId xmlns:a16="http://schemas.microsoft.com/office/drawing/2014/main" id="{00000000-0008-0000-1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33</xdr:col>
      <xdr:colOff>127793</xdr:colOff>
      <xdr:row>18</xdr:row>
      <xdr:rowOff>38100</xdr:rowOff>
    </xdr:from>
    <xdr:to>
      <xdr:col>43</xdr:col>
      <xdr:colOff>520700</xdr:colOff>
      <xdr:row>32</xdr:row>
      <xdr:rowOff>152399</xdr:rowOff>
    </xdr:to>
    <xdr:graphicFrame macro="">
      <xdr:nvGraphicFramePr>
        <xdr:cNvPr id="14" name="Chart 13">
          <a:extLst>
            <a:ext uri="{FF2B5EF4-FFF2-40B4-BE49-F238E27FC236}">
              <a16:creationId xmlns:a16="http://schemas.microsoft.com/office/drawing/2014/main" id="{00000000-0008-0000-1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33</xdr:col>
      <xdr:colOff>28575</xdr:colOff>
      <xdr:row>32</xdr:row>
      <xdr:rowOff>174625</xdr:rowOff>
    </xdr:from>
    <xdr:to>
      <xdr:col>37</xdr:col>
      <xdr:colOff>533400</xdr:colOff>
      <xdr:row>46</xdr:row>
      <xdr:rowOff>174625</xdr:rowOff>
    </xdr:to>
    <xdr:graphicFrame macro="">
      <xdr:nvGraphicFramePr>
        <xdr:cNvPr id="15" name="Chart 14">
          <a:extLst>
            <a:ext uri="{FF2B5EF4-FFF2-40B4-BE49-F238E27FC236}">
              <a16:creationId xmlns:a16="http://schemas.microsoft.com/office/drawing/2014/main" id="{00000000-0008-0000-10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38</xdr:col>
      <xdr:colOff>73025</xdr:colOff>
      <xdr:row>32</xdr:row>
      <xdr:rowOff>174625</xdr:rowOff>
    </xdr:from>
    <xdr:to>
      <xdr:col>43</xdr:col>
      <xdr:colOff>555625</xdr:colOff>
      <xdr:row>46</xdr:row>
      <xdr:rowOff>177005</xdr:rowOff>
    </xdr:to>
    <xdr:graphicFrame macro="">
      <xdr:nvGraphicFramePr>
        <xdr:cNvPr id="16" name="Chart 15">
          <a:extLst>
            <a:ext uri="{FF2B5EF4-FFF2-40B4-BE49-F238E27FC236}">
              <a16:creationId xmlns:a16="http://schemas.microsoft.com/office/drawing/2014/main" id="{00000000-0008-0000-10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95250</xdr:colOff>
      <xdr:row>1</xdr:row>
      <xdr:rowOff>95249</xdr:rowOff>
    </xdr:from>
    <xdr:to>
      <xdr:col>54</xdr:col>
      <xdr:colOff>552450</xdr:colOff>
      <xdr:row>17</xdr:row>
      <xdr:rowOff>180974</xdr:rowOff>
    </xdr:to>
    <xdr:graphicFrame macro="">
      <xdr:nvGraphicFramePr>
        <xdr:cNvPr id="17" name="Chart 16">
          <a:extLst>
            <a:ext uri="{FF2B5EF4-FFF2-40B4-BE49-F238E27FC236}">
              <a16:creationId xmlns:a16="http://schemas.microsoft.com/office/drawing/2014/main" id="{00000000-0008-0000-10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44</xdr:col>
      <xdr:colOff>120651</xdr:colOff>
      <xdr:row>18</xdr:row>
      <xdr:rowOff>88900</xdr:rowOff>
    </xdr:from>
    <xdr:to>
      <xdr:col>54</xdr:col>
      <xdr:colOff>520700</xdr:colOff>
      <xdr:row>29</xdr:row>
      <xdr:rowOff>47625</xdr:rowOff>
    </xdr:to>
    <xdr:graphicFrame macro="">
      <xdr:nvGraphicFramePr>
        <xdr:cNvPr id="18" name="Chart 17">
          <a:extLst>
            <a:ext uri="{FF2B5EF4-FFF2-40B4-BE49-F238E27FC236}">
              <a16:creationId xmlns:a16="http://schemas.microsoft.com/office/drawing/2014/main" id="{00000000-0008-0000-10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55</xdr:col>
      <xdr:colOff>47624</xdr:colOff>
      <xdr:row>0</xdr:row>
      <xdr:rowOff>190499</xdr:rowOff>
    </xdr:from>
    <xdr:to>
      <xdr:col>65</xdr:col>
      <xdr:colOff>587375</xdr:colOff>
      <xdr:row>17</xdr:row>
      <xdr:rowOff>79375</xdr:rowOff>
    </xdr:to>
    <xdr:graphicFrame macro="">
      <xdr:nvGraphicFramePr>
        <xdr:cNvPr id="19" name="Chart 18">
          <a:extLst>
            <a:ext uri="{FF2B5EF4-FFF2-40B4-BE49-F238E27FC236}">
              <a16:creationId xmlns:a16="http://schemas.microsoft.com/office/drawing/2014/main" id="{00000000-0008-0000-1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55</xdr:col>
      <xdr:colOff>6349</xdr:colOff>
      <xdr:row>17</xdr:row>
      <xdr:rowOff>174624</xdr:rowOff>
    </xdr:from>
    <xdr:to>
      <xdr:col>65</xdr:col>
      <xdr:colOff>638174</xdr:colOff>
      <xdr:row>33</xdr:row>
      <xdr:rowOff>126999</xdr:rowOff>
    </xdr:to>
    <xdr:graphicFrame macro="">
      <xdr:nvGraphicFramePr>
        <xdr:cNvPr id="20" name="Chart 19">
          <a:extLst>
            <a:ext uri="{FF2B5EF4-FFF2-40B4-BE49-F238E27FC236}">
              <a16:creationId xmlns:a16="http://schemas.microsoft.com/office/drawing/2014/main" id="{00000000-0008-0000-10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54</xdr:col>
      <xdr:colOff>641349</xdr:colOff>
      <xdr:row>34</xdr:row>
      <xdr:rowOff>6350</xdr:rowOff>
    </xdr:from>
    <xdr:to>
      <xdr:col>60</xdr:col>
      <xdr:colOff>57150</xdr:colOff>
      <xdr:row>46</xdr:row>
      <xdr:rowOff>134938</xdr:rowOff>
    </xdr:to>
    <xdr:graphicFrame macro="">
      <xdr:nvGraphicFramePr>
        <xdr:cNvPr id="21" name="Chart 20">
          <a:extLst>
            <a:ext uri="{FF2B5EF4-FFF2-40B4-BE49-F238E27FC236}">
              <a16:creationId xmlns:a16="http://schemas.microsoft.com/office/drawing/2014/main" id="{00000000-0008-0000-10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60</xdr:col>
      <xdr:colOff>107951</xdr:colOff>
      <xdr:row>33</xdr:row>
      <xdr:rowOff>174625</xdr:rowOff>
    </xdr:from>
    <xdr:to>
      <xdr:col>65</xdr:col>
      <xdr:colOff>593726</xdr:colOff>
      <xdr:row>46</xdr:row>
      <xdr:rowOff>136525</xdr:rowOff>
    </xdr:to>
    <xdr:graphicFrame macro="">
      <xdr:nvGraphicFramePr>
        <xdr:cNvPr id="22" name="Chart 21">
          <a:extLst>
            <a:ext uri="{FF2B5EF4-FFF2-40B4-BE49-F238E27FC236}">
              <a16:creationId xmlns:a16="http://schemas.microsoft.com/office/drawing/2014/main" id="{00000000-0008-0000-10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22</xdr:col>
      <xdr:colOff>28574</xdr:colOff>
      <xdr:row>2</xdr:row>
      <xdr:rowOff>0</xdr:rowOff>
    </xdr:from>
    <xdr:to>
      <xdr:col>32</xdr:col>
      <xdr:colOff>514349</xdr:colOff>
      <xdr:row>21</xdr:row>
      <xdr:rowOff>0</xdr:rowOff>
    </xdr:to>
    <xdr:graphicFrame macro="">
      <xdr:nvGraphicFramePr>
        <xdr:cNvPr id="23" name="Chart 22">
          <a:extLst>
            <a:ext uri="{FF2B5EF4-FFF2-40B4-BE49-F238E27FC236}">
              <a16:creationId xmlns:a16="http://schemas.microsoft.com/office/drawing/2014/main" id="{00000000-0008-0000-10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44</xdr:col>
      <xdr:colOff>47624</xdr:colOff>
      <xdr:row>29</xdr:row>
      <xdr:rowOff>142875</xdr:rowOff>
    </xdr:from>
    <xdr:to>
      <xdr:col>54</xdr:col>
      <xdr:colOff>571499</xdr:colOff>
      <xdr:row>46</xdr:row>
      <xdr:rowOff>79375</xdr:rowOff>
    </xdr:to>
    <xdr:graphicFrame macro="">
      <xdr:nvGraphicFramePr>
        <xdr:cNvPr id="24" name="Chart 23">
          <a:extLst>
            <a:ext uri="{FF2B5EF4-FFF2-40B4-BE49-F238E27FC236}">
              <a16:creationId xmlns:a16="http://schemas.microsoft.com/office/drawing/2014/main" id="{00000000-0008-0000-10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66</xdr:col>
      <xdr:colOff>47625</xdr:colOff>
      <xdr:row>0</xdr:row>
      <xdr:rowOff>190499</xdr:rowOff>
    </xdr:from>
    <xdr:to>
      <xdr:col>76</xdr:col>
      <xdr:colOff>555625</xdr:colOff>
      <xdr:row>19</xdr:row>
      <xdr:rowOff>142874</xdr:rowOff>
    </xdr:to>
    <xdr:graphicFrame macro="">
      <xdr:nvGraphicFramePr>
        <xdr:cNvPr id="25" name="Chart 24">
          <a:extLst>
            <a:ext uri="{FF2B5EF4-FFF2-40B4-BE49-F238E27FC236}">
              <a16:creationId xmlns:a16="http://schemas.microsoft.com/office/drawing/2014/main" id="{00000000-0008-0000-10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66</xdr:col>
      <xdr:colOff>63499</xdr:colOff>
      <xdr:row>20</xdr:row>
      <xdr:rowOff>0</xdr:rowOff>
    </xdr:from>
    <xdr:to>
      <xdr:col>76</xdr:col>
      <xdr:colOff>603250</xdr:colOff>
      <xdr:row>30</xdr:row>
      <xdr:rowOff>23813</xdr:rowOff>
    </xdr:to>
    <xdr:graphicFrame macro="">
      <xdr:nvGraphicFramePr>
        <xdr:cNvPr id="26" name="Chart 25">
          <a:extLst>
            <a:ext uri="{FF2B5EF4-FFF2-40B4-BE49-F238E27FC236}">
              <a16:creationId xmlns:a16="http://schemas.microsoft.com/office/drawing/2014/main" id="{00000000-0008-0000-10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66</xdr:col>
      <xdr:colOff>31749</xdr:colOff>
      <xdr:row>31</xdr:row>
      <xdr:rowOff>0</xdr:rowOff>
    </xdr:from>
    <xdr:to>
      <xdr:col>76</xdr:col>
      <xdr:colOff>571500</xdr:colOff>
      <xdr:row>46</xdr:row>
      <xdr:rowOff>174625</xdr:rowOff>
    </xdr:to>
    <xdr:graphicFrame macro="">
      <xdr:nvGraphicFramePr>
        <xdr:cNvPr id="27" name="Chart 26">
          <a:extLst>
            <a:ext uri="{FF2B5EF4-FFF2-40B4-BE49-F238E27FC236}">
              <a16:creationId xmlns:a16="http://schemas.microsoft.com/office/drawing/2014/main" id="{00000000-0008-0000-1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63500</xdr:colOff>
      <xdr:row>1</xdr:row>
      <xdr:rowOff>0</xdr:rowOff>
    </xdr:from>
    <xdr:to>
      <xdr:col>87</xdr:col>
      <xdr:colOff>619124</xdr:colOff>
      <xdr:row>18</xdr:row>
      <xdr:rowOff>111125</xdr:rowOff>
    </xdr:to>
    <xdr:graphicFrame macro="">
      <xdr:nvGraphicFramePr>
        <xdr:cNvPr id="28" name="Chart 27">
          <a:extLst>
            <a:ext uri="{FF2B5EF4-FFF2-40B4-BE49-F238E27FC236}">
              <a16:creationId xmlns:a16="http://schemas.microsoft.com/office/drawing/2014/main" id="{00000000-0008-0000-10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238125</xdr:colOff>
      <xdr:row>18</xdr:row>
      <xdr:rowOff>158750</xdr:rowOff>
    </xdr:from>
    <xdr:to>
      <xdr:col>87</xdr:col>
      <xdr:colOff>460375</xdr:colOff>
      <xdr:row>33</xdr:row>
      <xdr:rowOff>158750</xdr:rowOff>
    </xdr:to>
    <xdr:graphicFrame macro="">
      <xdr:nvGraphicFramePr>
        <xdr:cNvPr id="29" name="Chart 28">
          <a:extLst>
            <a:ext uri="{FF2B5EF4-FFF2-40B4-BE49-F238E27FC236}">
              <a16:creationId xmlns:a16="http://schemas.microsoft.com/office/drawing/2014/main" id="{00000000-0008-0000-1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77</xdr:col>
      <xdr:colOff>206374</xdr:colOff>
      <xdr:row>34</xdr:row>
      <xdr:rowOff>47626</xdr:rowOff>
    </xdr:from>
    <xdr:to>
      <xdr:col>82</xdr:col>
      <xdr:colOff>47624</xdr:colOff>
      <xdr:row>46</xdr:row>
      <xdr:rowOff>174626</xdr:rowOff>
    </xdr:to>
    <xdr:graphicFrame macro="">
      <xdr:nvGraphicFramePr>
        <xdr:cNvPr id="30" name="Chart 29">
          <a:extLst>
            <a:ext uri="{FF2B5EF4-FFF2-40B4-BE49-F238E27FC236}">
              <a16:creationId xmlns:a16="http://schemas.microsoft.com/office/drawing/2014/main" id="{00000000-0008-0000-1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81</xdr:col>
      <xdr:colOff>460376</xdr:colOff>
      <xdr:row>34</xdr:row>
      <xdr:rowOff>0</xdr:rowOff>
    </xdr:from>
    <xdr:to>
      <xdr:col>87</xdr:col>
      <xdr:colOff>471488</xdr:colOff>
      <xdr:row>46</xdr:row>
      <xdr:rowOff>171450</xdr:rowOff>
    </xdr:to>
    <xdr:graphicFrame macro="">
      <xdr:nvGraphicFramePr>
        <xdr:cNvPr id="31" name="Chart 30">
          <a:extLst>
            <a:ext uri="{FF2B5EF4-FFF2-40B4-BE49-F238E27FC236}">
              <a16:creationId xmlns:a16="http://schemas.microsoft.com/office/drawing/2014/main" id="{00000000-0008-0000-10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88</xdr:col>
      <xdr:colOff>63500</xdr:colOff>
      <xdr:row>1</xdr:row>
      <xdr:rowOff>0</xdr:rowOff>
    </xdr:from>
    <xdr:to>
      <xdr:col>98</xdr:col>
      <xdr:colOff>523875</xdr:colOff>
      <xdr:row>20</xdr:row>
      <xdr:rowOff>0</xdr:rowOff>
    </xdr:to>
    <xdr:graphicFrame macro="">
      <xdr:nvGraphicFramePr>
        <xdr:cNvPr id="32" name="Chart 31">
          <a:extLst>
            <a:ext uri="{FF2B5EF4-FFF2-40B4-BE49-F238E27FC236}">
              <a16:creationId xmlns:a16="http://schemas.microsoft.com/office/drawing/2014/main" id="{00000000-0008-0000-10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88</xdr:col>
      <xdr:colOff>63500</xdr:colOff>
      <xdr:row>20</xdr:row>
      <xdr:rowOff>0</xdr:rowOff>
    </xdr:from>
    <xdr:to>
      <xdr:col>98</xdr:col>
      <xdr:colOff>539750</xdr:colOff>
      <xdr:row>29</xdr:row>
      <xdr:rowOff>180975</xdr:rowOff>
    </xdr:to>
    <xdr:graphicFrame macro="">
      <xdr:nvGraphicFramePr>
        <xdr:cNvPr id="33" name="Chart 32">
          <a:extLst>
            <a:ext uri="{FF2B5EF4-FFF2-40B4-BE49-F238E27FC236}">
              <a16:creationId xmlns:a16="http://schemas.microsoft.com/office/drawing/2014/main" id="{00000000-0008-0000-10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88</xdr:col>
      <xdr:colOff>111125</xdr:colOff>
      <xdr:row>31</xdr:row>
      <xdr:rowOff>0</xdr:rowOff>
    </xdr:from>
    <xdr:to>
      <xdr:col>98</xdr:col>
      <xdr:colOff>507999</xdr:colOff>
      <xdr:row>46</xdr:row>
      <xdr:rowOff>63500</xdr:rowOff>
    </xdr:to>
    <xdr:graphicFrame macro="">
      <xdr:nvGraphicFramePr>
        <xdr:cNvPr id="34" name="Chart 33">
          <a:extLst>
            <a:ext uri="{FF2B5EF4-FFF2-40B4-BE49-F238E27FC236}">
              <a16:creationId xmlns:a16="http://schemas.microsoft.com/office/drawing/2014/main" id="{00000000-0008-0000-10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0</xdr:colOff>
      <xdr:row>0</xdr:row>
      <xdr:rowOff>190499</xdr:rowOff>
    </xdr:from>
    <xdr:to>
      <xdr:col>109</xdr:col>
      <xdr:colOff>508000</xdr:colOff>
      <xdr:row>18</xdr:row>
      <xdr:rowOff>111124</xdr:rowOff>
    </xdr:to>
    <xdr:graphicFrame macro="">
      <xdr:nvGraphicFramePr>
        <xdr:cNvPr id="35" name="Chart 34">
          <a:extLst>
            <a:ext uri="{FF2B5EF4-FFF2-40B4-BE49-F238E27FC236}">
              <a16:creationId xmlns:a16="http://schemas.microsoft.com/office/drawing/2014/main" id="{00000000-0008-0000-10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99</xdr:col>
      <xdr:colOff>0</xdr:colOff>
      <xdr:row>18</xdr:row>
      <xdr:rowOff>127000</xdr:rowOff>
    </xdr:from>
    <xdr:to>
      <xdr:col>110</xdr:col>
      <xdr:colOff>15875</xdr:colOff>
      <xdr:row>33</xdr:row>
      <xdr:rowOff>142875</xdr:rowOff>
    </xdr:to>
    <xdr:graphicFrame macro="">
      <xdr:nvGraphicFramePr>
        <xdr:cNvPr id="36" name="Chart 35">
          <a:extLst>
            <a:ext uri="{FF2B5EF4-FFF2-40B4-BE49-F238E27FC236}">
              <a16:creationId xmlns:a16="http://schemas.microsoft.com/office/drawing/2014/main" id="{00000000-0008-0000-10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99</xdr:col>
      <xdr:colOff>31750</xdr:colOff>
      <xdr:row>33</xdr:row>
      <xdr:rowOff>122465</xdr:rowOff>
    </xdr:from>
    <xdr:to>
      <xdr:col>104</xdr:col>
      <xdr:colOff>142875</xdr:colOff>
      <xdr:row>46</xdr:row>
      <xdr:rowOff>141289</xdr:rowOff>
    </xdr:to>
    <xdr:graphicFrame macro="">
      <xdr:nvGraphicFramePr>
        <xdr:cNvPr id="37" name="Chart 36">
          <a:extLst>
            <a:ext uri="{FF2B5EF4-FFF2-40B4-BE49-F238E27FC236}">
              <a16:creationId xmlns:a16="http://schemas.microsoft.com/office/drawing/2014/main" id="{00000000-0008-0000-10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103</xdr:col>
      <xdr:colOff>460374</xdr:colOff>
      <xdr:row>33</xdr:row>
      <xdr:rowOff>95250</xdr:rowOff>
    </xdr:from>
    <xdr:to>
      <xdr:col>109</xdr:col>
      <xdr:colOff>603249</xdr:colOff>
      <xdr:row>46</xdr:row>
      <xdr:rowOff>131763</xdr:rowOff>
    </xdr:to>
    <xdr:graphicFrame macro="">
      <xdr:nvGraphicFramePr>
        <xdr:cNvPr id="38" name="Chart 37">
          <a:extLst>
            <a:ext uri="{FF2B5EF4-FFF2-40B4-BE49-F238E27FC236}">
              <a16:creationId xmlns:a16="http://schemas.microsoft.com/office/drawing/2014/main" id="{00000000-0008-0000-10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110</xdr:col>
      <xdr:colOff>47626</xdr:colOff>
      <xdr:row>1</xdr:row>
      <xdr:rowOff>0</xdr:rowOff>
    </xdr:from>
    <xdr:to>
      <xdr:col>120</xdr:col>
      <xdr:colOff>619125</xdr:colOff>
      <xdr:row>20</xdr:row>
      <xdr:rowOff>0</xdr:rowOff>
    </xdr:to>
    <xdr:graphicFrame macro="">
      <xdr:nvGraphicFramePr>
        <xdr:cNvPr id="39" name="Chart 38">
          <a:extLst>
            <a:ext uri="{FF2B5EF4-FFF2-40B4-BE49-F238E27FC236}">
              <a16:creationId xmlns:a16="http://schemas.microsoft.com/office/drawing/2014/main" id="{00000000-0008-0000-10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110</xdr:col>
      <xdr:colOff>31750</xdr:colOff>
      <xdr:row>20</xdr:row>
      <xdr:rowOff>50800</xdr:rowOff>
    </xdr:from>
    <xdr:to>
      <xdr:col>120</xdr:col>
      <xdr:colOff>635000</xdr:colOff>
      <xdr:row>30</xdr:row>
      <xdr:rowOff>112712</xdr:rowOff>
    </xdr:to>
    <xdr:graphicFrame macro="">
      <xdr:nvGraphicFramePr>
        <xdr:cNvPr id="40" name="Chart 39">
          <a:extLst>
            <a:ext uri="{FF2B5EF4-FFF2-40B4-BE49-F238E27FC236}">
              <a16:creationId xmlns:a16="http://schemas.microsoft.com/office/drawing/2014/main" id="{00000000-0008-0000-10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110</xdr:col>
      <xdr:colOff>0</xdr:colOff>
      <xdr:row>31</xdr:row>
      <xdr:rowOff>0</xdr:rowOff>
    </xdr:from>
    <xdr:to>
      <xdr:col>121</xdr:col>
      <xdr:colOff>0</xdr:colOff>
      <xdr:row>46</xdr:row>
      <xdr:rowOff>90488</xdr:rowOff>
    </xdr:to>
    <xdr:graphicFrame macro="">
      <xdr:nvGraphicFramePr>
        <xdr:cNvPr id="41" name="Chart 40">
          <a:extLst>
            <a:ext uri="{FF2B5EF4-FFF2-40B4-BE49-F238E27FC236}">
              <a16:creationId xmlns:a16="http://schemas.microsoft.com/office/drawing/2014/main" id="{00000000-0008-0000-10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121</xdr:col>
      <xdr:colOff>0</xdr:colOff>
      <xdr:row>1</xdr:row>
      <xdr:rowOff>0</xdr:rowOff>
    </xdr:from>
    <xdr:to>
      <xdr:col>131</xdr:col>
      <xdr:colOff>603250</xdr:colOff>
      <xdr:row>18</xdr:row>
      <xdr:rowOff>111125</xdr:rowOff>
    </xdr:to>
    <xdr:graphicFrame macro="">
      <xdr:nvGraphicFramePr>
        <xdr:cNvPr id="42" name="Chart 41">
          <a:extLst>
            <a:ext uri="{FF2B5EF4-FFF2-40B4-BE49-F238E27FC236}">
              <a16:creationId xmlns:a16="http://schemas.microsoft.com/office/drawing/2014/main" id="{00000000-0008-0000-10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121</xdr:col>
      <xdr:colOff>95250</xdr:colOff>
      <xdr:row>18</xdr:row>
      <xdr:rowOff>174625</xdr:rowOff>
    </xdr:from>
    <xdr:to>
      <xdr:col>131</xdr:col>
      <xdr:colOff>571500</xdr:colOff>
      <xdr:row>33</xdr:row>
      <xdr:rowOff>71438</xdr:rowOff>
    </xdr:to>
    <xdr:graphicFrame macro="">
      <xdr:nvGraphicFramePr>
        <xdr:cNvPr id="43" name="Chart 42">
          <a:extLst>
            <a:ext uri="{FF2B5EF4-FFF2-40B4-BE49-F238E27FC236}">
              <a16:creationId xmlns:a16="http://schemas.microsoft.com/office/drawing/2014/main" id="{00000000-0008-0000-10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121</xdr:col>
      <xdr:colOff>31750</xdr:colOff>
      <xdr:row>33</xdr:row>
      <xdr:rowOff>142875</xdr:rowOff>
    </xdr:from>
    <xdr:to>
      <xdr:col>124</xdr:col>
      <xdr:colOff>481806</xdr:colOff>
      <xdr:row>46</xdr:row>
      <xdr:rowOff>152400</xdr:rowOff>
    </xdr:to>
    <xdr:graphicFrame macro="">
      <xdr:nvGraphicFramePr>
        <xdr:cNvPr id="44" name="Chart 43">
          <a:extLst>
            <a:ext uri="{FF2B5EF4-FFF2-40B4-BE49-F238E27FC236}">
              <a16:creationId xmlns:a16="http://schemas.microsoft.com/office/drawing/2014/main" id="{00000000-0008-0000-10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125</xdr:col>
      <xdr:colOff>63500</xdr:colOff>
      <xdr:row>33</xdr:row>
      <xdr:rowOff>160337</xdr:rowOff>
    </xdr:from>
    <xdr:to>
      <xdr:col>132</xdr:col>
      <xdr:colOff>6350</xdr:colOff>
      <xdr:row>46</xdr:row>
      <xdr:rowOff>136525</xdr:rowOff>
    </xdr:to>
    <xdr:graphicFrame macro="">
      <xdr:nvGraphicFramePr>
        <xdr:cNvPr id="45" name="Chart 44">
          <a:extLst>
            <a:ext uri="{FF2B5EF4-FFF2-40B4-BE49-F238E27FC236}">
              <a16:creationId xmlns:a16="http://schemas.microsoft.com/office/drawing/2014/main" id="{00000000-0008-0000-10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132</xdr:col>
      <xdr:colOff>47624</xdr:colOff>
      <xdr:row>1</xdr:row>
      <xdr:rowOff>0</xdr:rowOff>
    </xdr:from>
    <xdr:to>
      <xdr:col>142</xdr:col>
      <xdr:colOff>587375</xdr:colOff>
      <xdr:row>19</xdr:row>
      <xdr:rowOff>142875</xdr:rowOff>
    </xdr:to>
    <xdr:graphicFrame macro="">
      <xdr:nvGraphicFramePr>
        <xdr:cNvPr id="46" name="Chart 45">
          <a:extLst>
            <a:ext uri="{FF2B5EF4-FFF2-40B4-BE49-F238E27FC236}">
              <a16:creationId xmlns:a16="http://schemas.microsoft.com/office/drawing/2014/main" id="{00000000-0008-0000-10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132</xdr:col>
      <xdr:colOff>47625</xdr:colOff>
      <xdr:row>20</xdr:row>
      <xdr:rowOff>25400</xdr:rowOff>
    </xdr:from>
    <xdr:to>
      <xdr:col>142</xdr:col>
      <xdr:colOff>523875</xdr:colOff>
      <xdr:row>30</xdr:row>
      <xdr:rowOff>49212</xdr:rowOff>
    </xdr:to>
    <xdr:graphicFrame macro="">
      <xdr:nvGraphicFramePr>
        <xdr:cNvPr id="47" name="Chart 46">
          <a:extLst>
            <a:ext uri="{FF2B5EF4-FFF2-40B4-BE49-F238E27FC236}">
              <a16:creationId xmlns:a16="http://schemas.microsoft.com/office/drawing/2014/main" id="{00000000-0008-0000-10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132</xdr:col>
      <xdr:colOff>0</xdr:colOff>
      <xdr:row>31</xdr:row>
      <xdr:rowOff>0</xdr:rowOff>
    </xdr:from>
    <xdr:to>
      <xdr:col>142</xdr:col>
      <xdr:colOff>523875</xdr:colOff>
      <xdr:row>46</xdr:row>
      <xdr:rowOff>158750</xdr:rowOff>
    </xdr:to>
    <xdr:graphicFrame macro="">
      <xdr:nvGraphicFramePr>
        <xdr:cNvPr id="48" name="Chart 47">
          <a:extLst>
            <a:ext uri="{FF2B5EF4-FFF2-40B4-BE49-F238E27FC236}">
              <a16:creationId xmlns:a16="http://schemas.microsoft.com/office/drawing/2014/main" id="{00000000-0008-0000-1000-00003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143</xdr:col>
      <xdr:colOff>0</xdr:colOff>
      <xdr:row>1</xdr:row>
      <xdr:rowOff>0</xdr:rowOff>
    </xdr:from>
    <xdr:to>
      <xdr:col>153</xdr:col>
      <xdr:colOff>603250</xdr:colOff>
      <xdr:row>18</xdr:row>
      <xdr:rowOff>174625</xdr:rowOff>
    </xdr:to>
    <xdr:graphicFrame macro="">
      <xdr:nvGraphicFramePr>
        <xdr:cNvPr id="49" name="Chart 48">
          <a:extLst>
            <a:ext uri="{FF2B5EF4-FFF2-40B4-BE49-F238E27FC236}">
              <a16:creationId xmlns:a16="http://schemas.microsoft.com/office/drawing/2014/main" id="{00000000-0008-0000-10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143</xdr:col>
      <xdr:colOff>79374</xdr:colOff>
      <xdr:row>19</xdr:row>
      <xdr:rowOff>15876</xdr:rowOff>
    </xdr:from>
    <xdr:to>
      <xdr:col>153</xdr:col>
      <xdr:colOff>571499</xdr:colOff>
      <xdr:row>33</xdr:row>
      <xdr:rowOff>174626</xdr:rowOff>
    </xdr:to>
    <xdr:graphicFrame macro="">
      <xdr:nvGraphicFramePr>
        <xdr:cNvPr id="50" name="Chart 49">
          <a:extLst>
            <a:ext uri="{FF2B5EF4-FFF2-40B4-BE49-F238E27FC236}">
              <a16:creationId xmlns:a16="http://schemas.microsoft.com/office/drawing/2014/main" id="{00000000-0008-0000-1000-00003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xdr:from>
      <xdr:col>143</xdr:col>
      <xdr:colOff>31750</xdr:colOff>
      <xdr:row>33</xdr:row>
      <xdr:rowOff>174625</xdr:rowOff>
    </xdr:from>
    <xdr:to>
      <xdr:col>147</xdr:col>
      <xdr:colOff>254000</xdr:colOff>
      <xdr:row>46</xdr:row>
      <xdr:rowOff>165100</xdr:rowOff>
    </xdr:to>
    <xdr:graphicFrame macro="">
      <xdr:nvGraphicFramePr>
        <xdr:cNvPr id="51" name="Chart 50">
          <a:extLst>
            <a:ext uri="{FF2B5EF4-FFF2-40B4-BE49-F238E27FC236}">
              <a16:creationId xmlns:a16="http://schemas.microsoft.com/office/drawing/2014/main" id="{00000000-0008-0000-10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xdr:from>
      <xdr:col>147</xdr:col>
      <xdr:colOff>347663</xdr:colOff>
      <xdr:row>34</xdr:row>
      <xdr:rowOff>20637</xdr:rowOff>
    </xdr:from>
    <xdr:to>
      <xdr:col>154</xdr:col>
      <xdr:colOff>6350</xdr:colOff>
      <xdr:row>46</xdr:row>
      <xdr:rowOff>177800</xdr:rowOff>
    </xdr:to>
    <xdr:graphicFrame macro="">
      <xdr:nvGraphicFramePr>
        <xdr:cNvPr id="52" name="Chart 51">
          <a:extLst>
            <a:ext uri="{FF2B5EF4-FFF2-40B4-BE49-F238E27FC236}">
              <a16:creationId xmlns:a16="http://schemas.microsoft.com/office/drawing/2014/main" id="{00000000-0008-0000-10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154</xdr:col>
      <xdr:colOff>1</xdr:colOff>
      <xdr:row>1</xdr:row>
      <xdr:rowOff>0</xdr:rowOff>
    </xdr:from>
    <xdr:to>
      <xdr:col>164</xdr:col>
      <xdr:colOff>555625</xdr:colOff>
      <xdr:row>20</xdr:row>
      <xdr:rowOff>15875</xdr:rowOff>
    </xdr:to>
    <xdr:graphicFrame macro="">
      <xdr:nvGraphicFramePr>
        <xdr:cNvPr id="53" name="Chart 52">
          <a:extLst>
            <a:ext uri="{FF2B5EF4-FFF2-40B4-BE49-F238E27FC236}">
              <a16:creationId xmlns:a16="http://schemas.microsoft.com/office/drawing/2014/main" id="{00000000-0008-0000-10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twoCellAnchor>
    <xdr:from>
      <xdr:col>154</xdr:col>
      <xdr:colOff>66675</xdr:colOff>
      <xdr:row>20</xdr:row>
      <xdr:rowOff>87311</xdr:rowOff>
    </xdr:from>
    <xdr:to>
      <xdr:col>165</xdr:col>
      <xdr:colOff>0</xdr:colOff>
      <xdr:row>32</xdr:row>
      <xdr:rowOff>34924</xdr:rowOff>
    </xdr:to>
    <xdr:graphicFrame macro="">
      <xdr:nvGraphicFramePr>
        <xdr:cNvPr id="54" name="Chart 53">
          <a:extLst>
            <a:ext uri="{FF2B5EF4-FFF2-40B4-BE49-F238E27FC236}">
              <a16:creationId xmlns:a16="http://schemas.microsoft.com/office/drawing/2014/main" id="{00000000-0008-0000-10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
        </a:graphicData>
      </a:graphic>
    </xdr:graphicFrame>
    <xdr:clientData/>
  </xdr:twoCellAnchor>
  <xdr:twoCellAnchor>
    <xdr:from>
      <xdr:col>154</xdr:col>
      <xdr:colOff>0</xdr:colOff>
      <xdr:row>33</xdr:row>
      <xdr:rowOff>0</xdr:rowOff>
    </xdr:from>
    <xdr:to>
      <xdr:col>164</xdr:col>
      <xdr:colOff>571500</xdr:colOff>
      <xdr:row>46</xdr:row>
      <xdr:rowOff>127000</xdr:rowOff>
    </xdr:to>
    <xdr:graphicFrame macro="">
      <xdr:nvGraphicFramePr>
        <xdr:cNvPr id="55" name="Chart 54">
          <a:extLst>
            <a:ext uri="{FF2B5EF4-FFF2-40B4-BE49-F238E27FC236}">
              <a16:creationId xmlns:a16="http://schemas.microsoft.com/office/drawing/2014/main" id="{00000000-0008-0000-10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
        </a:graphicData>
      </a:graphic>
    </xdr:graphicFrame>
    <xdr:clientData/>
  </xdr:twoCellAnchor>
  <xdr:twoCellAnchor>
    <xdr:from>
      <xdr:col>164</xdr:col>
      <xdr:colOff>650874</xdr:colOff>
      <xdr:row>1</xdr:row>
      <xdr:rowOff>0</xdr:rowOff>
    </xdr:from>
    <xdr:to>
      <xdr:col>175</xdr:col>
      <xdr:colOff>619124</xdr:colOff>
      <xdr:row>18</xdr:row>
      <xdr:rowOff>15875</xdr:rowOff>
    </xdr:to>
    <xdr:graphicFrame macro="">
      <xdr:nvGraphicFramePr>
        <xdr:cNvPr id="56" name="Chart 55">
          <a:extLst>
            <a:ext uri="{FF2B5EF4-FFF2-40B4-BE49-F238E27FC236}">
              <a16:creationId xmlns:a16="http://schemas.microsoft.com/office/drawing/2014/main" id="{00000000-0008-0000-10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
        </a:graphicData>
      </a:graphic>
    </xdr:graphicFrame>
    <xdr:clientData/>
  </xdr:twoCellAnchor>
  <xdr:twoCellAnchor>
    <xdr:from>
      <xdr:col>165</xdr:col>
      <xdr:colOff>31750</xdr:colOff>
      <xdr:row>18</xdr:row>
      <xdr:rowOff>79375</xdr:rowOff>
    </xdr:from>
    <xdr:to>
      <xdr:col>175</xdr:col>
      <xdr:colOff>539750</xdr:colOff>
      <xdr:row>33</xdr:row>
      <xdr:rowOff>88901</xdr:rowOff>
    </xdr:to>
    <xdr:graphicFrame macro="">
      <xdr:nvGraphicFramePr>
        <xdr:cNvPr id="57" name="Chart 56">
          <a:extLst>
            <a:ext uri="{FF2B5EF4-FFF2-40B4-BE49-F238E27FC236}">
              <a16:creationId xmlns:a16="http://schemas.microsoft.com/office/drawing/2014/main" id="{00000000-0008-0000-1000-00003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
        </a:graphicData>
      </a:graphic>
    </xdr:graphicFrame>
    <xdr:clientData/>
  </xdr:twoCellAnchor>
  <xdr:twoCellAnchor>
    <xdr:from>
      <xdr:col>165</xdr:col>
      <xdr:colOff>47624</xdr:colOff>
      <xdr:row>34</xdr:row>
      <xdr:rowOff>0</xdr:rowOff>
    </xdr:from>
    <xdr:to>
      <xdr:col>170</xdr:col>
      <xdr:colOff>158750</xdr:colOff>
      <xdr:row>46</xdr:row>
      <xdr:rowOff>171450</xdr:rowOff>
    </xdr:to>
    <xdr:graphicFrame macro="">
      <xdr:nvGraphicFramePr>
        <xdr:cNvPr id="58" name="Chart 57">
          <a:extLst>
            <a:ext uri="{FF2B5EF4-FFF2-40B4-BE49-F238E27FC236}">
              <a16:creationId xmlns:a16="http://schemas.microsoft.com/office/drawing/2014/main" id="{00000000-0008-0000-1000-00003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
        </a:graphicData>
      </a:graphic>
    </xdr:graphicFrame>
    <xdr:clientData/>
  </xdr:twoCellAnchor>
  <xdr:twoCellAnchor>
    <xdr:from>
      <xdr:col>169</xdr:col>
      <xdr:colOff>349250</xdr:colOff>
      <xdr:row>33</xdr:row>
      <xdr:rowOff>188912</xdr:rowOff>
    </xdr:from>
    <xdr:to>
      <xdr:col>177</xdr:col>
      <xdr:colOff>158749</xdr:colOff>
      <xdr:row>46</xdr:row>
      <xdr:rowOff>158750</xdr:rowOff>
    </xdr:to>
    <xdr:graphicFrame macro="">
      <xdr:nvGraphicFramePr>
        <xdr:cNvPr id="59" name="Chart 58">
          <a:extLst>
            <a:ext uri="{FF2B5EF4-FFF2-40B4-BE49-F238E27FC236}">
              <a16:creationId xmlns:a16="http://schemas.microsoft.com/office/drawing/2014/main" id="{00000000-0008-0000-1000-00003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
        </a:graphicData>
      </a:graphic>
    </xdr:graphicFrame>
    <xdr:clientData/>
  </xdr:twoCellAnchor>
  <xdr:twoCellAnchor>
    <xdr:from>
      <xdr:col>176</xdr:col>
      <xdr:colOff>0</xdr:colOff>
      <xdr:row>1</xdr:row>
      <xdr:rowOff>0</xdr:rowOff>
    </xdr:from>
    <xdr:to>
      <xdr:col>187</xdr:col>
      <xdr:colOff>0</xdr:colOff>
      <xdr:row>20</xdr:row>
      <xdr:rowOff>95250</xdr:rowOff>
    </xdr:to>
    <xdr:graphicFrame macro="">
      <xdr:nvGraphicFramePr>
        <xdr:cNvPr id="60" name="Chart 59">
          <a:extLst>
            <a:ext uri="{FF2B5EF4-FFF2-40B4-BE49-F238E27FC236}">
              <a16:creationId xmlns:a16="http://schemas.microsoft.com/office/drawing/2014/main" id="{00000000-0008-0000-1000-00003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
        </a:graphicData>
      </a:graphic>
    </xdr:graphicFrame>
    <xdr:clientData/>
  </xdr:twoCellAnchor>
  <xdr:twoCellAnchor>
    <xdr:from>
      <xdr:col>176</xdr:col>
      <xdr:colOff>9526</xdr:colOff>
      <xdr:row>20</xdr:row>
      <xdr:rowOff>184149</xdr:rowOff>
    </xdr:from>
    <xdr:to>
      <xdr:col>186</xdr:col>
      <xdr:colOff>635000</xdr:colOff>
      <xdr:row>32</xdr:row>
      <xdr:rowOff>46036</xdr:rowOff>
    </xdr:to>
    <xdr:graphicFrame macro="">
      <xdr:nvGraphicFramePr>
        <xdr:cNvPr id="61" name="Chart 60">
          <a:extLst>
            <a:ext uri="{FF2B5EF4-FFF2-40B4-BE49-F238E27FC236}">
              <a16:creationId xmlns:a16="http://schemas.microsoft.com/office/drawing/2014/main" id="{00000000-0008-0000-1000-00003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
        </a:graphicData>
      </a:graphic>
    </xdr:graphicFrame>
    <xdr:clientData/>
  </xdr:twoCellAnchor>
  <xdr:twoCellAnchor>
    <xdr:from>
      <xdr:col>175</xdr:col>
      <xdr:colOff>650874</xdr:colOff>
      <xdr:row>32</xdr:row>
      <xdr:rowOff>111125</xdr:rowOff>
    </xdr:from>
    <xdr:to>
      <xdr:col>186</xdr:col>
      <xdr:colOff>587375</xdr:colOff>
      <xdr:row>46</xdr:row>
      <xdr:rowOff>127000</xdr:rowOff>
    </xdr:to>
    <xdr:graphicFrame macro="">
      <xdr:nvGraphicFramePr>
        <xdr:cNvPr id="62" name="Chart 61">
          <a:extLst>
            <a:ext uri="{FF2B5EF4-FFF2-40B4-BE49-F238E27FC236}">
              <a16:creationId xmlns:a16="http://schemas.microsoft.com/office/drawing/2014/main" id="{00000000-0008-0000-1000-00003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
        </a:graphicData>
      </a:graphic>
    </xdr:graphicFrame>
    <xdr:clientData/>
  </xdr:twoCellAnchor>
  <xdr:twoCellAnchor>
    <xdr:from>
      <xdr:col>187</xdr:col>
      <xdr:colOff>0</xdr:colOff>
      <xdr:row>1</xdr:row>
      <xdr:rowOff>0</xdr:rowOff>
    </xdr:from>
    <xdr:to>
      <xdr:col>197</xdr:col>
      <xdr:colOff>539750</xdr:colOff>
      <xdr:row>18</xdr:row>
      <xdr:rowOff>79376</xdr:rowOff>
    </xdr:to>
    <xdr:graphicFrame macro="">
      <xdr:nvGraphicFramePr>
        <xdr:cNvPr id="63" name="Chart 62">
          <a:extLst>
            <a:ext uri="{FF2B5EF4-FFF2-40B4-BE49-F238E27FC236}">
              <a16:creationId xmlns:a16="http://schemas.microsoft.com/office/drawing/2014/main" id="{00000000-0008-0000-1000-00003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
        </a:graphicData>
      </a:graphic>
    </xdr:graphicFrame>
    <xdr:clientData/>
  </xdr:twoCellAnchor>
  <xdr:twoCellAnchor>
    <xdr:from>
      <xdr:col>187</xdr:col>
      <xdr:colOff>47624</xdr:colOff>
      <xdr:row>18</xdr:row>
      <xdr:rowOff>127000</xdr:rowOff>
    </xdr:from>
    <xdr:to>
      <xdr:col>197</xdr:col>
      <xdr:colOff>571499</xdr:colOff>
      <xdr:row>33</xdr:row>
      <xdr:rowOff>157164</xdr:rowOff>
    </xdr:to>
    <xdr:graphicFrame macro="">
      <xdr:nvGraphicFramePr>
        <xdr:cNvPr id="64" name="Chart 63">
          <a:extLst>
            <a:ext uri="{FF2B5EF4-FFF2-40B4-BE49-F238E27FC236}">
              <a16:creationId xmlns:a16="http://schemas.microsoft.com/office/drawing/2014/main" id="{00000000-0008-0000-1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
        </a:graphicData>
      </a:graphic>
    </xdr:graphicFrame>
    <xdr:clientData/>
  </xdr:twoCellAnchor>
  <xdr:twoCellAnchor>
    <xdr:from>
      <xdr:col>187</xdr:col>
      <xdr:colOff>15875</xdr:colOff>
      <xdr:row>33</xdr:row>
      <xdr:rowOff>174626</xdr:rowOff>
    </xdr:from>
    <xdr:to>
      <xdr:col>192</xdr:col>
      <xdr:colOff>15875</xdr:colOff>
      <xdr:row>46</xdr:row>
      <xdr:rowOff>138114</xdr:rowOff>
    </xdr:to>
    <xdr:graphicFrame macro="">
      <xdr:nvGraphicFramePr>
        <xdr:cNvPr id="65" name="Chart 64">
          <a:extLst>
            <a:ext uri="{FF2B5EF4-FFF2-40B4-BE49-F238E27FC236}">
              <a16:creationId xmlns:a16="http://schemas.microsoft.com/office/drawing/2014/main" id="{00000000-0008-0000-1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
        </a:graphicData>
      </a:graphic>
    </xdr:graphicFrame>
    <xdr:clientData/>
  </xdr:twoCellAnchor>
  <xdr:twoCellAnchor>
    <xdr:from>
      <xdr:col>191</xdr:col>
      <xdr:colOff>331788</xdr:colOff>
      <xdr:row>33</xdr:row>
      <xdr:rowOff>174625</xdr:rowOff>
    </xdr:from>
    <xdr:to>
      <xdr:col>197</xdr:col>
      <xdr:colOff>631825</xdr:colOff>
      <xdr:row>46</xdr:row>
      <xdr:rowOff>150813</xdr:rowOff>
    </xdr:to>
    <xdr:graphicFrame macro="">
      <xdr:nvGraphicFramePr>
        <xdr:cNvPr id="66" name="Chart 65">
          <a:extLst>
            <a:ext uri="{FF2B5EF4-FFF2-40B4-BE49-F238E27FC236}">
              <a16:creationId xmlns:a16="http://schemas.microsoft.com/office/drawing/2014/main" id="{00000000-0008-0000-1000-00004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
        </a:graphicData>
      </a:graphic>
    </xdr:graphicFrame>
    <xdr:clientData/>
  </xdr:twoCellAnchor>
  <xdr:twoCellAnchor>
    <xdr:from>
      <xdr:col>198</xdr:col>
      <xdr:colOff>1</xdr:colOff>
      <xdr:row>1</xdr:row>
      <xdr:rowOff>0</xdr:rowOff>
    </xdr:from>
    <xdr:to>
      <xdr:col>208</xdr:col>
      <xdr:colOff>571501</xdr:colOff>
      <xdr:row>19</xdr:row>
      <xdr:rowOff>47625</xdr:rowOff>
    </xdr:to>
    <xdr:graphicFrame macro="">
      <xdr:nvGraphicFramePr>
        <xdr:cNvPr id="67" name="Chart 66">
          <a:extLst>
            <a:ext uri="{FF2B5EF4-FFF2-40B4-BE49-F238E27FC236}">
              <a16:creationId xmlns:a16="http://schemas.microsoft.com/office/drawing/2014/main" id="{00000000-0008-0000-1000-00004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
        </a:graphicData>
      </a:graphic>
    </xdr:graphicFrame>
    <xdr:clientData/>
  </xdr:twoCellAnchor>
  <xdr:twoCellAnchor>
    <xdr:from>
      <xdr:col>198</xdr:col>
      <xdr:colOff>41275</xdr:colOff>
      <xdr:row>19</xdr:row>
      <xdr:rowOff>157163</xdr:rowOff>
    </xdr:from>
    <xdr:to>
      <xdr:col>208</xdr:col>
      <xdr:colOff>571500</xdr:colOff>
      <xdr:row>31</xdr:row>
      <xdr:rowOff>0</xdr:rowOff>
    </xdr:to>
    <xdr:graphicFrame macro="">
      <xdr:nvGraphicFramePr>
        <xdr:cNvPr id="68" name="Chart 67">
          <a:extLst>
            <a:ext uri="{FF2B5EF4-FFF2-40B4-BE49-F238E27FC236}">
              <a16:creationId xmlns:a16="http://schemas.microsoft.com/office/drawing/2014/main" id="{00000000-0008-0000-1000-00004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
        </a:graphicData>
      </a:graphic>
    </xdr:graphicFrame>
    <xdr:clientData/>
  </xdr:twoCellAnchor>
  <xdr:twoCellAnchor>
    <xdr:from>
      <xdr:col>198</xdr:col>
      <xdr:colOff>0</xdr:colOff>
      <xdr:row>31</xdr:row>
      <xdr:rowOff>63500</xdr:rowOff>
    </xdr:from>
    <xdr:to>
      <xdr:col>208</xdr:col>
      <xdr:colOff>587375</xdr:colOff>
      <xdr:row>46</xdr:row>
      <xdr:rowOff>142875</xdr:rowOff>
    </xdr:to>
    <xdr:graphicFrame macro="">
      <xdr:nvGraphicFramePr>
        <xdr:cNvPr id="69" name="Chart 68">
          <a:extLst>
            <a:ext uri="{FF2B5EF4-FFF2-40B4-BE49-F238E27FC236}">
              <a16:creationId xmlns:a16="http://schemas.microsoft.com/office/drawing/2014/main" id="{00000000-0008-0000-1000-00004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
        </a:graphicData>
      </a:graphic>
    </xdr:graphicFrame>
    <xdr:clientData/>
  </xdr:twoCellAnchor>
  <xdr:twoCellAnchor>
    <xdr:from>
      <xdr:col>22</xdr:col>
      <xdr:colOff>0</xdr:colOff>
      <xdr:row>22</xdr:row>
      <xdr:rowOff>0</xdr:rowOff>
    </xdr:from>
    <xdr:to>
      <xdr:col>32</xdr:col>
      <xdr:colOff>508000</xdr:colOff>
      <xdr:row>46</xdr:row>
      <xdr:rowOff>174625</xdr:rowOff>
    </xdr:to>
    <xdr:graphicFrame macro="">
      <xdr:nvGraphicFramePr>
        <xdr:cNvPr id="70" name="Chart 69">
          <a:extLst>
            <a:ext uri="{FF2B5EF4-FFF2-40B4-BE49-F238E27FC236}">
              <a16:creationId xmlns:a16="http://schemas.microsoft.com/office/drawing/2014/main" id="{00000000-0008-0000-1000-00004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447675</xdr:colOff>
      <xdr:row>4</xdr:row>
      <xdr:rowOff>161925</xdr:rowOff>
    </xdr:from>
    <xdr:to>
      <xdr:col>7</xdr:col>
      <xdr:colOff>323850</xdr:colOff>
      <xdr:row>19</xdr:row>
      <xdr:rowOff>9525</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1543050" y="923925"/>
          <a:ext cx="2114550" cy="13868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Unit</a:t>
          </a:r>
          <a:r>
            <a:rPr lang="en-US"/>
            <a:t> </a:t>
          </a:r>
        </a:p>
        <a:p>
          <a:r>
            <a:rPr lang="en-US" sz="1100" b="0" i="0" u="none" strike="noStrike">
              <a:solidFill>
                <a:schemeClr val="dk1"/>
              </a:solidFill>
              <a:effectLst/>
              <a:latin typeface="+mn-lt"/>
              <a:ea typeface="+mn-ea"/>
              <a:cs typeface="+mn-cs"/>
            </a:rPr>
            <a:t>Date Received</a:t>
          </a:r>
          <a:r>
            <a:rPr lang="en-US"/>
            <a:t> </a:t>
          </a:r>
        </a:p>
        <a:p>
          <a:r>
            <a:rPr lang="en-US" sz="1100" b="0" i="0" u="none" strike="noStrike">
              <a:solidFill>
                <a:schemeClr val="dk1"/>
              </a:solidFill>
              <a:effectLst/>
              <a:latin typeface="+mn-lt"/>
              <a:ea typeface="+mn-ea"/>
              <a:cs typeface="+mn-cs"/>
            </a:rPr>
            <a:t>Case #</a:t>
          </a:r>
          <a:r>
            <a:rPr lang="en-US"/>
            <a:t> </a:t>
          </a:r>
        </a:p>
        <a:p>
          <a:r>
            <a:rPr lang="en-US" sz="1100" b="0" i="0" u="none" strike="noStrike">
              <a:solidFill>
                <a:schemeClr val="dk1"/>
              </a:solidFill>
              <a:effectLst/>
              <a:latin typeface="+mn-lt"/>
              <a:ea typeface="+mn-ea"/>
              <a:cs typeface="+mn-cs"/>
            </a:rPr>
            <a:t>Resident</a:t>
          </a:r>
          <a:r>
            <a:rPr lang="en-US"/>
            <a:t> </a:t>
          </a:r>
          <a:r>
            <a:rPr lang="en-US" sz="1100" b="0" i="0" u="none" strike="noStrike">
              <a:solidFill>
                <a:schemeClr val="dk1"/>
              </a:solidFill>
              <a:effectLst/>
              <a:latin typeface="+mn-lt"/>
              <a:ea typeface="+mn-ea"/>
              <a:cs typeface="+mn-cs"/>
            </a:rPr>
            <a:t>Complaint</a:t>
          </a:r>
          <a:r>
            <a:rPr lang="en-US"/>
            <a:t> </a:t>
          </a:r>
        </a:p>
        <a:p>
          <a:r>
            <a:rPr lang="en-US" sz="1100" b="0" i="0" u="none" strike="noStrike">
              <a:solidFill>
                <a:schemeClr val="dk1"/>
              </a:solidFill>
              <a:effectLst/>
              <a:latin typeface="+mn-lt"/>
              <a:ea typeface="+mn-ea"/>
              <a:cs typeface="+mn-cs"/>
            </a:rPr>
            <a:t>Given to:</a:t>
          </a:r>
          <a:r>
            <a:rPr lang="en-US"/>
            <a:t> </a:t>
          </a:r>
        </a:p>
        <a:p>
          <a:r>
            <a:rPr lang="en-US" sz="1100" b="0" i="0" u="none" strike="noStrike">
              <a:solidFill>
                <a:schemeClr val="dk1"/>
              </a:solidFill>
              <a:effectLst/>
              <a:latin typeface="+mn-lt"/>
              <a:ea typeface="+mn-ea"/>
              <a:cs typeface="+mn-cs"/>
            </a:rPr>
            <a:t>On this date:</a:t>
          </a:r>
          <a:r>
            <a:rPr lang="en-US"/>
            <a:t> </a:t>
          </a:r>
          <a:endParaRPr lang="en-US"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133350</xdr:colOff>
      <xdr:row>25</xdr:row>
      <xdr:rowOff>209550</xdr:rowOff>
    </xdr:from>
    <xdr:to>
      <xdr:col>14</xdr:col>
      <xdr:colOff>238125</xdr:colOff>
      <xdr:row>42</xdr:row>
      <xdr:rowOff>95250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7210425" y="8458200"/>
          <a:ext cx="5562600" cy="6553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u="sng" strike="noStrike">
              <a:solidFill>
                <a:schemeClr val="dk1"/>
              </a:solidFill>
              <a:effectLst/>
              <a:latin typeface="+mn-lt"/>
              <a:ea typeface="+mn-ea"/>
              <a:cs typeface="+mn-cs"/>
            </a:rPr>
            <a:t>** Special note: We have recieved over 100+ grievances for the month of January. It takes a while to process all of these. </a:t>
          </a:r>
          <a:r>
            <a:rPr lang="en-US" sz="1100" b="1" i="1" u="sng" strike="noStrike" baseline="0">
              <a:solidFill>
                <a:schemeClr val="dk1"/>
              </a:solidFill>
              <a:effectLst/>
              <a:latin typeface="+mn-lt"/>
              <a:ea typeface="+mn-ea"/>
              <a:cs typeface="+mn-cs"/>
            </a:rPr>
            <a:t> Most are complaints that the resident is able to take care of himself/herself, so we focus more on things that residents don't have control over. </a:t>
          </a:r>
          <a:endParaRPr lang="en-US" sz="1100" b="1" i="1" u="sng" strike="noStrike">
            <a:solidFill>
              <a:schemeClr val="dk1"/>
            </a:solidFill>
            <a:effectLst/>
            <a:latin typeface="+mn-lt"/>
            <a:ea typeface="+mn-ea"/>
            <a:cs typeface="+mn-cs"/>
          </a:endParaRPr>
        </a:p>
        <a:p>
          <a:endParaRPr lang="en-US" sz="1100" b="1" i="0" u="sng" strike="noStrike">
            <a:solidFill>
              <a:schemeClr val="dk1"/>
            </a:solidFill>
            <a:effectLst/>
            <a:latin typeface="+mn-lt"/>
            <a:ea typeface="+mn-ea"/>
            <a:cs typeface="+mn-cs"/>
          </a:endParaRPr>
        </a:p>
        <a:p>
          <a:r>
            <a:rPr lang="en-US" sz="1100" b="1" i="0" u="sng" strike="noStrike">
              <a:solidFill>
                <a:schemeClr val="dk1"/>
              </a:solidFill>
              <a:effectLst/>
              <a:latin typeface="+mn-lt"/>
              <a:ea typeface="+mn-ea"/>
              <a:cs typeface="+mn-cs"/>
            </a:rPr>
            <a:t>The difference between a complaint and a grievance</a:t>
          </a:r>
          <a:r>
            <a:rPr lang="en-US"/>
            <a:t> </a:t>
          </a:r>
        </a:p>
        <a:p>
          <a:r>
            <a:rPr lang="en-US" sz="1100" b="0" i="0" u="none" strike="noStrike">
              <a:solidFill>
                <a:schemeClr val="dk1"/>
              </a:solidFill>
              <a:effectLst/>
              <a:latin typeface="+mn-lt"/>
              <a:ea typeface="+mn-ea"/>
              <a:cs typeface="+mn-cs"/>
            </a:rPr>
            <a:t>- </a:t>
          </a:r>
          <a:r>
            <a:rPr lang="en-US" sz="1100" b="0" i="0" u="sng" strike="noStrike">
              <a:solidFill>
                <a:schemeClr val="dk1"/>
              </a:solidFill>
              <a:effectLst/>
              <a:latin typeface="+mn-lt"/>
              <a:ea typeface="+mn-ea"/>
              <a:cs typeface="+mn-cs"/>
            </a:rPr>
            <a:t>Your</a:t>
          </a:r>
          <a:r>
            <a:rPr lang="en-US" sz="1100" b="0" i="0" u="sng" strike="noStrike" baseline="0">
              <a:solidFill>
                <a:schemeClr val="dk1"/>
              </a:solidFill>
              <a:effectLst/>
              <a:latin typeface="+mn-lt"/>
              <a:ea typeface="+mn-ea"/>
              <a:cs typeface="+mn-cs"/>
            </a:rPr>
            <a:t> concern is seen as a grievance when there appears to be enough evidence to look into the matter and then return to you with results.</a:t>
          </a:r>
        </a:p>
        <a:p>
          <a:r>
            <a:rPr lang="en-US" sz="1100" b="0" i="0" u="none" strike="noStrike" baseline="0">
              <a:solidFill>
                <a:schemeClr val="dk1"/>
              </a:solidFill>
              <a:effectLst/>
              <a:latin typeface="+mn-lt"/>
              <a:ea typeface="+mn-ea"/>
              <a:cs typeface="+mn-cs"/>
            </a:rPr>
            <a:t>- </a:t>
          </a:r>
          <a:r>
            <a:rPr lang="en-US" sz="1100" b="0" i="0" u="sng" strike="noStrike" baseline="0">
              <a:solidFill>
                <a:schemeClr val="dk1"/>
              </a:solidFill>
              <a:effectLst/>
              <a:latin typeface="+mn-lt"/>
              <a:ea typeface="+mn-ea"/>
              <a:cs typeface="+mn-cs"/>
            </a:rPr>
            <a:t>Your concern is seen as a complaint when:</a:t>
          </a:r>
        </a:p>
        <a:p>
          <a:r>
            <a:rPr lang="en-US" sz="1100" b="0" i="0" u="none" strike="noStrike" baseline="0">
              <a:solidFill>
                <a:schemeClr val="dk1"/>
              </a:solidFill>
              <a:effectLst/>
              <a:latin typeface="+mn-lt"/>
              <a:ea typeface="+mn-ea"/>
              <a:cs typeface="+mn-cs"/>
            </a:rPr>
            <a:t>1. There is not enough evidence to look into the matter and prove or disprove that something negative happened: We don't know who did it, when they did it, where they did, and/or what they really did;</a:t>
          </a:r>
        </a:p>
        <a:p>
          <a:r>
            <a:rPr lang="en-US" sz="1100" b="0" i="0" u="none" strike="noStrike" baseline="0">
              <a:solidFill>
                <a:schemeClr val="dk1"/>
              </a:solidFill>
              <a:effectLst/>
              <a:latin typeface="+mn-lt"/>
              <a:ea typeface="+mn-ea"/>
              <a:cs typeface="+mn-cs"/>
            </a:rPr>
            <a:t>2. Your concern is based on your own perception (the unique way that you see things) but may not be seen the same way as everyone else;</a:t>
          </a:r>
        </a:p>
        <a:p>
          <a:r>
            <a:rPr lang="en-US" sz="1100" b="0" i="0" u="none" strike="noStrike" baseline="0">
              <a:solidFill>
                <a:schemeClr val="dk1"/>
              </a:solidFill>
              <a:effectLst/>
              <a:latin typeface="+mn-lt"/>
              <a:ea typeface="+mn-ea"/>
              <a:cs typeface="+mn-cs"/>
            </a:rPr>
            <a:t>3. There is no indication that something un-therapeutic happened. Life has natural consequences and we can't prevent every single one from occurring.</a:t>
          </a:r>
        </a:p>
        <a:p>
          <a:endParaRPr lang="en-US" sz="1100" b="0" i="0" u="none" strike="noStrike" baseline="0">
            <a:solidFill>
              <a:schemeClr val="dk1"/>
            </a:solidFill>
            <a:effectLst/>
            <a:latin typeface="+mn-lt"/>
            <a:ea typeface="+mn-ea"/>
            <a:cs typeface="+mn-cs"/>
          </a:endParaRPr>
        </a:p>
        <a:p>
          <a:r>
            <a:rPr lang="en-US" sz="1100" b="0" i="0" u="none" strike="noStrike" baseline="0">
              <a:solidFill>
                <a:schemeClr val="dk1"/>
              </a:solidFill>
              <a:effectLst/>
              <a:latin typeface="+mn-lt"/>
              <a:ea typeface="+mn-ea"/>
              <a:cs typeface="+mn-cs"/>
            </a:rPr>
            <a:t>Please know that your concern was still taken seriously and monitored by a supervisor or manager. </a:t>
          </a:r>
        </a:p>
        <a:p>
          <a:endParaRPr lang="en-US" sz="1100" b="0" i="0" u="none" strike="noStrike" baseline="0">
            <a:solidFill>
              <a:schemeClr val="dk1"/>
            </a:solidFill>
            <a:effectLst/>
            <a:latin typeface="+mn-lt"/>
            <a:ea typeface="+mn-ea"/>
            <a:cs typeface="+mn-cs"/>
          </a:endParaRPr>
        </a:p>
        <a:p>
          <a:r>
            <a:rPr lang="en-US" sz="1100" b="1" i="0" u="sng" strike="noStrike" baseline="0">
              <a:solidFill>
                <a:schemeClr val="dk1"/>
              </a:solidFill>
              <a:effectLst/>
              <a:latin typeface="+mn-lt"/>
              <a:ea typeface="+mn-ea"/>
              <a:cs typeface="+mn-cs"/>
            </a:rPr>
            <a:t>Tips for Complaints</a:t>
          </a:r>
        </a:p>
        <a:p>
          <a:r>
            <a:rPr lang="en-US" sz="1100"/>
            <a:t>One of the most popular</a:t>
          </a:r>
          <a:r>
            <a:rPr lang="en-US" sz="1100" baseline="0"/>
            <a:t> reasons for grievances is that it's easier to complain than to solve the problem yourself. This is normal for so many people! You'll get best results if you attempt to solve the problem yourself instead of relying on other people to fix it for you. </a:t>
          </a:r>
        </a:p>
        <a:p>
          <a:endParaRPr lang="en-US" sz="1100" baseline="0"/>
        </a:p>
        <a:p>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7897e9350882158/New%20Hope/users/ec2147/LPA/Grievances/2014%20Records/2014%20LPA%20Report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7897e9350882158/New%20Hope/users/ec2147/LPA/Grievances/2014%20Records/2014%20Complaints%20against%20staff.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d7897e9350882158/New%20Hope/users/ec2147/LPA/Grievances/2014%20Records/2014%20Quarterly%20Grievance%20Trac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olution Template"/>
      <sheetName val="Reports Template"/>
      <sheetName val="January Resolution"/>
      <sheetName val="January Reports"/>
      <sheetName val="February Resolution"/>
      <sheetName val="February Reports"/>
      <sheetName val="March Resolution"/>
      <sheetName val="March Reports"/>
      <sheetName val="April Resolution"/>
      <sheetName val="April Reports"/>
      <sheetName val="May Resolution"/>
      <sheetName val="May Reports"/>
      <sheetName val="June Resolution"/>
      <sheetName val="June Reports"/>
      <sheetName val="July Resolution"/>
      <sheetName val="July Reports"/>
      <sheetName val="August Resolution"/>
      <sheetName val="August Reports"/>
      <sheetName val="September Resolution"/>
      <sheetName val="September Reports"/>
      <sheetName val="October Resolution"/>
      <sheetName val="October Reports"/>
      <sheetName val="November Resolution"/>
      <sheetName val="November Reports"/>
      <sheetName val="December Resolution"/>
      <sheetName val="December  Reports"/>
    </sheetNames>
    <sheetDataSet>
      <sheetData sheetId="0"/>
      <sheetData sheetId="1"/>
      <sheetData sheetId="2"/>
      <sheetData sheetId="3">
        <row r="35">
          <cell r="K35">
            <v>0.27419354838709675</v>
          </cell>
        </row>
        <row r="62">
          <cell r="E62">
            <v>74</v>
          </cell>
        </row>
        <row r="63">
          <cell r="E63">
            <v>49</v>
          </cell>
          <cell r="H63">
            <v>30</v>
          </cell>
          <cell r="M63">
            <v>1</v>
          </cell>
        </row>
        <row r="64">
          <cell r="E64">
            <v>10</v>
          </cell>
          <cell r="H64">
            <v>19</v>
          </cell>
          <cell r="M64">
            <v>2</v>
          </cell>
        </row>
        <row r="65">
          <cell r="E65">
            <v>15</v>
          </cell>
          <cell r="M65">
            <v>4</v>
          </cell>
        </row>
        <row r="66">
          <cell r="E66">
            <v>0</v>
          </cell>
          <cell r="M66">
            <v>3</v>
          </cell>
        </row>
      </sheetData>
      <sheetData sheetId="4"/>
      <sheetData sheetId="5">
        <row r="35">
          <cell r="K35">
            <v>0.2109375</v>
          </cell>
        </row>
        <row r="61">
          <cell r="E61">
            <v>40</v>
          </cell>
        </row>
        <row r="62">
          <cell r="E62">
            <v>28</v>
          </cell>
          <cell r="H62">
            <v>7</v>
          </cell>
          <cell r="M62">
            <v>2</v>
          </cell>
        </row>
        <row r="63">
          <cell r="E63">
            <v>7</v>
          </cell>
          <cell r="H63">
            <v>21</v>
          </cell>
          <cell r="M63">
            <v>2</v>
          </cell>
        </row>
        <row r="64">
          <cell r="E64">
            <v>5</v>
          </cell>
          <cell r="M64">
            <v>3</v>
          </cell>
        </row>
        <row r="65">
          <cell r="E65">
            <v>0</v>
          </cell>
          <cell r="M65">
            <v>0</v>
          </cell>
        </row>
      </sheetData>
      <sheetData sheetId="6"/>
      <sheetData sheetId="7">
        <row r="35">
          <cell r="K35">
            <v>0.21428571428571427</v>
          </cell>
        </row>
        <row r="62">
          <cell r="E62">
            <v>45</v>
          </cell>
        </row>
        <row r="63">
          <cell r="E63">
            <v>22</v>
          </cell>
          <cell r="H63">
            <v>7</v>
          </cell>
          <cell r="M63">
            <v>3</v>
          </cell>
        </row>
        <row r="64">
          <cell r="E64">
            <v>16</v>
          </cell>
          <cell r="H64">
            <v>15</v>
          </cell>
          <cell r="M64">
            <v>4</v>
          </cell>
        </row>
        <row r="65">
          <cell r="E65">
            <v>7</v>
          </cell>
          <cell r="M65">
            <v>6</v>
          </cell>
        </row>
        <row r="66">
          <cell r="E66">
            <v>0</v>
          </cell>
          <cell r="M66">
            <v>3</v>
          </cell>
        </row>
      </sheetData>
      <sheetData sheetId="8"/>
      <sheetData sheetId="9">
        <row r="36">
          <cell r="K36">
            <v>0.23214285714285715</v>
          </cell>
        </row>
        <row r="64">
          <cell r="E64">
            <v>61</v>
          </cell>
        </row>
        <row r="65">
          <cell r="E65">
            <v>38</v>
          </cell>
          <cell r="H65">
            <v>19</v>
          </cell>
          <cell r="M65">
            <v>2</v>
          </cell>
        </row>
        <row r="66">
          <cell r="E66">
            <v>7</v>
          </cell>
          <cell r="H66">
            <v>19</v>
          </cell>
          <cell r="M66">
            <v>2</v>
          </cell>
        </row>
        <row r="67">
          <cell r="E67">
            <v>16</v>
          </cell>
          <cell r="M67">
            <v>1</v>
          </cell>
        </row>
        <row r="68">
          <cell r="E68">
            <v>0</v>
          </cell>
          <cell r="M68">
            <v>2</v>
          </cell>
        </row>
      </sheetData>
      <sheetData sheetId="10"/>
      <sheetData sheetId="11">
        <row r="35">
          <cell r="K35">
            <v>0.21621621621621623</v>
          </cell>
        </row>
        <row r="62">
          <cell r="E62">
            <v>32</v>
          </cell>
        </row>
        <row r="63">
          <cell r="E63">
            <v>20</v>
          </cell>
          <cell r="H63">
            <v>12</v>
          </cell>
          <cell r="M63">
            <v>1</v>
          </cell>
        </row>
        <row r="64">
          <cell r="E64">
            <v>7</v>
          </cell>
          <cell r="H64">
            <v>8</v>
          </cell>
          <cell r="M64">
            <v>3</v>
          </cell>
        </row>
        <row r="65">
          <cell r="E65">
            <v>5</v>
          </cell>
          <cell r="M65">
            <v>1</v>
          </cell>
        </row>
        <row r="66">
          <cell r="E66">
            <v>0</v>
          </cell>
          <cell r="M66">
            <v>2</v>
          </cell>
        </row>
      </sheetData>
      <sheetData sheetId="12"/>
      <sheetData sheetId="13">
        <row r="35">
          <cell r="K35">
            <v>0.34259259259259262</v>
          </cell>
        </row>
        <row r="62">
          <cell r="E62">
            <v>70</v>
          </cell>
        </row>
        <row r="63">
          <cell r="E63">
            <v>51</v>
          </cell>
          <cell r="H63">
            <v>28</v>
          </cell>
          <cell r="M63">
            <v>2</v>
          </cell>
        </row>
        <row r="64">
          <cell r="E64">
            <v>8</v>
          </cell>
          <cell r="H64">
            <v>23</v>
          </cell>
          <cell r="M64">
            <v>0</v>
          </cell>
        </row>
        <row r="65">
          <cell r="E65">
            <v>11</v>
          </cell>
          <cell r="M65">
            <v>3</v>
          </cell>
        </row>
        <row r="66">
          <cell r="E66">
            <v>0</v>
          </cell>
          <cell r="M66">
            <v>3</v>
          </cell>
        </row>
      </sheetData>
      <sheetData sheetId="14"/>
      <sheetData sheetId="15">
        <row r="39">
          <cell r="K39">
            <v>0.15873015873015872</v>
          </cell>
        </row>
        <row r="67">
          <cell r="M67">
            <v>1</v>
          </cell>
        </row>
        <row r="68">
          <cell r="E68">
            <v>2</v>
          </cell>
          <cell r="H68">
            <v>5</v>
          </cell>
          <cell r="M68">
            <v>0</v>
          </cell>
        </row>
        <row r="69">
          <cell r="E69">
            <v>4</v>
          </cell>
          <cell r="M69">
            <v>1</v>
          </cell>
        </row>
        <row r="70">
          <cell r="M70">
            <v>0</v>
          </cell>
        </row>
      </sheetData>
      <sheetData sheetId="16"/>
      <sheetData sheetId="17">
        <row r="39">
          <cell r="K39">
            <v>0.14173228346456693</v>
          </cell>
        </row>
      </sheetData>
      <sheetData sheetId="18"/>
      <sheetData sheetId="19">
        <row r="39">
          <cell r="K39">
            <v>0.17322834645669291</v>
          </cell>
        </row>
      </sheetData>
      <sheetData sheetId="20"/>
      <sheetData sheetId="21">
        <row r="39">
          <cell r="K39">
            <v>0.31007751937984496</v>
          </cell>
        </row>
      </sheetData>
      <sheetData sheetId="22"/>
      <sheetData sheetId="23">
        <row r="39">
          <cell r="K39">
            <v>0.13333333333333333</v>
          </cell>
        </row>
      </sheetData>
      <sheetData sheetId="24"/>
      <sheetData sheetId="2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2013 By Staff"/>
      <sheetName val="2014 By Staff"/>
      <sheetName val="Dismissed"/>
      <sheetName val="January"/>
      <sheetName val="February"/>
      <sheetName val="March"/>
      <sheetName val="April"/>
      <sheetName val="May"/>
      <sheetName val="June"/>
      <sheetName val="July"/>
      <sheetName val="August"/>
      <sheetName val="September"/>
      <sheetName val="October"/>
      <sheetName val="November"/>
      <sheetName val="December"/>
    </sheetNames>
    <sheetDataSet>
      <sheetData sheetId="0"/>
      <sheetData sheetId="1"/>
      <sheetData sheetId="2"/>
      <sheetData sheetId="3"/>
      <sheetData sheetId="4"/>
      <sheetData sheetId="5"/>
      <sheetData sheetId="6"/>
      <sheetData sheetId="7"/>
      <sheetData sheetId="8"/>
      <sheetData sheetId="9">
        <row r="3">
          <cell r="B3">
            <v>24</v>
          </cell>
          <cell r="E3">
            <v>18</v>
          </cell>
        </row>
        <row r="4">
          <cell r="E4">
            <v>13</v>
          </cell>
        </row>
        <row r="7">
          <cell r="G7">
            <v>0</v>
          </cell>
        </row>
      </sheetData>
      <sheetData sheetId="10">
        <row r="2">
          <cell r="G2">
            <v>8</v>
          </cell>
        </row>
        <row r="3">
          <cell r="B3">
            <v>30</v>
          </cell>
          <cell r="E3">
            <v>20</v>
          </cell>
          <cell r="G3">
            <v>2</v>
          </cell>
        </row>
        <row r="4">
          <cell r="E4">
            <v>16</v>
          </cell>
          <cell r="G4">
            <v>4</v>
          </cell>
        </row>
        <row r="5">
          <cell r="E5">
            <v>4</v>
          </cell>
          <cell r="G5">
            <v>1</v>
          </cell>
        </row>
        <row r="6">
          <cell r="G6">
            <v>1</v>
          </cell>
        </row>
        <row r="7">
          <cell r="E7">
            <v>2</v>
          </cell>
          <cell r="G7">
            <v>0</v>
          </cell>
        </row>
      </sheetData>
      <sheetData sheetId="11">
        <row r="2">
          <cell r="G2">
            <v>5</v>
          </cell>
        </row>
        <row r="3">
          <cell r="B3">
            <v>38</v>
          </cell>
          <cell r="E3">
            <v>30</v>
          </cell>
          <cell r="G3">
            <v>0</v>
          </cell>
        </row>
        <row r="4">
          <cell r="E4">
            <v>17</v>
          </cell>
          <cell r="G4">
            <v>1</v>
          </cell>
        </row>
        <row r="5">
          <cell r="E5">
            <v>13</v>
          </cell>
          <cell r="G5">
            <v>1</v>
          </cell>
        </row>
        <row r="6">
          <cell r="G6">
            <v>3</v>
          </cell>
        </row>
        <row r="7">
          <cell r="E7">
            <v>3</v>
          </cell>
          <cell r="G7">
            <v>0</v>
          </cell>
        </row>
      </sheetData>
      <sheetData sheetId="12">
        <row r="2">
          <cell r="G2">
            <v>7</v>
          </cell>
        </row>
        <row r="3">
          <cell r="B3">
            <v>45</v>
          </cell>
          <cell r="E3">
            <v>36</v>
          </cell>
          <cell r="G3">
            <v>1</v>
          </cell>
        </row>
        <row r="4">
          <cell r="E4">
            <v>20</v>
          </cell>
          <cell r="G4">
            <v>2</v>
          </cell>
        </row>
        <row r="5">
          <cell r="E5">
            <v>16</v>
          </cell>
          <cell r="G5">
            <v>3</v>
          </cell>
        </row>
        <row r="6">
          <cell r="G6">
            <v>2</v>
          </cell>
        </row>
        <row r="7">
          <cell r="E7">
            <v>2</v>
          </cell>
          <cell r="G7">
            <v>0</v>
          </cell>
        </row>
      </sheetData>
      <sheetData sheetId="13">
        <row r="2">
          <cell r="G2">
            <v>2</v>
          </cell>
        </row>
        <row r="3">
          <cell r="B3">
            <v>35</v>
          </cell>
          <cell r="E3">
            <v>22</v>
          </cell>
          <cell r="G3">
            <v>0</v>
          </cell>
        </row>
        <row r="4">
          <cell r="E4">
            <v>12</v>
          </cell>
          <cell r="G4">
            <v>0</v>
          </cell>
        </row>
        <row r="5">
          <cell r="E5">
            <v>10</v>
          </cell>
          <cell r="G5">
            <v>1</v>
          </cell>
        </row>
        <row r="6">
          <cell r="G6">
            <v>1</v>
          </cell>
        </row>
        <row r="7">
          <cell r="E7">
            <v>11</v>
          </cell>
          <cell r="G7">
            <v>0</v>
          </cell>
        </row>
      </sheetData>
      <sheetData sheetId="14">
        <row r="2">
          <cell r="G2">
            <v>4</v>
          </cell>
        </row>
        <row r="3">
          <cell r="B3">
            <v>57</v>
          </cell>
          <cell r="E3">
            <v>39</v>
          </cell>
          <cell r="G3">
            <v>0</v>
          </cell>
        </row>
        <row r="4">
          <cell r="E4">
            <v>20</v>
          </cell>
          <cell r="G4">
            <v>3</v>
          </cell>
        </row>
        <row r="5">
          <cell r="E5">
            <v>19</v>
          </cell>
          <cell r="G5">
            <v>1</v>
          </cell>
        </row>
        <row r="6">
          <cell r="G6">
            <v>0</v>
          </cell>
        </row>
        <row r="7">
          <cell r="E7">
            <v>14</v>
          </cell>
          <cell r="G7">
            <v>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Q1 Report"/>
      <sheetName val="Q2 Report"/>
      <sheetName val="Q3 Report"/>
      <sheetName val="Q4 Report"/>
      <sheetName val="2014 Year"/>
      <sheetName val="Sheet1"/>
      <sheetName val="Sheet2"/>
    </sheetNames>
    <sheetDataSet>
      <sheetData sheetId="0"/>
      <sheetData sheetId="1"/>
      <sheetData sheetId="2"/>
      <sheetData sheetId="3"/>
      <sheetData sheetId="4">
        <row r="3">
          <cell r="C3" t="str">
            <v>Jan</v>
          </cell>
          <cell r="D3" t="str">
            <v>Feb</v>
          </cell>
          <cell r="E3" t="str">
            <v>Mar</v>
          </cell>
          <cell r="F3" t="str">
            <v>Apr</v>
          </cell>
          <cell r="G3" t="str">
            <v>May</v>
          </cell>
          <cell r="H3" t="str">
            <v>June</v>
          </cell>
          <cell r="I3" t="str">
            <v>July</v>
          </cell>
          <cell r="J3" t="str">
            <v>Aug</v>
          </cell>
          <cell r="K3" t="str">
            <v>Sept</v>
          </cell>
          <cell r="L3" t="str">
            <v>Oct</v>
          </cell>
          <cell r="M3" t="str">
            <v>Nov</v>
          </cell>
          <cell r="N3" t="str">
            <v>Dec</v>
          </cell>
        </row>
        <row r="4">
          <cell r="A4" t="b">
            <v>0</v>
          </cell>
          <cell r="C4">
            <v>49</v>
          </cell>
          <cell r="D4">
            <v>28</v>
          </cell>
          <cell r="E4">
            <v>22</v>
          </cell>
          <cell r="F4">
            <v>38</v>
          </cell>
          <cell r="G4">
            <v>20</v>
          </cell>
          <cell r="H4">
            <v>51</v>
          </cell>
          <cell r="I4">
            <v>18</v>
          </cell>
          <cell r="J4">
            <v>20</v>
          </cell>
          <cell r="K4">
            <v>30</v>
          </cell>
          <cell r="L4">
            <v>36</v>
          </cell>
          <cell r="M4">
            <v>22</v>
          </cell>
          <cell r="N4">
            <v>39</v>
          </cell>
          <cell r="Q4">
            <v>373</v>
          </cell>
          <cell r="R4" t="b">
            <v>0</v>
          </cell>
        </row>
        <row r="5">
          <cell r="A5" t="str">
            <v>- Deliberately</v>
          </cell>
          <cell r="O5">
            <v>201</v>
          </cell>
          <cell r="Q5">
            <v>83</v>
          </cell>
          <cell r="R5" t="b">
            <v>1</v>
          </cell>
        </row>
        <row r="6">
          <cell r="A6" t="str">
            <v>-Misunderstanding</v>
          </cell>
          <cell r="O6">
            <v>172</v>
          </cell>
          <cell r="Q6">
            <v>95</v>
          </cell>
          <cell r="R6" t="str">
            <v>Inconclusive</v>
          </cell>
        </row>
        <row r="7">
          <cell r="A7" t="b">
            <v>1</v>
          </cell>
          <cell r="C7">
            <v>10</v>
          </cell>
          <cell r="D7">
            <v>7</v>
          </cell>
          <cell r="E7">
            <v>16</v>
          </cell>
          <cell r="F7">
            <v>7</v>
          </cell>
          <cell r="G7">
            <v>7</v>
          </cell>
          <cell r="H7">
            <v>8</v>
          </cell>
          <cell r="I7">
            <v>2</v>
          </cell>
          <cell r="J7">
            <v>8</v>
          </cell>
          <cell r="K7">
            <v>5</v>
          </cell>
          <cell r="L7">
            <v>7</v>
          </cell>
          <cell r="M7">
            <v>2</v>
          </cell>
          <cell r="N7">
            <v>4</v>
          </cell>
          <cell r="Q7">
            <v>0</v>
          </cell>
          <cell r="R7" t="str">
            <v>Pending</v>
          </cell>
        </row>
        <row r="8">
          <cell r="A8" t="str">
            <v>-Rights Violations</v>
          </cell>
          <cell r="O8">
            <v>15</v>
          </cell>
        </row>
        <row r="9">
          <cell r="A9" t="str">
            <v>-Policy Violations</v>
          </cell>
          <cell r="O9">
            <v>23</v>
          </cell>
        </row>
        <row r="10">
          <cell r="A10" t="str">
            <v>-Anti-Therapeutic</v>
          </cell>
          <cell r="O10">
            <v>26</v>
          </cell>
        </row>
        <row r="11">
          <cell r="A11" t="str">
            <v>-Other/ Misc</v>
          </cell>
          <cell r="O11">
            <v>20</v>
          </cell>
        </row>
        <row r="12">
          <cell r="A12" t="str">
            <v>INCONCLUSIVE</v>
          </cell>
          <cell r="C12">
            <v>15</v>
          </cell>
          <cell r="D12">
            <v>5</v>
          </cell>
          <cell r="E12">
            <v>7</v>
          </cell>
          <cell r="F12">
            <v>16</v>
          </cell>
          <cell r="G12">
            <v>5</v>
          </cell>
          <cell r="H12">
            <v>11</v>
          </cell>
          <cell r="I12">
            <v>4</v>
          </cell>
          <cell r="J12">
            <v>2</v>
          </cell>
          <cell r="K12">
            <v>3</v>
          </cell>
          <cell r="L12">
            <v>2</v>
          </cell>
          <cell r="M12">
            <v>11</v>
          </cell>
          <cell r="N12">
            <v>14</v>
          </cell>
        </row>
        <row r="14">
          <cell r="A14" t="str">
            <v>Total</v>
          </cell>
          <cell r="C14">
            <v>74</v>
          </cell>
          <cell r="D14">
            <v>40</v>
          </cell>
          <cell r="E14">
            <v>45</v>
          </cell>
          <cell r="F14">
            <v>61</v>
          </cell>
          <cell r="G14">
            <v>32</v>
          </cell>
          <cell r="H14">
            <v>70</v>
          </cell>
          <cell r="I14">
            <v>24</v>
          </cell>
          <cell r="J14">
            <v>30</v>
          </cell>
          <cell r="K14">
            <v>38</v>
          </cell>
          <cell r="L14">
            <v>45</v>
          </cell>
          <cell r="M14">
            <v>35</v>
          </cell>
          <cell r="N14">
            <v>57</v>
          </cell>
        </row>
      </sheetData>
      <sheetData sheetId="5"/>
      <sheetData sheetId="6"/>
    </sheetDataSet>
  </externalBook>
</externalLink>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Eve Coker" refreshedDate="45763.683275925927" createdVersion="4" refreshedVersion="8" minRefreshableVersion="3" recordCount="6" xr:uid="{00000000-000A-0000-FFFF-FFFF22000000}">
  <cacheSource type="worksheet">
    <worksheetSource name="Table13"/>
  </cacheSource>
  <cacheFields count="36">
    <cacheField name="Case #" numFmtId="1">
      <sharedItems containsString="0" containsBlank="1" containsNumber="1" minValue="1" maxValue="730" count="832">
        <n v="1"/>
        <n v="2"/>
        <n v="3"/>
        <n v="4"/>
        <m/>
        <n v="582" u="1"/>
        <n v="517" u="1"/>
        <n v="482" u="1"/>
        <n v="91.1" u="1"/>
        <n v="340.4" u="1"/>
        <n v="417" u="1"/>
        <n v="25" u="1"/>
        <n v="94" u="1"/>
        <n v="281.2" u="1"/>
        <n v="287" u="1"/>
        <n v="239" u="1"/>
        <n v="168.2" u="1"/>
        <n v="713" u="1"/>
        <n v="174" u="1"/>
        <n v="648" u="1"/>
        <n v="583" u="1"/>
        <n v="518" u="1"/>
        <n v="450" u="1"/>
        <n v="270.10000000000002" u="1"/>
        <n v="86" u="1"/>
        <n v="320" u="1"/>
        <n v="223" u="1"/>
        <n v="498.1" u="1"/>
        <n v="714" u="1"/>
        <n v="649" u="1"/>
        <n v="158" u="1"/>
        <n v="584" u="1"/>
        <n v="519" u="1"/>
        <n v="483" u="1"/>
        <n v="418" u="1"/>
        <n v="353" u="1"/>
        <n v="282.2" u="1"/>
        <n v="21" u="1"/>
        <n v="78" u="1"/>
        <n v="288" u="1"/>
        <n v="207" u="1"/>
        <n v="715" u="1"/>
        <n v="650" u="1"/>
        <n v="585" u="1"/>
        <n v="520" u="1"/>
        <n v="451" u="1"/>
        <n v="386" u="1"/>
        <n v="67.099999999999994" u="1"/>
        <n v="321" u="1"/>
        <n v="19" u="1"/>
        <n v="70" u="1"/>
        <n v="256" u="1"/>
        <n v="185.2" u="1"/>
        <n v="499.1" u="1"/>
        <n v="191" u="1"/>
        <n v="716" u="1"/>
        <n v="124.1" u="1"/>
        <n v="28.1" u="1"/>
        <n v="651" u="1"/>
        <n v="586" u="1"/>
        <n v="478.2" u="1"/>
        <n v="127" u="1"/>
        <n v="484" u="1"/>
        <n v="419" u="1"/>
        <n v="354" u="1"/>
        <n v="289" u="1"/>
        <n v="17" u="1"/>
        <n v="63" u="1"/>
        <n v="240" u="1"/>
        <n v="169.2" u="1"/>
        <n v="172.1" u="1"/>
        <n v="717" u="1"/>
        <n v="175" u="1"/>
        <n v="522" u="1"/>
        <n v="119" u="1"/>
        <n v="452" u="1"/>
        <n v="387" u="1"/>
        <n v="215.3" u="1"/>
        <n v="257" u="1"/>
        <n v="59" u="1"/>
        <n v="224" u="1"/>
        <n v="718" u="1"/>
        <n v="653" u="1"/>
        <n v="588" u="1"/>
        <n v="24.1" u="1"/>
        <n v="523" u="1"/>
        <n v="485" u="1"/>
        <n v="414.2" u="1"/>
        <n v="111" u="1"/>
        <n v="420" u="1"/>
        <n v="355" u="1"/>
        <n v="322.5" u="1"/>
        <n v="290" u="1"/>
        <n v="205.1" u="1"/>
        <n v="55" u="1"/>
        <n v="719" u="1"/>
        <n v="654" u="1"/>
        <n v="589" u="1"/>
        <n v="143" u="1"/>
        <n v="524" u="1"/>
        <n v="100.1" u="1"/>
        <n v="568.1" u="1"/>
        <n v="453" u="1"/>
        <n v="103" u="1"/>
        <n v="388" u="1"/>
        <n v="323" u="1"/>
        <n v="258" u="1"/>
        <n v="192" u="1"/>
        <n v="720" u="1"/>
        <n v="655" u="1"/>
        <n v="590" u="1"/>
        <n v="480.2" u="1"/>
        <n v="525" u="1"/>
        <n v="569.1" u="1"/>
        <n v="486" u="1"/>
        <n v="92.1" u="1"/>
        <n v="95" u="1"/>
        <n v="356" u="1"/>
        <n v="80.2" u="1"/>
        <n v="241" u="1"/>
        <n v="208.5" u="1"/>
        <n v="47" u="1"/>
        <n v="721" u="1"/>
        <n v="176" u="1"/>
        <n v="591" u="1"/>
        <n v="526" u="1"/>
        <n v="454" u="1"/>
        <n v="389" u="1"/>
        <n v="318.2" u="1"/>
        <n v="324" u="1"/>
        <n v="259" u="1"/>
        <n v="225" u="1"/>
        <n v="557.20000000000005" u="1"/>
        <n v="502.1" u="1"/>
        <n v="157.1" u="1"/>
        <n v="722" u="1"/>
        <n v="43" u="1"/>
        <n v="657" u="1"/>
        <n v="160" u="1"/>
        <n v="592" u="1"/>
        <n v="527" u="1"/>
        <n v="487" u="1"/>
        <n v="422" u="1"/>
        <n v="357" u="1"/>
        <n v="79" u="1"/>
        <n v="292" u="1"/>
        <n v="209" u="1"/>
        <n v="138.19999999999999" u="1"/>
        <n v="723" u="1"/>
        <n v="658" u="1"/>
        <n v="39" u="1"/>
        <n v="593" u="1"/>
        <n v="144" u="1"/>
        <n v="528" u="1"/>
        <n v="340.1" u="1"/>
        <n v="455" u="1"/>
        <n v="390" u="1"/>
        <n v="325" u="1"/>
        <n v="71" u="1"/>
        <n v="260" u="1"/>
        <n v="624.20000000000005" u="1"/>
        <n v="559.20000000000005" u="1"/>
        <n v="193" u="1"/>
        <n v="659" u="1"/>
        <n v="594" u="1"/>
        <n v="35" u="1"/>
        <n v="529" u="1"/>
        <n v="128" u="1"/>
        <n v="488" u="1"/>
        <n v="2.1" u="1"/>
        <n v="423" u="1"/>
        <n v="352.2" u="1"/>
        <n v="358" u="1"/>
        <n v="293" u="1"/>
        <n v="168.3" u="1"/>
        <n v="242" u="1"/>
        <n v="471.1" u="1"/>
        <n v="725" u="1"/>
        <n v="177" u="1"/>
        <n v="595" u="1"/>
        <n v="530" u="1"/>
        <n v="120" u="1"/>
        <n v="456" u="1"/>
        <n v="385.2" u="1"/>
        <n v="391" u="1"/>
        <n v="105.2" u="1"/>
        <n v="364.3" u="1"/>
        <n v="261" u="1"/>
        <n v="226" u="1"/>
        <n v="726" u="1"/>
        <n v="161" u="1"/>
        <n v="596" u="1"/>
        <n v="531" u="1"/>
        <n v="489" u="1"/>
        <n v="112" u="1"/>
        <n v="424" u="1"/>
        <n v="359" u="1"/>
        <n v="294" u="1"/>
        <n v="210" u="1"/>
        <n v="727" u="1"/>
        <n v="142.1" u="1"/>
        <n v="597" u="1"/>
        <n v="145" u="1"/>
        <n v="532" u="1"/>
        <n v="104" u="1"/>
        <n v="392" u="1"/>
        <n v="262" u="1"/>
        <n v="542.29999999999995" u="1"/>
        <n v="728" u="1"/>
        <n v="598" u="1"/>
        <n v="533" u="1"/>
        <n v="490" u="1"/>
        <n v="425" u="1"/>
        <n v="96" u="1"/>
        <n v="360" u="1"/>
        <n v="295" u="1"/>
        <n v="243" u="1"/>
        <n v="172.2" u="1"/>
        <n v="729" u="1"/>
        <n v="178" u="1"/>
        <n v="599" u="1"/>
        <n v="458" u="1"/>
        <n v="393" u="1"/>
        <n v="322.2" u="1"/>
        <n v="88" u="1"/>
        <n v="328" u="1"/>
        <n v="263" u="1"/>
        <n v="73.2" u="1"/>
        <n v="227" u="1"/>
        <n v="33.200000000000003" u="1"/>
        <n v="159.1" u="1"/>
        <n v="730" u="1"/>
        <n v="162" u="1"/>
        <n v="600" u="1"/>
        <n v="426" u="1"/>
        <n v="464.3" u="1"/>
        <n v="361" u="1"/>
        <n v="296" u="1"/>
        <n v="1.3" u="1"/>
        <n v="205.2" u="1"/>
        <n v="208.1" u="1"/>
        <n v="211" u="1"/>
        <n v="2.2000000000000002" u="1"/>
        <n v="601" u="1"/>
        <n v="7.1" u="1"/>
        <n v="146" u="1"/>
        <n v="536" u="1"/>
        <n v="459" u="1"/>
        <n v="23.2" u="1"/>
        <n v="394" u="1"/>
        <n v="329" u="1"/>
        <n v="72" u="1"/>
        <n v="264" u="1"/>
        <n v="195" u="1"/>
        <n v="126.1" u="1"/>
        <n v="602" u="1"/>
        <n v="537" u="1"/>
        <n v="130" u="1"/>
        <n v="492" u="1"/>
        <n v="421.2" u="1"/>
        <n v="427" u="1"/>
        <n v="362" u="1"/>
        <n v="291.2" u="1"/>
        <n v="297" u="1"/>
        <n v="64" u="1"/>
        <n v="244" u="1"/>
        <n v="568.20000000000005" u="1"/>
        <n v="179" u="1"/>
        <n v="603" u="1"/>
        <n v="538" u="1"/>
        <n v="121" u="1"/>
        <n v="460" u="1"/>
        <n v="498.3" u="1"/>
        <n v="395" u="1"/>
        <n v="330" u="1"/>
        <n v="265" u="1"/>
        <n v="60" u="1"/>
        <n v="228" u="1"/>
        <n v="569.20000000000005" u="1"/>
        <n v="157.19999999999999" u="1"/>
        <n v="443.1" u="1"/>
        <n v="163" u="1"/>
        <n v="604" u="1"/>
        <n v="539" u="1"/>
        <n v="493" u="1"/>
        <n v="113" u="1"/>
        <n v="428" u="1"/>
        <n v="363" u="1"/>
        <n v="56" u="1"/>
        <n v="212" u="1"/>
        <n v="670" u="1"/>
        <n v="605" u="1"/>
        <n v="147" u="1"/>
        <n v="540" u="1"/>
        <n v="461" u="1"/>
        <n v="281.10000000000002" u="1"/>
        <n v="396" u="1"/>
        <n v="331" u="1"/>
        <n v="266" u="1"/>
        <n v="52" u="1"/>
        <n v="196" u="1"/>
        <n v="671" u="1"/>
        <n v="606" u="1"/>
        <n v="541" u="1"/>
        <n v="494" u="1"/>
        <n v="429" u="1"/>
        <n v="97" u="1"/>
        <n v="299" u="1"/>
        <n v="245" u="1"/>
        <n v="48" u="1"/>
        <n v="180" u="1"/>
        <n v="672" u="1"/>
        <n v="607" u="1"/>
        <n v="385.4" u="1"/>
        <n v="521.1" u="1"/>
        <n v="462" u="1"/>
        <n v="282.10000000000002" u="1"/>
        <n v="397" u="1"/>
        <n v="326.2" u="1"/>
        <n v="89" u="1"/>
        <n v="332" u="1"/>
        <n v="267" u="1"/>
        <n v="229" u="1"/>
        <n v="44" u="1"/>
        <n v="673" u="1"/>
        <n v="164" u="1"/>
        <n v="608" u="1"/>
        <n v="652.1" u="1"/>
        <n v="543" u="1"/>
        <n v="587.1" u="1"/>
        <n v="495" u="1"/>
        <n v="430" u="1"/>
        <n v="365" u="1"/>
        <n v="81" u="1"/>
        <n v="300" u="1"/>
        <n v="213" u="1"/>
        <n v="142.19999999999999" u="1"/>
        <n v="478.1" u="1"/>
        <n v="674" u="1"/>
        <n v="40" u="1"/>
        <n v="609" u="1"/>
        <n v="148" u="1"/>
        <n v="544" u="1"/>
        <n v="457.2" u="1"/>
        <n v="463" u="1"/>
        <n v="123.2" u="1"/>
        <n v="1.1000000000000001" u="1"/>
        <n v="398" u="1"/>
        <n v="333" u="1"/>
        <n v="73" u="1"/>
        <n v="268" u="1"/>
        <n v="194.1" u="1"/>
        <n v="197" u="1"/>
        <n v="675" u="1"/>
        <n v="129.1" u="1"/>
        <n v="610" u="1"/>
        <n v="36" u="1"/>
        <n v="545" u="1"/>
        <n v="132" u="1"/>
        <n v="431" u="1"/>
        <n v="115.2" u="1"/>
        <n v="366" u="1"/>
        <n v="54.2" u="1"/>
        <n v="301" u="1"/>
        <n v="65" u="1"/>
        <n v="246" u="1"/>
        <n v="181" u="1"/>
        <n v="676" u="1"/>
        <n v="414.1" u="1"/>
        <n v="611" u="1"/>
        <n v="546" u="1"/>
        <n v="32" u="1"/>
        <n v="122" u="1"/>
        <n v="322.39999999999998" u="1"/>
        <n v="399" u="1"/>
        <n v="334" u="1"/>
        <n v="269" u="1"/>
        <n v="230" u="1"/>
        <n v="159.19999999999999" u="1"/>
        <n v="677" u="1"/>
        <n v="165" u="1"/>
        <n v="612" u="1"/>
        <n v="491.2" u="1"/>
        <n v="656.1" u="1"/>
        <n v="547" u="1"/>
        <n v="30" u="1"/>
        <n v="114" u="1"/>
        <n v="432" u="1"/>
        <n v="367" u="1"/>
        <n v="205.3" u="1"/>
        <n v="302" u="1"/>
        <n v="340.3" u="1"/>
        <n v="208.2" u="1"/>
        <n v="214" u="1"/>
        <n v="480.1" u="1"/>
        <n v="678" u="1"/>
        <n v="613" u="1"/>
        <n v="149" u="1"/>
        <n v="548" u="1"/>
        <n v="465" u="1"/>
        <n v="106" u="1"/>
        <n v="400" u="1"/>
        <n v="335" u="1"/>
        <n v="91.2" u="1"/>
        <n v="198" u="1"/>
        <n v="679" u="1"/>
        <n v="614" u="1"/>
        <n v="549" u="1"/>
        <n v="133" u="1"/>
        <n v="318.10000000000002" u="1"/>
        <n v="433" u="1"/>
        <n v="26" u="1"/>
        <n v="98" u="1"/>
        <n v="368" u="1"/>
        <n v="303" u="1"/>
        <n v="247" u="1"/>
        <n v="624.29999999999995" u="1"/>
        <n v="182" u="1"/>
        <n v="680" u="1"/>
        <n v="724.1" u="1"/>
        <n v="615" u="1"/>
        <n v="550" u="1"/>
        <n v="466" u="1"/>
        <n v="87.1" u="1"/>
        <n v="401" u="1"/>
        <n v="90" u="1"/>
        <n v="336" u="1"/>
        <n v="271" u="1"/>
        <n v="157.30000000000001" u="1"/>
        <n v="231" u="1"/>
        <n v="681" u="1"/>
        <n v="166" u="1"/>
        <n v="616" u="1"/>
        <n v="551" u="1"/>
        <n v="434" u="1"/>
        <n v="369" u="1"/>
        <n v="298.2" u="1"/>
        <n v="22" u="1"/>
        <n v="82" u="1"/>
        <n v="304" u="1"/>
        <n v="67.2" u="1"/>
        <n v="682" u="1"/>
        <n v="617" u="1"/>
        <n v="150" u="1"/>
        <n v="552" u="1"/>
        <n v="352.1" u="1"/>
        <n v="33.1" u="1"/>
        <n v="467" u="1"/>
        <n v="124.2" u="1"/>
        <n v="402" u="1"/>
        <n v="337" u="1"/>
        <n v="20" u="1"/>
        <n v="74" u="1"/>
        <n v="272" u="1"/>
        <n v="51.3" u="1"/>
        <n v="199" u="1"/>
        <n v="683" u="1"/>
        <n v="131.1" u="1"/>
        <n v="618" u="1"/>
        <n v="385.1" u="1"/>
        <n v="553" u="1"/>
        <n v="134" u="1"/>
        <n v="500" u="1"/>
        <n v="435" u="1"/>
        <n v="364.2" u="1"/>
        <n v="370" u="1"/>
        <n v="305" u="1"/>
        <n v="18" u="1"/>
        <n v="66" u="1"/>
        <n v="248" u="1"/>
        <n v="183" u="1"/>
        <n v="684" u="1"/>
        <n v="542.4" u="1"/>
        <n v="619" u="1"/>
        <n v="554" u="1"/>
        <n v="105.3" u="1"/>
        <n v="468" u="1"/>
        <n v="403" u="1"/>
        <n v="338" u="1"/>
        <n v="273" u="1"/>
        <n v="16" u="1"/>
        <n v="61" u="1"/>
        <n v="232" u="1"/>
        <n v="685" u="1"/>
        <n v="167" u="1"/>
        <n v="620" u="1"/>
        <n v="555" u="1"/>
        <n v="501" u="1"/>
        <n v="534.1" u="1"/>
        <n v="436" u="1"/>
        <n v="371" u="1"/>
        <n v="100.2" u="1"/>
        <n v="306" u="1"/>
        <n v="15" u="1"/>
        <n v="57" u="1"/>
        <n v="216" u="1"/>
        <n v="521.20000000000005" u="1"/>
        <n v="686" u="1"/>
        <n v="621" u="1"/>
        <n v="151" u="1"/>
        <n v="556" u="1"/>
        <n v="23.1" u="1"/>
        <n v="535.1" u="1"/>
        <n v="469" u="1"/>
        <n v="107" u="1"/>
        <n v="404" u="1"/>
        <n v="339" u="1"/>
        <n v="92.2" u="1"/>
        <n v="268.2" u="1"/>
        <n v="274" u="1"/>
        <n v="194.2" u="1"/>
        <n v="652.20000000000005" u="1"/>
        <n v="587.20000000000005" u="1"/>
        <n v="14" u="1"/>
        <n v="53" u="1"/>
        <n v="200" u="1"/>
        <n v="129.19999999999999" u="1"/>
        <n v="687" u="1"/>
        <n v="622" u="1"/>
        <n v="496.2" u="1"/>
        <n v="135" u="1"/>
        <n v="322.10000000000002" u="1"/>
        <n v="437" u="1"/>
        <n v="99" u="1"/>
        <n v="372" u="1"/>
        <n v="307" u="1"/>
        <n v="249" u="1"/>
        <n v="13" u="1"/>
        <n v="49" u="1"/>
        <n v="184" u="1"/>
        <n v="688" u="1"/>
        <n v="623" u="1"/>
        <n v="558" u="1"/>
        <n v="464.2" u="1"/>
        <n v="470" u="1"/>
        <n v="405" u="1"/>
        <n v="275" u="1"/>
        <n v="233" u="1"/>
        <n v="12" u="1"/>
        <n v="45" u="1"/>
        <n v="689" u="1"/>
        <n v="497.2" u="1"/>
        <n v="559" u="1"/>
        <n v="503" u="1"/>
        <n v="438" u="1"/>
        <n v="80.099999999999994" u="1"/>
        <n v="373" u="1"/>
        <n v="340.5" u="1"/>
        <n v="83" u="1"/>
        <n v="208.3" u="1"/>
        <n v="308" u="1"/>
        <n v="217" u="1"/>
        <n v="690" u="1"/>
        <n v="11" u="1"/>
        <n v="41" u="1"/>
        <n v="421.1" u="1"/>
        <n v="625" u="1"/>
        <n v="152" u="1"/>
        <n v="560" u="1"/>
        <n v="291.10000000000002" u="1"/>
        <n v="406" u="1"/>
        <n v="341" u="1"/>
        <n v="270.2" u="1"/>
        <n v="75" u="1"/>
        <n v="276" u="1"/>
        <n v="656.2" u="1"/>
        <n v="201" u="1"/>
        <n v="691" u="1"/>
        <n v="626" u="1"/>
        <n v="10" u="1"/>
        <n v="498.2" u="1"/>
        <n v="37" u="1"/>
        <n v="561" u="1"/>
        <n v="136" u="1"/>
        <n v="504" u="1"/>
        <n v="439" u="1"/>
        <n v="374" u="1"/>
        <n v="309" u="1"/>
        <n v="250" u="1"/>
        <n v="692" u="1"/>
        <n v="627" u="1"/>
        <n v="562" u="1"/>
        <n v="9" u="1"/>
        <n v="124" u="1"/>
        <n v="472" u="1"/>
        <n v="407" u="1"/>
        <n v="342" u="1"/>
        <n v="51.2" u="1"/>
        <n v="277" u="1"/>
        <n v="234" u="1"/>
        <n v="54.1" u="1"/>
        <n v="693" u="1"/>
        <n v="628" u="1"/>
        <n v="499.2" u="1"/>
        <n v="563" u="1"/>
        <n v="505" u="1"/>
        <n v="8" u="1"/>
        <n v="542.1" u="1"/>
        <n v="116" u="1"/>
        <n v="440" u="1"/>
        <n v="375" u="1"/>
        <n v="310" u="1"/>
        <n v="724.2" u="1"/>
        <n v="215.1" u="1"/>
        <n v="218" u="1"/>
        <n v="694" u="1"/>
        <n v="629" u="1"/>
        <n v="153" u="1"/>
        <n v="564" u="1"/>
        <n v="105.1" u="1"/>
        <n v="473" u="1"/>
        <n v="108" u="1"/>
        <n v="408" u="1"/>
        <n v="343" u="1"/>
        <n v="278" u="1"/>
        <n v="202" u="1"/>
        <n v="131.19999999999999" u="1"/>
        <n v="695" u="1"/>
        <n v="630" u="1"/>
        <n v="565" u="1"/>
        <n v="137" u="1"/>
        <n v="506" u="1"/>
        <n v="326.10000000000002" u="1"/>
        <n v="441" u="1"/>
        <n v="376" u="1"/>
        <n v="311" u="1"/>
        <n v="251" u="1"/>
        <n v="186" u="1"/>
        <n v="696" u="1"/>
        <n v="631" u="1"/>
        <n v="566" u="1"/>
        <n v="28.2" u="1"/>
        <n v="474" u="1"/>
        <n v="409" u="1"/>
        <n v="344" u="1"/>
        <n v="279" u="1"/>
        <n v="235" u="1"/>
        <n v="457.1" u="1"/>
        <n v="697" u="1"/>
        <n v="170" u="1"/>
        <n v="632" u="1"/>
        <n v="567" u="1"/>
        <n v="507" u="1"/>
        <n v="327.10000000000002" u="1"/>
        <n v="442" u="1"/>
        <n v="377" u="1"/>
        <n v="6" u="1"/>
        <n v="84" u="1"/>
        <n v="312" u="1"/>
        <n v="219" u="1"/>
        <n v="698" u="1"/>
        <n v="633" u="1"/>
        <n v="154" u="1"/>
        <n v="123.3" u="1"/>
        <n v="475" u="1"/>
        <n v="126.2" u="1"/>
        <n v="24.2" u="1"/>
        <n v="410" u="1"/>
        <n v="73.099999999999994" u="1"/>
        <n v="345" u="1"/>
        <n v="76" u="1"/>
        <n v="280" u="1"/>
        <n v="534.20000000000005" u="1"/>
        <n v="203" u="1"/>
        <n v="699" u="1"/>
        <n v="634" u="1"/>
        <n v="502.2" u="1"/>
        <n v="508" u="1"/>
        <n v="378" u="1"/>
        <n v="313" u="1"/>
        <n v="5" u="1"/>
        <n v="68" u="1"/>
        <n v="252" u="1"/>
        <n v="535.20000000000005" u="1"/>
        <n v="491.1" u="1"/>
        <n v="187" u="1"/>
        <n v="700" u="1"/>
        <n v="464.4" u="1"/>
        <n v="635" u="1"/>
        <n v="570" u="1"/>
        <n v="125" u="1"/>
        <n v="476" u="1"/>
        <n v="411" u="1"/>
        <n v="340.2" u="1"/>
        <n v="346" u="1"/>
        <n v="62" u="1"/>
        <n v="236" u="1"/>
        <n v="168.1" u="1"/>
        <n v="701" u="1"/>
        <n v="171" u="1"/>
        <n v="636" u="1"/>
        <n v="571" u="1"/>
        <n v="509" u="1"/>
        <n v="117" u="1"/>
        <n v="444" u="1"/>
        <n v="379" u="1"/>
        <n v="314" u="1"/>
        <n v="58" u="1"/>
        <n v="220" u="1"/>
        <n v="702" u="1"/>
        <n v="637" u="1"/>
        <n v="155" u="1"/>
        <n v="572" u="1"/>
        <n v="471.2" u="1"/>
        <n v="477" u="1"/>
        <n v="109" u="1"/>
        <n v="91.3" u="1"/>
        <n v="412" u="1"/>
        <n v="347" u="1"/>
        <n v="385.3" u="1"/>
        <n v="1.2" u="1"/>
        <n v="204" u="1"/>
        <n v="703" u="1"/>
        <n v="638" u="1"/>
        <n v="573" u="1"/>
        <n v="139" u="1"/>
        <n v="510" u="1"/>
        <n v="445" u="1"/>
        <n v="101" u="1"/>
        <n v="380" u="1"/>
        <n v="315" u="1"/>
        <n v="253" u="1"/>
        <n v="185.1" u="1"/>
        <n v="50" u="1"/>
        <n v="188" u="1"/>
        <n v="704" u="1"/>
        <n v="639" u="1"/>
        <n v="574" u="1"/>
        <n v="298.10000000000002" u="1"/>
        <n v="413" u="1"/>
        <n v="93" u="1"/>
        <n v="348" u="1"/>
        <n v="283" u="1"/>
        <n v="237" u="1"/>
        <n v="169.1" u="1"/>
        <n v="46" u="1"/>
        <n v="705" u="1"/>
        <n v="640" u="1"/>
        <n v="575" u="1"/>
        <n v="511" u="1"/>
        <n v="446" u="1"/>
        <n v="381" u="1"/>
        <n v="85" u="1"/>
        <n v="316" u="1"/>
        <n v="215.2" u="1"/>
        <n v="221" u="1"/>
        <n v="706" u="1"/>
        <n v="42" u="1"/>
        <n v="641" u="1"/>
        <n v="156" u="1"/>
        <n v="576" u="1"/>
        <n v="364.1" u="1"/>
        <n v="479" u="1"/>
        <n v="349" u="1"/>
        <n v="77" u="1"/>
        <n v="284" u="1"/>
        <n v="322.3" u="1"/>
        <n v="542.20000000000005" u="1"/>
        <n v="521.29999999999995" u="1"/>
        <n v="707" u="1"/>
        <n v="642" u="1"/>
        <n v="38" u="1"/>
        <n v="577" u="1"/>
        <n v="140" u="1"/>
        <n v="512" u="1"/>
        <n v="447" u="1"/>
        <n v="382" u="1"/>
        <n v="317" u="1"/>
        <n v="69" u="1"/>
        <n v="254" u="1"/>
        <n v="189" u="1"/>
        <n v="708" u="1"/>
        <n v="123.1" u="1"/>
        <n v="643" u="1"/>
        <n v="105.4" u="1"/>
        <n v="578" u="1"/>
        <n v="34" u="1"/>
        <n v="513" u="1"/>
        <n v="557.1" u="1"/>
        <n v="415" u="1"/>
        <n v="350" u="1"/>
        <n v="285" u="1"/>
        <n v="238" u="1"/>
        <n v="208.4" u="1"/>
        <n v="709" u="1"/>
        <n v="173" u="1"/>
        <n v="644" u="1"/>
        <n v="115.1" u="1"/>
        <n v="579" u="1"/>
        <n v="514" u="1"/>
        <n v="31" u="1"/>
        <n v="118" u="1"/>
        <n v="448" u="1"/>
        <n v="268.10000000000002" u="1"/>
        <n v="7.2" u="1"/>
        <n v="383" u="1"/>
        <n v="291.3" u="1"/>
        <n v="222" u="1"/>
        <n v="496.1" u="1"/>
        <n v="51.1" u="1"/>
        <n v="710" u="1"/>
        <n v="645" u="1"/>
        <n v="580" u="1"/>
        <n v="624.1" u="1"/>
        <n v="515" u="1"/>
        <n v="559.1" u="1"/>
        <n v="481" u="1"/>
        <n v="29" u="1"/>
        <n v="110" u="1"/>
        <n v="416" u="1"/>
        <n v="351" u="1"/>
        <n v="286" u="1"/>
        <n v="206" u="1"/>
        <n v="464.1" u="1"/>
        <n v="711" u="1"/>
        <n v="138.1" u="1"/>
        <n v="646" u="1"/>
        <n v="581" u="1"/>
        <n v="141" u="1"/>
        <n v="516" u="1"/>
        <n v="443.2" u="1"/>
        <n v="449" u="1"/>
        <n v="27" u="1"/>
        <n v="102" u="1"/>
        <n v="384" u="1"/>
        <n v="319" u="1"/>
        <n v="87.2" u="1"/>
        <n v="255" u="1"/>
        <n v="497.1" u="1"/>
        <n v="190" u="1"/>
        <n v="712" u="1"/>
        <n v="647" u="1"/>
      </sharedItems>
    </cacheField>
    <cacheField name="Date when Report was Received" numFmtId="14">
      <sharedItems containsNonDate="0" containsDate="1" containsString="0" containsBlank="1" minDate="2014-01-20T00:00:00" maxDate="2015-07-18T00:00:00" count="112">
        <m/>
        <d v="2015-05-01T00:00:00" u="1"/>
        <d v="2015-01-14T00:00:00" u="1"/>
        <d v="2015-04-16T00:00:00" u="1"/>
        <d v="2015-07-14T00:00:00" u="1"/>
        <d v="2015-06-29T00:00:00" u="1"/>
        <d v="2015-04-08T00:00:00" u="1"/>
        <d v="2015-07-10T00:00:00" u="1"/>
        <d v="2015-03-23T00:00:00" u="1"/>
        <d v="2015-06-25T00:00:00" u="1"/>
        <d v="2015-07-06T00:00:00" u="1"/>
        <d v="2015-03-19T00:00:00" u="1"/>
        <d v="2015-06-17T00:00:00" u="1"/>
        <d v="2015-02-26T00:00:00" u="1"/>
        <d v="2015-05-28T00:00:00" u="1"/>
        <d v="2015-06-09T00:00:00" u="1"/>
        <d v="2015-03-03T00:00:00" u="1"/>
        <d v="2015-06-05T00:00:00" u="1"/>
        <d v="2015-02-18T00:00:00" u="1"/>
        <d v="2015-05-20T00:00:00" u="1"/>
        <d v="2015-06-01T00:00:00" u="1"/>
        <d v="2015-01-29T00:00:00" u="1"/>
        <d v="2015-02-10T00:00:00" u="1"/>
        <d v="2015-05-12T00:00:00" u="1"/>
        <d v="2015-05-08T00:00:00" u="1"/>
        <d v="2015-02-02T00:00:00" u="1"/>
        <d v="2015-05-04T00:00:00" u="1"/>
        <d v="2015-01-13T00:00:00" u="1"/>
        <d v="2015-07-17T00:00:00" u="1"/>
        <d v="2015-07-13T00:00:00" u="1"/>
        <d v="2015-01-05T00:00:00" u="1"/>
        <d v="2015-04-07T00:00:00" u="1"/>
        <d v="2015-07-09T00:00:00" u="1"/>
        <d v="2015-06-24T00:00:00" u="1"/>
        <d v="2015-04-03T00:00:00" u="1"/>
        <d v="2015-03-18T00:00:00" u="1"/>
        <d v="2015-07-01T00:00:00" u="1"/>
        <d v="2015-06-16T00:00:00" u="1"/>
        <d v="2015-03-10T00:00:00" u="1"/>
        <d v="2015-06-12T00:00:00" u="1"/>
        <d v="2015-02-25T00:00:00" u="1"/>
        <d v="2015-05-27T00:00:00" u="1"/>
        <d v="2015-06-08T00:00:00" u="1"/>
        <d v="2015-03-02T00:00:00" u="1"/>
        <d v="2015-06-04T00:00:00" u="1"/>
        <d v="2015-02-17T00:00:00" u="1"/>
        <d v="2015-05-19T00:00:00" u="1"/>
        <d v="2015-02-13T00:00:00" u="1"/>
        <d v="2015-05-15T00:00:00" u="1"/>
        <d v="2015-01-28T00:00:00" u="1"/>
        <d v="2015-04-30T00:00:00" u="1"/>
        <d v="2015-02-09T00:00:00" u="1"/>
        <d v="2015-05-11T00:00:00" u="1"/>
        <d v="2014-01-20T00:00:00" u="1"/>
        <d v="2015-01-20T00:00:00" u="1"/>
        <d v="2015-04-22T00:00:00" u="1"/>
        <d v="2015-01-12T00:00:00" u="1"/>
        <d v="2015-04-14T00:00:00" u="1"/>
        <d v="2015-07-16T00:00:00" u="1"/>
        <d v="2015-01-08T00:00:00" u="1"/>
        <d v="2015-04-10T00:00:00" u="1"/>
        <d v="2015-03-25T00:00:00" u="1"/>
        <d v="2015-04-06T00:00:00" u="1"/>
        <d v="2015-07-08T00:00:00" u="1"/>
        <d v="2015-06-23T00:00:00" u="1"/>
        <d v="2015-04-02T00:00:00" u="1"/>
        <d v="2015-03-17T00:00:00" u="1"/>
        <d v="2015-03-13T00:00:00" u="1"/>
        <d v="2015-06-15T00:00:00" u="1"/>
        <d v="2015-03-09T00:00:00" u="1"/>
        <d v="2015-06-11T00:00:00" u="1"/>
        <d v="2015-05-26T00:00:00" u="1"/>
        <d v="2015-03-05T00:00:00" u="1"/>
        <d v="2015-02-20T00:00:00" u="1"/>
        <d v="2015-05-22T00:00:00" u="1"/>
        <d v="2015-06-03T00:00:00" u="1"/>
        <d v="2015-02-16T00:00:00" u="1"/>
        <d v="2015-05-18T00:00:00" u="1"/>
        <d v="2015-02-12T00:00:00" u="1"/>
        <d v="2015-05-14T00:00:00" u="1"/>
        <d v="2015-04-29T00:00:00" u="1"/>
        <d v="2015-05-06T00:00:00" u="1"/>
        <d v="2015-04-21T00:00:00" u="1"/>
        <d v="2015-04-17T00:00:00" u="1"/>
        <d v="2015-04-13T00:00:00" u="1"/>
        <d v="2015-07-15T00:00:00" u="1"/>
        <d v="2015-06-30T00:00:00" u="1"/>
        <d v="2015-04-09T00:00:00" u="1"/>
        <d v="2015-03-24T00:00:00" u="1"/>
        <d v="2015-06-26T00:00:00" u="1"/>
        <d v="2015-06-22T00:00:00" u="1"/>
        <d v="2014-04-01T00:00:00" u="1"/>
        <d v="2015-04-01T00:00:00" u="1"/>
        <d v="2015-03-16T00:00:00" u="1"/>
        <d v="2015-06-18T00:00:00" u="1"/>
        <d v="2015-02-27T00:00:00" u="1"/>
        <d v="2015-05-29T00:00:00" u="1"/>
        <d v="2015-06-10T00:00:00" u="1"/>
        <d v="2015-02-23T00:00:00" u="1"/>
        <d v="2015-03-04T00:00:00" u="1"/>
        <d v="2015-02-19T00:00:00" u="1"/>
        <d v="2015-05-21T00:00:00" u="1"/>
        <d v="2015-06-02T00:00:00" u="1"/>
        <d v="2015-01-30T00:00:00" u="1"/>
        <d v="2015-02-11T00:00:00" u="1"/>
        <d v="2015-05-13T00:00:00" u="1"/>
        <d v="2015-01-26T00:00:00" u="1"/>
        <d v="2015-04-28T00:00:00" u="1"/>
        <d v="2015-01-22T00:00:00" u="1"/>
        <d v="2015-04-24T00:00:00" u="1"/>
        <d v="2015-05-05T00:00:00" u="1"/>
        <d v="2015-04-20T00:00:00" u="1"/>
      </sharedItems>
    </cacheField>
    <cacheField name="Date of Alleged Incident" numFmtId="14">
      <sharedItems containsNonDate="0" containsDate="1" containsString="0" containsBlank="1" minDate="2015-01-01T00:00:00" maxDate="2025-03-17T00:00:00" count="189">
        <m/>
        <d v="2015-05-01T00:00:00" u="1"/>
        <d v="2015-01-14T00:00:00" u="1"/>
        <d v="2015-04-16T00:00:00" u="1"/>
        <d v="2015-03-31T00:00:00" u="1"/>
        <d v="2015-01-10T00:00:00" u="1"/>
        <d v="2015-04-12T00:00:00" u="1"/>
        <d v="2015-07-14T00:00:00" u="1"/>
        <d v="2015-03-27T00:00:00" u="1"/>
        <d v="2015-01-06T00:00:00" u="1"/>
        <d v="2015-06-29T00:00:00" u="1"/>
        <d v="2015-04-08T00:00:00" u="1"/>
        <d v="2015-03-23T00:00:00" u="1"/>
        <d v="2015-01-02T00:00:00" u="1"/>
        <d v="2015-06-25T00:00:00" u="1"/>
        <d v="2015-04-04T00:00:00" u="1"/>
        <d v="2015-07-06T00:00:00" u="1"/>
        <d v="2015-03-19T00:00:00" u="1"/>
        <d v="2015-06-21T00:00:00" u="1"/>
        <d v="2015-03-15T00:00:00" u="1"/>
        <d v="2015-06-17T00:00:00" u="1"/>
        <d v="2015-03-11T00:00:00" u="1"/>
        <d v="2015-02-26T00:00:00" u="1"/>
        <d v="2015-05-28T00:00:00" u="1"/>
        <d v="2015-03-07T00:00:00" u="1"/>
        <d v="2015-06-09T00:00:00" u="1"/>
        <d v="2015-02-22T00:00:00" u="1"/>
        <d v="2015-05-24T00:00:00" u="1"/>
        <d v="2015-03-03T00:00:00" u="1"/>
        <d v="2015-06-05T00:00:00" u="1"/>
        <d v="2015-02-18T00:00:00" u="1"/>
        <d v="2015-05-20T00:00:00" u="1"/>
        <d v="2015-06-01T00:00:00" u="1"/>
        <d v="2015-02-14T00:00:00" u="1"/>
        <d v="2015-05-16T00:00:00" u="1"/>
        <d v="2015-01-29T00:00:00" u="1"/>
        <d v="2015-02-10T00:00:00" u="1"/>
        <d v="2015-05-12T00:00:00" u="1"/>
        <d v="2015-01-25T00:00:00" u="1"/>
        <d v="2015-02-06T00:00:00" u="1"/>
        <d v="2015-05-08T00:00:00" u="1"/>
        <d v="2015-01-21T00:00:00" u="1"/>
        <d v="2015-04-23T00:00:00" u="1"/>
        <d v="2015-02-02T00:00:00" u="1"/>
        <d v="2015-05-04T00:00:00" u="1"/>
        <d v="2015-01-17T00:00:00" u="1"/>
        <d v="2015-04-19T00:00:00" u="1"/>
        <d v="2015-01-13T00:00:00" u="1"/>
        <d v="2015-04-15T00:00:00" u="1"/>
        <d v="2015-07-17T00:00:00" u="1"/>
        <d v="2015-03-30T00:00:00" u="1"/>
        <d v="2015-01-09T00:00:00" u="1"/>
        <d v="2015-04-11T00:00:00" u="1"/>
        <d v="2015-07-13T00:00:00" u="1"/>
        <d v="2015-03-26T00:00:00" u="1"/>
        <d v="2015-01-05T00:00:00" u="1"/>
        <d v="2015-06-28T00:00:00" u="1"/>
        <d v="2015-04-07T00:00:00" u="1"/>
        <d v="2015-07-09T00:00:00" u="1"/>
        <d v="2015-03-22T00:00:00" u="1"/>
        <d v="2015-01-01T00:00:00" u="1"/>
        <d v="2015-06-24T00:00:00" u="1"/>
        <d v="2015-04-03T00:00:00" u="1"/>
        <d v="2015-07-05T00:00:00" u="1"/>
        <d v="2015-03-18T00:00:00" u="1"/>
        <d v="2015-06-20T00:00:00" u="1"/>
        <d v="2015-07-01T00:00:00" u="1"/>
        <d v="2015-03-14T00:00:00" u="1"/>
        <d v="2015-06-16T00:00:00" u="1"/>
        <d v="2015-03-10T00:00:00" u="1"/>
        <d v="2015-06-12T00:00:00" u="1"/>
        <d v="2015-02-25T00:00:00" u="1"/>
        <d v="2015-05-27T00:00:00" u="1"/>
        <d v="2015-03-06T00:00:00" u="1"/>
        <d v="2015-06-08T00:00:00" u="1"/>
        <d v="2015-05-23T00:00:00" u="1"/>
        <d v="2015-03-02T00:00:00" u="1"/>
        <d v="2015-06-04T00:00:00" u="1"/>
        <d v="2015-02-17T00:00:00" u="1"/>
        <d v="2015-05-19T00:00:00" u="1"/>
        <d v="2015-02-13T00:00:00" u="1"/>
        <d v="2015-05-15T00:00:00" u="1"/>
        <d v="2015-01-28T00:00:00" u="1"/>
        <d v="2015-04-30T00:00:00" u="1"/>
        <d v="2015-02-09T00:00:00" u="1"/>
        <d v="2015-05-11T00:00:00" u="1"/>
        <d v="2015-01-24T00:00:00" u="1"/>
        <d v="2015-04-26T00:00:00" u="1"/>
        <d v="2015-05-07T00:00:00" u="1"/>
        <d v="2015-01-20T00:00:00" u="1"/>
        <d v="2015-04-22T00:00:00" u="1"/>
        <d v="2015-02-01T00:00:00" u="1"/>
        <d v="2015-05-03T00:00:00" u="1"/>
        <d v="2015-01-16T00:00:00" u="1"/>
        <d v="2015-04-18T00:00:00" u="1"/>
        <d v="2015-01-12T00:00:00" u="1"/>
        <d v="2015-04-14T00:00:00" u="1"/>
        <d v="2015-07-16T00:00:00" u="1"/>
        <d v="2015-03-29T00:00:00" u="1"/>
        <d v="2015-01-08T00:00:00" u="1"/>
        <d v="2015-04-10T00:00:00" u="1"/>
        <d v="2015-07-12T00:00:00" u="1"/>
        <d v="2015-03-25T00:00:00" u="1"/>
        <d v="2015-01-04T00:00:00" u="1"/>
        <d v="2015-06-27T00:00:00" u="1"/>
        <d v="2015-04-06T00:00:00" u="1"/>
        <d v="2015-07-08T00:00:00" u="1"/>
        <d v="2015-03-21T00:00:00" u="1"/>
        <d v="2015-06-23T00:00:00" u="1"/>
        <d v="2015-04-02T00:00:00" u="1"/>
        <d v="2015-07-04T00:00:00" u="1"/>
        <d v="2015-03-17T00:00:00" u="1"/>
        <d v="2015-06-19T00:00:00" u="1"/>
        <d v="2015-03-13T00:00:00" u="1"/>
        <d v="2015-06-15T00:00:00" u="1"/>
        <d v="2015-02-28T00:00:00" u="1"/>
        <d v="2015-05-30T00:00:00" u="1"/>
        <d v="2015-03-09T00:00:00" u="1"/>
        <d v="2015-06-11T00:00:00" u="1"/>
        <d v="2015-02-24T00:00:00" u="1"/>
        <d v="2015-05-26T00:00:00" u="1"/>
        <d v="2015-03-05T00:00:00" u="1"/>
        <d v="2015-06-07T00:00:00" u="1"/>
        <d v="2015-02-20T00:00:00" u="1"/>
        <d v="2015-05-22T00:00:00" u="1"/>
        <d v="2015-03-01T00:00:00" u="1"/>
        <d v="2015-06-03T00:00:00" u="1"/>
        <d v="2015-02-16T00:00:00" u="1"/>
        <d v="2015-05-18T00:00:00" u="1"/>
        <d v="2015-01-31T00:00:00" u="1"/>
        <d v="2015-02-12T00:00:00" u="1"/>
        <d v="2015-05-14T00:00:00" u="1"/>
        <d v="2015-01-27T00:00:00" u="1"/>
        <d v="2015-04-29T00:00:00" u="1"/>
        <d v="2015-01-23T00:00:00" u="1"/>
        <d v="2015-04-25T00:00:00" u="1"/>
        <d v="2015-02-04T00:00:00" u="1"/>
        <d v="2015-05-06T00:00:00" u="1"/>
        <d v="2015-04-21T00:00:00" u="1"/>
        <d v="2015-05-02T00:00:00" u="1"/>
        <d v="2015-01-15T00:00:00" u="1"/>
        <d v="2015-04-17T00:00:00" u="1"/>
        <d v="2015-01-11T00:00:00" u="1"/>
        <d v="2015-04-13T00:00:00" u="1"/>
        <d v="2015-07-15T00:00:00" u="1"/>
        <d v="2015-03-28T00:00:00" u="1"/>
        <d v="2015-01-07T00:00:00" u="1"/>
        <d v="2015-06-30T00:00:00" u="1"/>
        <d v="2015-04-09T00:00:00" u="1"/>
        <d v="2015-07-11T00:00:00" u="1"/>
        <d v="2015-03-24T00:00:00" u="1"/>
        <d v="2015-01-03T00:00:00" u="1"/>
        <d v="2015-06-26T00:00:00" u="1"/>
        <d v="2015-04-05T00:00:00" u="1"/>
        <d v="2015-07-07T00:00:00" u="1"/>
        <d v="2015-03-20T00:00:00" u="1"/>
        <d v="2015-06-22T00:00:00" u="1"/>
        <d v="2015-04-01T00:00:00" u="1"/>
        <d v="2015-07-03T00:00:00" u="1"/>
        <d v="2015-03-16T00:00:00" u="1"/>
        <d v="2015-06-18T00:00:00" u="1"/>
        <d v="2015-03-12T00:00:00" u="1"/>
        <d v="2015-06-14T00:00:00" u="1"/>
        <d v="2015-02-27T00:00:00" u="1"/>
        <d v="2025-03-16T00:00:00" u="1"/>
        <d v="2015-05-29T00:00:00" u="1"/>
        <d v="2015-03-08T00:00:00" u="1"/>
        <d v="2015-06-10T00:00:00" u="1"/>
        <d v="2015-02-23T00:00:00" u="1"/>
        <d v="2015-05-25T00:00:00" u="1"/>
        <d v="2015-03-04T00:00:00" u="1"/>
        <d v="2015-06-06T00:00:00" u="1"/>
        <d v="2015-02-19T00:00:00" u="1"/>
        <d v="2015-05-21T00:00:00" u="1"/>
        <d v="2015-06-02T00:00:00" u="1"/>
        <d v="2015-02-15T00:00:00" u="1"/>
        <d v="2015-05-17T00:00:00" u="1"/>
        <d v="2015-01-30T00:00:00" u="1"/>
        <d v="2015-02-11T00:00:00" u="1"/>
        <d v="2015-05-13T00:00:00" u="1"/>
        <d v="2015-01-26T00:00:00" u="1"/>
        <d v="2015-04-28T00:00:00" u="1"/>
        <d v="2015-05-09T00:00:00" u="1"/>
        <d v="2015-01-22T00:00:00" u="1"/>
        <d v="2015-04-24T00:00:00" u="1"/>
        <d v="2015-02-03T00:00:00" u="1"/>
        <d v="2015-05-05T00:00:00" u="1"/>
        <d v="2015-01-18T00:00:00" u="1"/>
        <d v="2015-04-20T00:00:00" u="1"/>
      </sharedItems>
    </cacheField>
    <cacheField name="Day of the Week" numFmtId="0">
      <sharedItems containsNonDate="0" containsString="0" containsBlank="1"/>
    </cacheField>
    <cacheField name="Time (Definite or Approx.)" numFmtId="164">
      <sharedItems containsNonDate="0" containsString="0" containsBlank="1"/>
    </cacheField>
    <cacheField name="Shift" numFmtId="0">
      <sharedItems containsNonDate="0" containsString="0" containsBlank="1"/>
    </cacheField>
    <cacheField name="Resident Name &amp; ID" numFmtId="0">
      <sharedItems containsBlank="1" count="171">
        <s v="Resident 1 - 001"/>
        <m/>
        <s v="Young, Blakelynn - F1210.1" u="1"/>
        <s v="Liang-Drost, Anthony - P1351.1" u="1"/>
        <s v="Eckard, Brandon - W1041.1" u="1"/>
        <s v="Cale, Brandon - T1422.1" u="1"/>
        <s v="Yanez, Ivan - TP1006.1" u="1"/>
        <s v="Teachey, Brianna - SB1322.2" u="1"/>
        <s v="Weir, Kimberly - B1359.1" u="1"/>
        <s v="Johnson, Tykajha - F1234.1" u="1"/>
        <s v="Riddle, Clayton - P1350.1" u="1"/>
        <s v="Steffen, Maxwell - TP1023.1" u="1"/>
        <s v="Cooper, Janiyah - B1361.1" u="1"/>
        <s v="France, Victoria - F1235.1" u="1"/>
        <s v="Powers, Angelica - F1232.1" u="1"/>
        <s v="Cohen, John - TP1018.1" u="1"/>
        <s v="Allen, Brianna - F1228.1" u="1"/>
        <s v="Sowell, John - TP1026.1" u="1"/>
        <s v="Nelson, Britney - B1350.1" u="1"/>
        <s v="Klatt, Joshua - T1452.1" u="1"/>
        <s v="Russell-Campbells, Johntae - N1187.1" u="1"/>
        <s v="Prtichard, Emma - F1204.1" u="1"/>
        <s v="Casey, Joshua - P1338.1" u="1"/>
        <s v="Hambrick, Selena - F1233.1" u="1"/>
        <s v="Pensick, Christian - TP1047.1" u="1"/>
        <s v="White, Dominic - T1423.1" u="1"/>
        <s v="Middlebrook, Johnathan - TP1029.1" u="1"/>
        <s v="Doss, William - T1430.1" u="1"/>
        <s v="Postell, Taylor - F1193.2" u="1"/>
        <s v="Barber, Dale - P1341.1" u="1"/>
        <s v="Johnson, Ty'Jaquan - TP1011.1" u="1"/>
        <s v="Wright, Lance - W1030.1" u="1"/>
        <s v="Ellis, Caden - W1032.1" u="1"/>
        <s v="Whitlock, Davonte - TP1010.1" u="1"/>
        <s v="Smith, Dustin - T1457.1" u="1"/>
        <s v="Moore, Cameron - T1437.1" u="1"/>
        <s v="Walker, Ashaad - T1450.1" u="1"/>
        <s v="Brown, Brittany - SB1318.1" u="1"/>
        <s v="Waddell, Keyon - TP1034.1" u="1"/>
        <s v="Epps, Joshua - TP1007.1" u="1"/>
        <s v="Baker, Darryl - TP1022.1" u="1"/>
        <s v="Brown, Quinton - W1040.1" u="1"/>
        <s v="Justice, Deavion - W1021.1" u="1"/>
        <s v="Currey, Tyler - TP1024.1" u="1"/>
        <s v="Murphy, Richard - T1379.2" u="1"/>
        <s v="Beatty, Ahmad - N1186.1" u="1"/>
        <s v="Allen, Joshua - T1451.1" u="1"/>
        <s v="Mills, Toby - P1345.1" u="1"/>
        <s v="Church, Isaiah - N1157.1" u="1"/>
        <s v="Green, Brandon - T1415.1" u="1"/>
        <s v="Moore, Selena - SB1367.1" u="1"/>
        <s v="Sanders, Shane - P1352.1" u="1"/>
        <s v="Cable, Mercedes - B1308.2" u="1"/>
        <s v="Crisel, Robert - W1042.1" u="1"/>
        <s v="Anderson, Chaya - B1364.1" u="1"/>
        <s v="Moore, Aauriel - B1229.2" u="1"/>
        <s v="Riggins, Albert - W1034.1" u="1"/>
        <s v="Stiles, Taylor - SB1355.1" u="1"/>
        <s v="Marks, Mykel - W1025.1" u="1"/>
        <s v="Hardin, Chadisey - F1223.1" u="1"/>
        <s v="Kocsmar, Nicholas - TP1004.1" u="1"/>
        <s v="Sawyers, Nathaniel - P1347.1" u="1"/>
        <s v="Williams, John - T1445.1" u="1"/>
        <s v="Baines, Marcus - T1431.1" u="1"/>
        <s v="Crump, Destiny - B1354.1" u="1"/>
        <s v="Imanian, Grayson - F1226.1" u="1"/>
        <s v="Saunders, David - W1029.1" u="1"/>
        <s v="Mewborn, Onterikah - F1179.2" u="1"/>
        <s v="Prather, Hannah - F1221.1" u="1"/>
        <s v="Stover-Abbott, Jeremy - N1172.1" u="1"/>
        <s v="Pearson, Chad - TP1016.1" u="1"/>
        <s v="Bass, Kendrick - N1173.1" u="1"/>
        <s v="Cain, Bryce - N1185.1" u="1"/>
        <s v="Parker, Quantico - P1357.1" u="1"/>
        <s v="Hester, Susan - B1311.1" u="1"/>
        <s v="Smith, Robert - W1035.1" u="1"/>
        <s v="Walker, Tera - B1323.1" u="1"/>
        <s v="Arthur, Adar - B1342.1" u="1"/>
        <s v="Reeves, Ian - W1001.1" u="1"/>
        <s v="McKinley, Christopher (Alex) - P1360.1" u="1"/>
        <s v="Horton, Joy - B1375.1" u="1"/>
        <s v="Reported by an adult" u="1"/>
        <s v="Leidig, Lourdes &quot;Lola&quot; - SB1376.1" u="1"/>
        <s v="Leidig, Lourdes (Lola) - SB1376.1" u="1"/>
        <s v="Browner, Khalil - W1022.1" u="1"/>
        <s v="Allen, Chris - P1348.1" u="1"/>
        <s v="Roberts, Jacob - W1044.1" u="1"/>
        <s v="Phillips, Henry - T1417.1" u="1"/>
        <s v="McKee, Quantez - P1287.1" u="1"/>
        <s v="Hernandez, Cindy - B1352.1" u="1"/>
        <s v="Bowman, Bre'Onna - B1268.2" u="1"/>
        <s v="Williams, Dezmond - P1340.1" u="1"/>
        <s v="Johnson, Kiara - SB1344.1" u="1"/>
        <s v="Letchworth, Quentin - TP1025.1" u="1"/>
        <s v="Drushella, Skylar - T1436.1" u="1"/>
        <s v="Gilliard, Empiria - SB1372.1" u="1"/>
        <s v="Howell, Kenny - TP1036.1" u="1"/>
        <s v="Fahnestock-Sutton, Freddie - N1152.2" u="1"/>
        <s v="Diaz, Nicholas - P1270.1" u="1"/>
        <s v="Antonelli, Thomas - TP1035.1" u="1"/>
        <s v="Spears, Melquon - N1181.1" u="1"/>
        <s v="Barnette, Nathan - W1045.1" u="1"/>
        <s v="Gamino, Daniel - N1168.1" u="1"/>
        <s v="Buchanan, Michael - W1024.1" u="1"/>
        <s v="Bingham, Ta'Kuan - T1425.1" u="1"/>
        <s v="Grimes, Brandon - P1343.1" u="1"/>
        <s v="Cigna, Amelia - B1362.1" u="1"/>
        <s v="Hambleton, Elizabeth - F1201.2" u="1"/>
        <s v="Shannon, Tayona - F1224.1" u="1"/>
        <s v="Tanner, Raven - P1336.1" u="1"/>
        <s v="Hebert, Macie - B1327.1" u="1"/>
        <s v="Laws, Jordan - TP1041.1" u="1"/>
        <s v="Carter, D'Quares - T1444.1" u="1"/>
        <s v="Singletary, Naomi - SB1373.1" u="1"/>
        <s v="Smith, Jonathan - TP1043.1" u="1"/>
        <s v="Gardin-Feltmann, Sylvano - P1342.1" u="1"/>
        <s v="Jove, Libby - B1358.1" u="1"/>
        <s v="Harmon, Shawn - T1442.1" u="1"/>
        <s v="Windham, Abigail - B1343.1" u="1"/>
        <s v="Moore, Kiya - B1383.1" u="1"/>
        <s v="Denstedt, Renee - B1336.1" u="1"/>
        <s v="Williams, Darshekia - B1244.2" u="1"/>
        <s v="Ritchie, James - P1328.1" u="1"/>
        <s v="Cheek, Steven - T1447.1" u="1"/>
        <s v="Smith, Alex - T1446.1" u="1"/>
        <s v="White, April - B1351.1" u="1"/>
        <s v="Bailey, Ky'Asia - B1331.1" u="1"/>
        <s v="Kasper, Richard - P1329.1" u="1"/>
        <s v="McBride, Anthony - T1400.1" u="1"/>
        <s v="Humphries, Matthew - W1027.1" u="1"/>
        <s v="Evans, Shekya - B1348.1" u="1"/>
        <s v="Harmon, Witness 1 - T1442.1" u="1"/>
        <s v="Wilson, Brittanie - B1347.1" u="1"/>
        <s v="Crafa, Jarrod - W1039.1" u="1"/>
        <s v="Bowles, Mikal - W1038.1" u="1"/>
        <s v="Anthony, Khalia - B1309.1" u="1"/>
        <s v="Unknown - Safe Harbor" u="1"/>
        <s v="Barnes, Jonathan - N1191.1" u="1"/>
        <s v="Thomas, Jeremiah - TP1015.1" u="1"/>
        <s v="Hardison, Macy - B1374.1" u="1"/>
        <s v="Davis, Vincent - T1456.1" u="1"/>
        <s v="English, Angel - F1236.1" u="1"/>
        <s v="Smigiel, James Austin - P1344.1" u="1"/>
        <s v="McClain, Promise - SF1229.2" u="1"/>
        <s v="Smeltzer, Isaac - P1319.2" u="1"/>
        <s v="Markovics, Corbin - T1438.1" u="1"/>
        <s v="Bunn, Loreal - B1356.1" u="1"/>
        <s v="Walker, Kary - SP1359.1" u="1"/>
        <s v="King, Matthew - T1439.1" u="1"/>
        <s v="Burchett, Daniel - P1361.1" u="1"/>
        <s v="Parker, Jashae - B1317.1" u="1"/>
        <s v="Hartsell, Brody - W1037.1" u="1"/>
        <s v="Fields, Dezhea - B1349.1" u="1"/>
        <s v="Leviner, Isaiah - T1449.1" u="1"/>
        <s v="Ragland, Keyontae - N1180.1" u="1"/>
        <s v="Clubb, Howard - TP1027.1" u="1"/>
        <s v="Stricklin, William - TP1037.1 " u="1"/>
        <s v="Ramson, Keon - W1023.1" u="1"/>
        <s v="Allen, Delilah - B1387.1" u="1"/>
        <s v="Smigiel, James &quot;Austin&quot; - P1344.1" u="1"/>
        <s v="Reece, Kaitlyn - SB1363.1" u="1"/>
        <s v="Mills, Zackery - W1048.1" u="1"/>
        <s v="Pritchard, Emma - F1204.1" u="1"/>
        <s v="Lugo, Gabriel - N1183.1" u="1"/>
        <s v="Harrison, Brittney - F1225.1" u="1"/>
        <s v="Caulk, Christian - W1047.1" u="1"/>
        <s v="Forvilus, Jamale - N1164.1" u="1"/>
        <s v="Hill, Phillip - P1337.1" u="1"/>
        <s v="Floyd, Andrew - P1339.1" u="1"/>
        <s v="Goodley, Alfred - TP1005.1" u="1"/>
        <s v="Brown, Michael - P1293.1" u="1"/>
      </sharedItems>
    </cacheField>
    <cacheField name="Reporter (if not resident)" numFmtId="0">
      <sharedItems containsNonDate="0" containsString="0" containsBlank="1"/>
    </cacheField>
    <cacheField name="Witnesses" numFmtId="0">
      <sharedItems containsNonDate="0" containsString="0" containsBlank="1"/>
    </cacheField>
    <cacheField name="1st Implicated Staff" numFmtId="0">
      <sharedItems containsNonDate="0" containsString="0" containsBlank="1"/>
    </cacheField>
    <cacheField name="2nd Implicated Staff" numFmtId="0">
      <sharedItems containsNonDate="0" containsString="0" containsBlank="1"/>
    </cacheField>
    <cacheField name="3rd Implicated Staff" numFmtId="0">
      <sharedItems containsNonDate="0" containsString="0" containsBlank="1"/>
    </cacheField>
    <cacheField name="Resident's Unit" numFmtId="0">
      <sharedItems containsNonDate="0" containsBlank="1" count="9">
        <m/>
        <s v="Turning Point" u="1"/>
        <s v="Waypoint" u="1"/>
        <s v="New Choices" u="1"/>
        <s v="Starting Point" u="1"/>
        <s v="Safe Harbor" u="1"/>
        <s v="Transformations 2" u="1"/>
        <s v="Triad" u="1"/>
        <s v="Transformations 1" u="1"/>
      </sharedItems>
    </cacheField>
    <cacheField name="Location of Alleged Incident" numFmtId="0">
      <sharedItems containsNonDate="0" containsString="0" containsBlank="1"/>
    </cacheField>
    <cacheField name="Type of Complaint" numFmtId="0">
      <sharedItems containsNonDate="0" containsString="0" containsBlank="1"/>
    </cacheField>
    <cacheField name="Complaint" numFmtId="0">
      <sharedItems containsNonDate="0" containsBlank="1" count="878" longText="1">
        <m/>
        <s v="Resident claimed that access to items on her safety plan was unreasonably denied: She asked implicated staff for her music/Mp3 player and was instead given a radio. She felt this was serious enough to write a grievance about. She admitted that she was cursing and non-compliant. She requested for someone to look into this and return to her with debriefing." u="1"/>
        <s v="Resident claimed that she became very upset during first shift and asked to go to the unit to calm herself down. When she asked to program on second shift (after calming down), she claimed that implicated staff was unreasonable in not allowing her to return to programming." u="1"/>
        <s v="Resident claimed that implicated staff called him a &quot;devil&quot; and allegedly engages in favoritism with other kids." u="1"/>
        <s v="Resident claimed it had been hot for the past 2-3 days to feel comfortable or to sleep at night." u="1"/>
        <s v="Resident claimed &quot;3rd shift messed up my order. I did not get the food I wanted.&quot; He did not request supervisor follow-up, but instead said, &quot;I just want someone to tell 3rd shift to be more careful on meal orders.&quot;" u="1"/>
        <s v="Resident claimed this staff member offered to bring her water, but she said no b/c he puts his hands on the rim of cup. She reported that this was unsanitary and that named staff member refused to bring it when she declined to let him bring it to her that way. When she complained that she should be given water, he brought it to her with his hands touching the lip." u="1"/>
        <s v="Resident claimed, &quot;The shower was flooding and it is broke. We can't get our full time in the shower and it's dirty when it floods.&quot;" u="1"/>
        <s v="Resident expressed frustration about how her meds made her sleepy but she was unable to sleep. &quot;We should be able to take naps.&quot;" u="1"/>
        <s v="Resident explained that she is very uncomfortable when a male sits outside of her door during 3rd shift. She said this is an issue for her because she had been sexually assaulted before while sleeping. Because her room is &quot;all the way around the corner where anything can happen while I'm asleep,&quot; this increases her perceived danger. She asked for someone to speak with her about a solution." u="1"/>
        <s v="Resident claimed she was not allowed to do her schoolwork. A loud movie was playing in the dayroom. &quot;I asked to sit in the hallway, then got yelled at about where I was sitting.&quot; She claimed it was especially unfair that two girls were allowed to sit in the hallway with a table and do school work, despite one being on modified peer restriction." u="1"/>
        <s v="Resident claimed a group of 3 unidentified individuals &quot;were talking about me and said that I'm ugly and that they want to drown me in a pool of bleach.&quot;" u="1"/>
        <s v="Resident claimed that she needed to clean herself. First shift did not put her wash cloth in the dryer while two second shift staff allegedly did not let her clean herself." u="1"/>
        <s v="Resident claimed that she was upset at having no clothes to wear, but implicated staff reportedly denied her a grievance form and her coping skill. She also claimed that she felt as though the TS &quot;does not give a fuck about our rights and never will.&quot;" u="1"/>
        <s v="Resident claimed that her peers continue to bully her in her dayroom. She claimed that she speaks to implicated staff about it, but that he would not validate her concerns or take them into consideration. She feels as though she should be removed from her dayroom for safety." u="1"/>
        <s v="Resident claimed that her jelly sandwich had a &quot;big ball of hair inside my sandwich deep inside of it.&quot; She reported that she discovered it because she opened her sandwich to spread the jelly more evenly. She said that staff did take it to the cafeteria and got it replaced, but that this was not the first time she discovered hair in her food. LRA explained hair nets &amp; cleanliness standards which dietary staff are required to follow. She agreed to send this as an FYI rather than something which required supervisor follow-up." u="1"/>
        <s v="Resident claimed that implicated staff threatened to hurt him while seated on the education wing." u="1"/>
        <s v="Resident claimed that implicated staff &quot;said she will hit me with her clip board.&quot; Resident took it as a threat &quot;because that's mean and not right.&quot; (Supervisor-Investigator: Please correct spelling of implicated staff's name if it is not correct)" u="1"/>
        <s v="Resident claimed that she and her peers &quot;never get any feedback from any staff.&quot;" u="1"/>
        <s v="Resident complained about not being able to eat because she was Out of Area." u="1"/>
        <s v="Resident claimed she was wrongfully refused her breakfast &quot;because I wasn't in programming.&quot;" u="1"/>
        <s v="Resident claimed that a peer continues to bully him and abuse him, and has asked for action. " u="1"/>
        <s v="Resident claimed the named Nurse would not provide her PRN as requested and believed this to be unreasonable. She claimed RM Gaither &quot;will talk to someone about it&quot; but also provided wrote a grievance. " u="1"/>
        <s v="Resident claimed that the floor nurses and her doctor tell her that her blood presure is too high, but that the nurse practioner said it was fine. She expressed distress in the perception that her blood pressure was not being properly treated and requested for someone to help her understand better. " u="1"/>
        <s v="Resident claimed that implicated staff responded to resident's frustration with a possible verbal threat. Resident got into argument with a peer and staff took the peer's side (likely for good reason). When resident asked implicated staff, &quot;Why are you taking up for her?&quot;, implicated staff allegedly replied, &quot;Next time I'll let her jump on you.&quot; Resident perceived this as a threat. " u="1"/>
        <s v="Resident has written six grievances claiming named staff member wakes him up by yelling at him and being rude/harsh with him. This appears to have an impact on how he feels during the day. Resident also he feels as though he's awakened too early. " u="1"/>
        <s v="Resident claimed that implicated staff would not let her have her Bible &quot;because they said I have too much stuff, when I don't.&quot;" u="1"/>
        <s v="Resident claimed he is experiencing group punishment in that named staff won't give out all personals because some kids are misbehaving." u="1"/>
        <s v="Resident claimed that the teacher &quot;went off&quot; on him. The Team Supervisor reported witnessing that the named teacher got into a power struggle with residents and then said, &quot;You just think you're this billy bad ass and you just run shit.&quot; She said that the teacher continued the alleged tirade/cursing after she pulled the student out of the classroom." u="1"/>
        <s v="Resident has gained perception that implicated staff is rude, disrespectful, and bullying to her because she dislikes resident.  However, there is not any evidence (time, dates, locations, &amp; witnesses of incidents mentioned) in order to move forward with an investigation. Mgr is advised to follow up. " u="1"/>
        <s v="Resident claimed that he and his peers received spoiled milk." u="1"/>
        <s v="Resident claimed, &quot;I don't feel like I get enough breakfast on every weekend.&quot;" u="1"/>
        <s v="Resident claimed that she feels unsafe around a peer and percieved favoritism toward her: &quot;They felt bad for her and let her wear regular shoes on high obs after being told she was not supposed to.&quot; Her complaint is that she is &quot;forced&quot; to be around someone who has caused her to feel unsafe and is additionally concerned that staff would favor her in a  given situation." u="1"/>
        <s v="Resident claimed that there were no muffins included with breakfast when muffins were expected. She felt as though this did not offer enough to eat." u="1"/>
        <s v="Resident claimed that &quot;people on this unit make terrorist jokes about me and my religion.&quot; This is being passed along as a complaint to help the unit's team properly address bullying and staff intervention (when possible)." u="1"/>
        <s v="Resident claimed that implicated staff yelled at her in a manner that was incongruent with therapy." u="1"/>
        <s v="Resident claimed implicated staff member &quot;forced&quot; her to stay in her room &quot;extra time than everyone else.&quot; She felt as though this was unreasonable." u="1"/>
        <s v="Resident claimed implicated staff inappropriately initiated a restraint, first by threatening, &quot;Get up or we'll snatch you&quot; (alleged untherapeutic language) and then by grabbing him in his chair. " u="1"/>
        <s v="Resident claimed that he was one of many kids disruptive in group and was told that he could go to his room. His DVD player privilege was taken away, but he felt this was done incorrectly since he was given no prompts for refusing group. (It is known that group rules &amp; consequences have been explained to residents many times)." u="1"/>
        <s v="Resident expressed perceptions about care in that snacks should be given on time and that he shouldn't have to sit on his bed when he was prompted to do so. " u="1"/>
        <s v="Resident claimed that the meal was drastically different from past meals of the same thing. She did not request for anyone to look into this, take action, and debrief with her. She merely asked for someone to &quot;help us get some better food&quot; with the understanding that they shouldn't expect &quot;gourmet food or anything.&quot;" u="1"/>
        <s v="Resident claimed that the showers were unhygienic due to peer behaviors. It is suggested that she discuss this issue in community group." u="1"/>
        <s v="Resident claimed that staff &quot;refused my time out and made me go to my room&quot; when &quot;I didn't do nothing but ask for a time-out.&quot; She claimed that she asked nicely." u="1"/>
        <s v="Resident claimed that 1st shift Satuday had told her it was okay to stay in Dayroom A since she has been fighting with a peer in Dayroom B. She was not allowed to do that again on Monday and felt as though her safety was in danger. " u="1"/>
        <s v="Resident claimed that unit staff are manipulating the thermostat against the DPPO's orders." u="1"/>
        <s v="Resident claimed another peer keeps harassing him in the covey but staff reportedly do not respond to resident's requests for help." u="1"/>
        <s v="Resident claimed that she was not allowed to shower as a consequence for her actions. " u="1"/>
        <s v="Resident claimed that implicated staff made her stay upstairs for dinner because she tapped a seated staff on the shoulder in order to ask a question. She believed this was unreasonable. " u="1"/>
        <s v="Resident claimed that he asked to use the bathroom and implicated staff &quot;replied with profanity and insults. We went back and forth. He tried to get me to hit him and I didn't.&quot;" u="1"/>
        <s v="Resident claimed that implicated staff was yelling at her in a manner inconsistent with therapeutic care." u="1"/>
        <s v="Resident claimed that implicated staff member refused her PRN. Residential Manager told her to write a grievance." u="1"/>
        <s v="&quot;I honestly feel like I was treated very rudely by [implicated staff]. This has been happening constantly and is never-ending. I want someone to talk to her and show her how it really makes me feel.&quot;" u="1"/>
        <s v="Resident claimed that she shut her door one time and was upset that staff did not attempt to process with her before she was placed in an escort/restraint. She claimed that she was been physically abused in the past and this caused her to feel scared and threatened." u="1"/>
        <s v="Resident admitted &quot;I was yelling, screaming, and saying I was going to kill myself.&quot; She claimed that she needed a coping skill to help her calm down, but that implicated staff denied it. " u="1"/>
        <s v="Resident claimed that she has been unfairly punished through group consequences, in which all personal items were taken away for an unreasonable amount of time. Resident claimed she had not engaged in any of the negative behaviors. She claimed that she was denied a necessary coping skill through this." u="1"/>
        <s v="Resident claimed that she was unreasonably refused a pen on 2nd shift, and then unreasonably refused a PRN/ chance to process with staff." u="1"/>
        <s v="Resident claimed, &quot;It was time to go down for the night. We were lining up and she walked up and swung at me and acted like she was going to kick me and got in my body space… She put it on my point sheet and I got in trouble for it.&quot; " u="1"/>
        <s v="Resident claimed that his chicken was not cooked and &quot;had a lot of blood in it.&quot;" u="1"/>
        <s v="Resident claimed named staff member slapped him on the cheek because he was eating chips which he stole. Resident offered contradictory details, such as saying, &quot;Let's just go with Monday&quot; when asked about the day. When asked about which hand was used, he said, &quot;I guess left hand&quot; and identified it as being with an open palm. He also said he thought he was slapped on the left cheek. When the resident was asked how he could have been slapped on the left cheek with the palm of a left hand, he changed his story to say it was the other cheek. " u="1"/>
        <s v="Resident claimed his peer/ roommate has been making sexual gestures toward him while making eye contact, but stopping before staff can catch him in the act." u="1"/>
        <s v="Resident claimed that she was trying to sleep when a staff member's personal cell phone timer &quot;kept going off on the zone.&quot; " u="1"/>
        <s v="Resident claimed that the nurse &quot;put some packets of gel in the med cart for my lips&quot; on first shift. She claimed that implicated staff refused to give it to her until resident went to get a grievance form. However, she claimed that this staff &quot;won't tell me what type of gel it is so I can make sure it is the one that the nurse gave me.&quot;" u="1"/>
        <s v="Resident complained that staff member's attempt to process with her peer during work period in the classroom was distracting and disrupted her attempts to do schoolwork." u="1"/>
        <s v="Resident claimed &quot;staff did not let me go outside when I am supposed to go outside one time a day and my behavior allows me to.&quot; He claimed that he had &quot;no behaviors that did not allow me to go. But I can almost promise you that they are going to make up an imaginary excuse to why I couldn't go outside.&quot; " u="1"/>
        <s v="Resident claimed that her right to daily outside time was unreasonably denied." u="1"/>
        <s v="Resident claimed that &quot;no one would let me brush my teeth, event hough I begged. And brushing my teeth was a coping skill. I don't like feeling dirty.&quot; " u="1"/>
        <s v="Resident claimed he asked the TS what kept him on protocol. &quot;He said you haven't been listening. I told them [implicated staff] was being disrespectful to me. They would not tell me why I was on protocol.&quot; Resident claimed they told him that he could come off it in a month, &quot;So I said, why do I need to listen if I'm going to be on protocol anyways.&quot; He said this is important &quot;because I ask for one chance to do the right thing and they told me no.&quot; " u="1"/>
        <s v="Resident claimed that implicated staff unreasonably delayed her ear drops which she was supposed to take at 4pm (as per nurse)." u="1"/>
        <s v="Resident claimed the perception that each resident recieves differently-sized portions in their meals. He believes that his portions are often not as big as his peers' are." u="1"/>
        <s v="Resident admitted that he was guilty of aggressive behavior but claimed that other resident with aggressive behavior &quot;wasn't disciplined at all….I feel targeted.&quot;" u="1"/>
        <s v="Resident claimed named staff provoked her by responding rudely to her with sarcastic comments like, &quot;Yeah, whatever you say.&quot; " u="1"/>
        <s v="Resident claimed that this staff member told his peer, &quot;One day I'mma teach you a lesson with a restraint.&quot; He said this occurred because implicated staff was arguing with one of his peers. He claimed that this staff member &quot;keeps saying it to everyone.&quot;" u="1"/>
        <s v="Resident claimed implicated staff &quot;refused to give me a coping skill I really needed at the time and then ignored.&quot;" u="1"/>
        <s v="Resident claimed that her peer is bullying her by sending her inappropriate letters and lying about her. She claimed that the peer starts fights with her, to which she admittedly acts poorly, but then perceives that she is punished more harshly than her peer. She claimed that she has been punished for her peer's lies about her when staff believe her peer. Although she has been trying to ask the adults for help with this problem, she claims that no one will listen to her or help her. " u="1"/>
        <s v="Resident claimed that her therapist &quot;has not seen me for all the time I have to have for the month of February.&quot;" u="1"/>
        <s v="Resident claimed he was upset at staff for using her phone inappropriately on the floor. He said he was upset at her for not following the rules." u="1"/>
        <s v="Resident claimed his teacher said that he thinks he's &quot;on top of the world,&quot; and that &quot;every time a compliment is about about someone else, [resident] has to be in the middle of the situation.&quot; He claimed that &quot;this has happened twice before&quot; and he perceives it as disrespect. " u="1"/>
        <s v="Resident claimed that implicated staff &quot;tried to put her hands on me and force me into my room.&quot; Resident requested that this grievance go to specific professional because she perceives others as teaming up against her." u="1"/>
        <s v="Resident claimed that staff have unfairly kept her on the unit instead of letting her go downstairs to eat via the elevator (she has a medical knee problem). She also claimed that one of them practiced favoritism by providing her peer with extra food, but not her. She wanted supervisor &amp; manager to see this, but did not request follow-up &amp; debriefing." u="1"/>
        <s v="Resident claimed staff attempted to trick him into an escort/restraint. " u="1"/>
        <s v="Resident claimed after implicated staff took his cards, the staff member then lied about taking them by saying, &quot;I don't know what the hell you're talking about.&quot; After resident reportedly said, &quot;Yes you do,&quot; this staff member allegedly responded, &quot;What the hell you going to do about it? Put a bullet in my head too, bitch.&quot;" u="1"/>
        <s v="Resident claimed he was unreasonably kept from going outside despite the report that &quot;it is a part of my plan to go outside once a day.&quot;" u="1"/>
        <s v="Resident claimed that implicated staff &quot;called me a dumbass because I wasn't listening.&quot; He also complained of being very bored." u="1"/>
        <s v="Resident believes his teeth “are spreading apart. I was told many times that I need braces, but I never got them when I was supposed to. Lately I haven’t told anyone because they seem not to believe me when I tell them anything. My gums have been bleeding very often and I’ve been brushing every day but they keep spreading apart and I need help badly.” He said that this became important after a peer told him that his teeth looked crooked and he felt as though his teeth structure had changed drastically. " u="1"/>
        <s v="Resident claimed that another resident was touching her inappropriately and &quot;chasing me around the unit.&quot; &quot;This is important to me because she violated my personal space.&quot; She requested for someone to look into this and take action for safety reasons. " u="1"/>
        <s v="Resident claimed that 3rd shift staff wake her up every night to tell her to pull her shirt down. She said this interruption in her sleep makes it difficult for her to wake up the next morning." u="1"/>
        <s v="Resident claimed that implicated staff &quot;called me a dumbass because I wasn't listening.&quot; He also complained that being unreasonably bored lead to his acting out. " u="1"/>
        <s v="Resident claimed his peer was &quot;saying inappropriate stuff about me and was making me feel unsafe. He told me that his old self of liking boys and wanting to do sexual stuff with them was coming back.&quot;" u="1"/>
        <s v="Resident claimed that she had been kept on peer restriction for an unreasonable amount of time (a month) for borrowing and lending. " u="1"/>
        <s v="Resident wanted to offer suggestion: He said that Covey 4 TV doesn't need a remot but that the Covey 6 TV did, so he felt strongly about suggesting about moving the covey 4 remote to covey 6.  Doesn't want follow up unless feasible." u="1"/>
        <s v="Resident claimed that &quot;3rd shift plays religious/ Christian-based music very loudly&quot; every day during their hygiene time. She agreed that music in the AM is motivational, but argued against the use of religious music. " u="1"/>
        <s v="Resident claimed that implicated staff member threatened her with a restraint, cursed at her, and yelled at her. Her transition sheet reflected that she &quot;walked out of covey, loud at the 'T', ran with her meds, negative attitude with staff.&quot; Camera views revealed that resident was walking OOA to go to her room and first witness intervened twice by going to her room. During the second time, implicated staff member got off the elevator as first witness was heading to her room: First witness got him to accompany her. He walked into resident's room while first witness spotted him. First witness walked away and implicated staff member stood outside doorway while another male entered the resident's room. They spoke with her until she put a belt around her neck and made overt gestures of pulling it tightly; no one gave attention to this behavior until she went into the bathroom for a lengthy period of time.  " u="1"/>
        <s v="Resident claimed that her back has been hurting with sharp pains but that &quot;no Tylenol or Motrin (600 mg) will help it. They said take tylenol when I told them. They're not listening and you can only take so much before you snap.&quot; She said that she spoke to &quot;the nurse&quot; twice but reported that &quot;someone should let me see [nurse].&quot; " u="1"/>
        <s v="Resident claimed that the med tech unreasonably refused her medication." u="1"/>
        <s v="Resident reported that she is allergic to citrus, yet implicated staff would not allow her to have a replacement snack when given citrus fruit." u="1"/>
        <s v="Resident claimed that staff &quot;did not let me use my coping skills and they refused to process with me.&quot; She claimed this was done unreasonably. She did not request follow-up." u="1"/>
        <s v="Resident claimed that he was unfairly kept inside and not offered alternative A.T." u="1"/>
        <s v="&quot;Three months ago I had all of my personals taken from me and they have been given back piece by piece. But it is not working. I need my personals in order to keep me occupied. I have nothing to call my own so I have started to steal and lie about stuff that I have said was mine. I should get my legos back to be occupied more often.&quot;" u="1"/>
        <s v="Resident claimed that implicated staff members were talking loudly about non-work-related topics while the residents were trying to do their school work." u="1"/>
        <s v="&quot;They told us…they're cutting down their budget for cleaning supplies. I don't want to smell nasty when I run out.&quot;" u="1"/>
        <s v="Resident claimed that he was one of many kids disruptive in group and was told that he could go to his room. His DVD player privilege was taken away, but he felt this was done incorrectly since he was given no prompts for refusing group. " u="1"/>
        <s v="Resident claimed that this person engaged in verbal abuse." u="1"/>
        <s v="Resident complained that her peer was allowed to scream and curse at her with no intervention. She wanted the supervisor to see this complaint but did not indicate that she required follow-up." u="1"/>
        <s v="Resident claimed that implicated staff kept her from going to school as a punishment for being disrespectful to her (that it was a personal retaliation). Resident requested that this grievance go to specific professional because she perceives others as teaming up against her." u="1"/>
        <s v="Resident claimed that her clothes were not washed and this left her with nothing but &quot;dirty PJs&quot; to wear. This upset her because she reportedly set her clothes out first but her clothes were &quot;saved for last.&quot;  " u="1"/>
        <s v="Resident claimed it was unfair that a peer gets to use her coping skill longer than other girls do, as well as take it outside." u="1"/>
        <s v="Resident claimed that &quot;She got in the middle of me and [witness] about personals.&quot; " u="1"/>
        <s v="Resident claimed favoritism and disrespect. &quot;No one does anything about it but when it comes to other people it's all imporant and they always get the attention they need and it's irritating and I be telling staff to not say my last name and they do. It makes me mad and brings up bad memories.&quot;" u="1"/>
        <s v="Resident claimed implicated staff member was rude. &quot;I asked her what she said, she said whatever.&quot;" u="1"/>
        <s v="Resident claimed that implicated staff &quot;yelled at me.&quot;" u="1"/>
        <s v="Resident claimed she saw named staff at her door and heard him talking to other staff even though &quot;his supervisor specifically told him not to sit at my door or anywhere I am at.&quot;" u="1"/>
        <s v="Resident claimed that there are boogers on the shower walls and paint is peeling off the walls." u="1"/>
        <s v="Resident claimed that staff have kept him awake at night between 9pm and 11pm with loud talking and radio. He could not provide any specific names." u="1"/>
        <s v="Resident advocated for being able to keep his notebook in his room because it had important Bible verses in it. Even though LRA reminded him that there may be unit rules in place for good reasons, he felt this was important enough to pass along to supervisor for discussion." u="1"/>
        <s v="Resident claims that she experiences group punishment because of one volatile peer: This peer repeatedly enters the dayroom each night and behaves disruptively (including talking during med pass). She claims that all residents are yelled at for this and the TV is turned off for the rest of the night. Additionally, all girls are allegedly recorded as having poor behaviors (&quot;nos&quot;) because of this one individual." u="1"/>
        <s v="Resident claimed that implicated staff &quot;keeps skipping me being second for med pass.&quot; She perceives that this person does not like her. Unknown if there is a viable reason for this based on resident's current protocol or safety precaution needs. " u="1"/>
        <s v="Resident claimed he was offended when named staff called him &quot;a short midget.&quot;" u="1"/>
        <s v="Resident claimed that implicated staff &quot;called me a dumb ass. She said that I was acting like I was [one].&quot;" u="1"/>
        <s v="Resident claimed that his clinical staff were being secretive regarding important aspects of his care and discharge." u="1"/>
        <s v="Resident claimed she was falsely accused of misbehavior on the last outing based on a rumor." u="1"/>
        <s v="Resident claimed favoritism and disrespect. &quot;I have been hit on many occasions and no one does anything about it but when it comes to other people it's all imporant and they always get the attention they need and it's irritating and I be telling staff to not say my last name and they do. It makes me mad and brings up bad memories.&quot;" u="1"/>
        <s v="Resident complained about the recent hygiene product cut-backs: &quot;Dial soaps last a week barely and now I can't get soap.&quot;" u="1"/>
        <s v="Resident claimed that implicated staff &quot;was being very rude to me and being very sarcastic and not paying attention to my feelings.&quot; Resident perceived her to be unfair." u="1"/>
        <s v="Resident perceived favoritsm toward her peer J.P. since she was reportedly able to have access to her personal items while on protocol." u="1"/>
        <s v="Resident claimed that &quot;other staff talk about me everyday being negative towards me.&quot; She perceives that these individuals do not like her. This is not enough information to indicate staff's level of professionalism or therapeutic approach based on resident perception, but shall be communicated to TS." u="1"/>
        <s v="Implicated staff allegedly undermined TL in front of kids and then was rude to resident when she attempted to speak up about following TL's orders." u="1"/>
        <s v="Resident claimed that her peer was being bullied but that named staff did not take correct action in the situation." u="1"/>
        <s v="Resident reported that &quot;I was standing outside of my room and staff was putting words in my mouth,&quot; (as in, they were accusing him of saying things he didn't say/mean). He also checked the box that he was yelled at for no reason. " u="1"/>
        <s v="Resident expressed frustration with implicated staff member. He perceived her to refuse a grievance form, even though it may not have been explained that he could be able to do one later if she felt as though it was interfering with school. However, he also expressed that she &quot;would not let us finish our work and expect we're going to finish a worksheet in two minutes, not giving us enough time to finish.&quot;" u="1"/>
        <s v="Resident claimed that she has been unfairly punished through group consequences, in which all personal items were taken away for an unreasonable amount of time. Resident claimed she had not engaged in any of the negative behaviors. " u="1"/>
        <s v="Resident claimed that implicated staff member choked him." u="1"/>
        <s v="Resident claimed that implicated staff &quot;keeps on constantly talking about me to other staff.&quot; She perceives that this person does not like her. Unknown if the content is appropriate or not appropriate." u="1"/>
        <s v="Resident claimed that implicated staff continually takes her box when she is allowed to have it in her room. She claimed that implicated staff says it is contraband and resident argues that they are items on her safety plan.  " u="1"/>
        <s v="Resident claimed that implicated staff &quot;said something underneath her breath.&quot; Resident percieved this to be an angry remark against her and it upset her." u="1"/>
        <s v="&quot;I asked for a clean flat sheet. [Implicated staff] was not responding to my question and ingoring me and I was only asking for a clean linen but I never got it and I have to sleep with a dirty linen. I got upset.&quot;" u="1"/>
        <s v="Resident claimed that he woke up to &quot;staff being loud&quot; during scheduled sleeping hours. " u="1"/>
        <s v="Resident complained that named staff members show too much cleavage and/or expose their backsides too much when sitting down. " u="1"/>
        <s v="Resident claimed that she asked implicated staff to talk with her &quot;and he said no rudely. He said he was not talking to anyone. But he can talk to this one peer. He yelled at me for no reason. He has been rude.&quot;" u="1"/>
        <s v="Resident claimed that implicated staff falsely accused her of lending her leggings to a peer. After the resident showed her leggings, she claimed the staff member said, &quot;the truth will come out.&quot; Resident said, &quot;I'm trying to figure out why I'm getting questioned.&quot;" u="1"/>
        <s v="Resident claimed it was too hot in his classroom to concentrate. However, he did not request a follow-up." u="1"/>
        <s v="Resident claimed implicated staff member &quot;took my blanket out of my room.&quot; She claimed her meds made her feel sleepy and that resident felt cold, but was also not allowed to have her sweater/jacket. Staff said she would call for assistance if res did not hand over items. " u="1"/>
        <s v="Resident felt as though implicated staff was unreasonable: He asked if he could wash his clothes &quot;because in the morning it will be my wash day.&quot; He claimed this was important because &quot;everyone else does their clothes before their day so that they do not have to wake up early in the morning.&quot; " u="1"/>
        <s v="Resident claimed that implciated staff member &quot;said she was going to slap me with the walkie-talkie. And she did hit me.&quot;" u="1"/>
        <s v="Resident claimed that implicated staff member &quot;said she was going to slap me with the walkie-talkie. And she did hit me.&quot;" u="1"/>
        <s v="Resident advocated for herself: &quot;I need the proper help in the school with my work. I need a tutor to help me with the material that has been given to me. I need help badly.&quot; While this is not a grievance, it will be passed along to the edu dept to help facilitate the resident's educational needs." u="1"/>
        <s v="Resident claimed that 3rd shift wrongfully  refused to call the nurse for her." u="1"/>
        <s v="Resident claimed that implicated staff spoke to her peer about forcing [resident] into [resident's] room, discussing that resident is &quot;faking, it's not on my paperwork anywhere. Also, they said they put my room here so when they don't want to deal with me, they can just shut the double doors.&quot; Resident requested that this grievance go to specific professional because she perceives others as teaming up against her." u="1"/>
        <s v="Resident claimed she was unfairly consequenced by implicated staff member for something that her peer did. Resident claimed implicated staff member was non-therapeutic in saying, &quot;Whisper again, I want you to because that will be peer restriction.&quot; Resident requested that this grievance go to specific professional because she perceives others as teaming up against her." u="1"/>
        <s v="Resident claimed, &quot;I was seeing dark figures and I was to the point I wanted to hurt myself and I was hearing voices. I had asked 2nd shift staff to process and they said one minute and still never processed with me. And I almost hurt myself. I don't want to hurt myself. They need to be more therapeutic.&quot; Not enough information to determine which staff said this or if other milieu issues kept them from returning to her, but will be given to Supervisor &amp; Therapist for monitoring. " u="1"/>
        <s v="Resident claimed, &quot;Staff is always mean to me. They don't understand me. They don't fuss at me or nothing, but they don't understand me.&quot; Not written on a formal grievance form, so passed along to TS for safety's sake." u="1"/>
        <s v="Resident claimed staff member &quot;repeatedly looked at my butt and made me feel uncomfortable…I have caught this staff staring at me or my body parts more than one time on more than one occasion.&quot; Marked as complaint due to lack of evidence regarding When, Where, and How staff looked at her, as well as due to lack of witnesses mentioned. " u="1"/>
        <s v="Resident claimed that implicated staff yelled at her &quot;about my heating pad&quot; and unreasonably told her that she would stay in her room all night if she took a time-out." u="1"/>
        <s v="Resident claimed that implicated staff &quot;was eating in my face and I asked her to stop…because I didn't eat my snack and I'm hungry.&quot; Resident claimed she kept eating in front of her anyway." u="1"/>
        <s v="Resident said that he has trouble eating the muffins currently offered for breakfast and requested different ones. The LRA let him know that dietary would not honor individual requests for meals, but that he could ask management if they would consider providing change in muffins as an incentive or with the use of community group work. " u="1"/>
        <s v="Resident claimed this person &quot;cursed at me and put out private information.&quot;" u="1"/>
        <s v="Resident claimed that an unknown staff member &quot;tried to get the youth all on her side to get me in more trouble with TL.&quot;" u="1"/>
        <s v="As per witness's assistance with writing, resident claimed &quot;that he believes the therapist's attitude at the time was not in his best interest and he is requesting a change.&quot; Witness noted that he informed the resident that he does not believe the therapist acted unprofessionally or outside of policy." u="1"/>
        <s v="Resident complained about 4 specific staff members, saying that she was refused a time out in her room (&quot;like we agreed on&quot;), unreasonably refused a pen for writing something important, and refused to be given a grievance form. She claimed that two were laughing at her and mocked/bullied her based on her frustration. Names will be added to grievance if findings are true. Resident requested that this grievance go to specific professional because she perceives others as teaming up against her." u="1"/>
        <s v="Resident claimed &quot;The water cooler was dirty&quot; because he &quot;saw one of the residents put his hand in the cooler.&quot; This is important because &quot;We should have clean water to drink.&quot; Resident suggested that staff watch residents get water to keep them from putting their hands (or other things) in the drinking water." u="1"/>
        <s v="Resident claimed that implicated staff members called him a &quot;gay homosexual faggot.&quot;" u="1"/>
        <s v="Resident admitted that &quot;My behavior was a little out of control&quot; and that he was holding a broken plastic box and &quot;making noises with it.&quot; Implicated staff allegedly snatched the box out of his hand in a manner that scratched his hand with a piece of the broken plastic. Resident felt as through &quot;that was uncalled for.&quot;" u="1"/>
        <s v="Resident believed it was unreasonable that &quot;staff are putting us in our rooms and we have nothing to do. We feel like we are in jail.&quot;" u="1"/>
        <s v="Resident claimed that a peer had the ability to vandalize her personal property." u="1"/>
        <s v="Resident claimed that implicated staff yelled at her in a manner that was unreasonable and not congruent with therapy. She added that &quot;she has been yelling at me all day for no reason at all.&quot; Multiple witnesses have attested that this staff member often yells at residents." u="1"/>
        <s v="Resident claimed that implicated staff &quot;started talking about me to [another staff] for no reason in whispers, though I could hear her saying how I was bad and that she just wanted to smack me.&quot;" u="1"/>
        <s v="Resident claimed that he attempted to process a problem with a staff member before acting out. However, this person apparently said inflammatory things to him and caused him to escalate. He complained about being placed on a protocol and expressed the perception that the TS wantonly places others on protocols." u="1"/>
        <s v="Resident has perception that, despite being compliant, &quot;Apparently, [TS] and [RM] have said that they don't care if I'm compliant or not, I still don't get school, group, or AT. I am supposed to be doing my exam today, but instead I have to sit in my room all day and do nothing because they won't bring me work.&quot; Resident requested that this grievance go to specific professional because she perceives others as teaming up against her." u="1"/>
        <s v="Resident claimed that he and his peers get amped up when implicated staff &quot;scream&quot; or yell at them and threaten or actually enforce group punishment when only 1 resident in the covey is acting up." u="1"/>
        <s v="Resident wrote several grievances expressing his frustration with staff. He claimed that everyone, including the TS, TL, and STL, yells and curses at him and also threatens him. Resident claimed that no one will talk to him." u="1"/>
        <s v="Resident claimed his personal items were lost. They were reportedly taken for safety reasons and &quot;now they can't find it.&quot;" u="1"/>
        <s v="Resident claimed that despite his efforts to be polite, &quot;I was yelled at like I was a dog&quot; by a specific staff member. However, he did not request anyone to investigate and debrief him, only that someone would see his concern." u="1"/>
        <s v="Resident claimed that her meds make her hungry and she goes to bed hungry. She claimed, &quot;I'm starving&quot; and reported that this upsets her." u="1"/>
        <s v="Resident claimed that implicated staff threatened that &quot;I'm going to hit you in your kidney and bladder and stomach and it's going to bruise your kidney.&quot;" u="1"/>
        <s v="Resident claimed he took his shower and had to put away his hygiene items. &quot;I was rushed. She said if I wasn't in line I wouldn't get my dinner.&quot; Resident claimed that he was not given his meal because of this and he did not eat dinner." u="1"/>
        <s v="Resident claimed it has been so hot on his unit that he is very uncomfortable. The inability to use a fan and radio at night has kept him from getting restful sleep (because of lack of outlets). " u="1"/>
        <s v="Resident claimed that he is not getting enough to eat through regular portions not being served properly. He claimed they are especially hungry now that &quot;staff are no longer able to buy us food or give us food.&quot;" u="1"/>
        <s v="&quot;There are boogers on the walls in the shower… It is so gross and I have to use those showers every day.&quot; Recommendation is to discuss in community group." u="1"/>
        <s v="Resident claimed that implicated staff unreasonably kept her from going to school." u="1"/>
        <s v="Resident claimed that &quot;I was refused to go downstairs to eat dinner for no reason, and [implicated staff] said I couldn't go.&quot;" u="1"/>
        <s v="Resident claimed that the dayroom was very loud and it gave her a headache. She claimed that when she asked for a time-out to get away from the noise, named staff member denied a time out. She said this person gave her no reason, so she felt as though the time-out was denied in a manner that was unreasonable." u="1"/>
        <s v="Resident claimed that implicated staff allowed one dayroom to go outside but unreasonably denied another dayroom to go outside. He claimed this person did not treat them fairly. However, he did not request follow-up, so follow-up is being left to TS discretion. Implicated staff's name is not listed because it was a complaint w/o request for follow-up. " u="1"/>
        <s v="Resident complained that her therapist should not see her residents in psychoeducational groups. &quot;She got 3 girls in a group. Talk to them in one session. She just needs to stop.&quot; She attributed the problem to her therapist, although it appears as a programming issue that cannot be changed. This complaint was also written on the same day that some residents on this therapist's caseload had engaged in attention-seeking behaviors." u="1"/>
        <s v="Resident claimed these two mentioned staff members refused to let her get water and explained that this was due to her behaviors. However, she felt as though their offer to bring water was done in an unsanitary way (please see grievance 138.2)." u="1"/>
        <s v="Resident claimed the decision of Case #23.2 should be appealed because staff member &quot;snatched me up out my chair almost breaking my arm.&quot; Physical restraint log indicated that nurse was called roughly 8 hours after the restraint. " u="1"/>
        <s v="Resident claimed that teacher attempted to physically intimidate him by showing up on his unit and acting in a provocative manner." u="1"/>
        <s v="Resident complained that &quot;We order something and we get something completely different or it's not cooked all the way. This morning I got really sick from dinner.&quot;" u="1"/>
        <s v="Resident expressed that he has been on protocol for an unreasonably long amount of time." u="1"/>
        <s v="Resident claimed &quot;I'm supposed to get a computer to do my school work on, but they keep telling me no. But I was told that all high school residents are supposed to get a computer to do my school work on.&quot; Treated as a complaint because the Education Dept. reserves the right to withold computers for valid reasons and provide alternative school work. Will be turned over to Dir. of Ed. for FYI purposes." u="1"/>
        <s v="Resident claimed that she was ignored when she requested to know about her protocol status." u="1"/>
        <s v="Resident claimed that implicated staff was unprofessional and un-therapeutic: When resident asked her why she couldn't go to the dayroom, &quot;She said out loud with peers around, 'because of your sexual behaviors.' And I asked [her] to please not say it out loud. She said, 'you asked me out loud.' And I said 'please don't say it out loud' and she wasn't receptive to it.&quot;" u="1"/>
        <s v="Resident claimed &quot;My roommate keeps peeling paint off the wall and it disrupts my sleep and its irritating. She does it on 2nd and 3rd and its disrupting me.&quot; Knowing that staff cannot control resident behavior, this has been passed along as a therapeutic concern." u="1"/>
        <s v="Resident claimed that she was denied her meal/ kept from eating." u="1"/>
        <s v="Resident believed that TS did not act appropriately by taking everything out of his room after he was extremely destructive. He believed that she did it unfairly/ inappropriately." u="1"/>
        <s v="Resident claimed it wasn't right for implicated staff to tell others not to tell him the time after he blatantly refused to follow her directives." u="1"/>
        <s v="Resident claimed that implicated staff responded to his aggressive behaviors with equally aggressive behaviors. Resident indicated that he didn't request anyone to investigate and debrief with him. Implicated staff's name won't be recorded since there would be no way to prove or disprove this claim without checking evidence. Supervisor: If you would like to issue a finding (True or False), please return to LRA to log." u="1"/>
        <s v="Resident claimed that &quot;I'm being threatened by every resident on Trans 2.&quot; She says she feels &quot;abandoned and used&quot; because of this." u="1"/>
        <s v="Resident claimed that named staff &quot;disrespected me very badly.&quot; " u="1"/>
        <s v="Resident claimed that implicated staff forced him to use the shower stall with a broken shower head in which the water came out too hard. When he tried to explain his request to change stalls, he claimed they wouldn't listen." u="1"/>
        <s v="Resident claimed that 3rd shift have been loud enough at night to keep him awake." u="1"/>
        <s v="Resident claimed this person unreasonably refused her grievance form." u="1"/>
        <s v="Resident claimed his money and auxillary cords have been stolen. He claimed that there should have been greater watchfulness to prevent this." u="1"/>
        <s v="Resident claimed that named staff member &quot;kept standing up every time I went to put my grievance form in the box,&quot; indicating possible physical communication of aggression." u="1"/>
        <s v="Resident claimed, &quot;A peer makes me feel unsafe feeling on his self and touching himself.&quot; He requested for someone to debrief him on this." u="1"/>
        <s v="Resident claimed that staff member kept him up 30 minutes after bedtime and then unreasonably denied a safety pen. This is contradictory in that resident complained he was kept up, bt then wanted to write after he was able to go to sleep. " u="1"/>
        <s v="Resident claimed that &quot;staff asked me to share personal info with a staff and I was punished for not [doing it]… I don't like being punished for something I was not comfortable doing.&quot;" u="1"/>
        <s v="Resident expressed frustration with the teacher taking the work off the board too soon and claimed that he was unable to get his work done." u="1"/>
        <s v="Resident claimed that implicated staff &quot;said she was going to make sure that she gets me out of the community and also she kept saying little smart shit out her mouth. That was not meant for everyone to know - what's going to happen to me at the end of the day.&quot;" u="1"/>
        <s v="Resident claimed named staff was engaging in favoritism." u="1"/>
        <s v="Resident claimed that implicated staff went to grab him in his room for the purpose of pulling him into the hallway for an escort. Resident alleged that implicated staff grabbed him by his boxers by the elastic waistband on his right front hip." u="1"/>
        <s v="Resident claimed that he was punished for standing up in the cafeteria to pull up his pants and tuck in his shorts; he claimed that his punishment was to sit on the bench during outdoor play time without being able to play." u="1"/>
        <s v="Resident claimed that implicated staff cursed at him in class." u="1"/>
        <s v="Resident claimed she was struggling and asked for someone to come speak with her via the grievance form. She did not request for any investigation - just submitted a request for attention/assistance." u="1"/>
        <s v="Resident claimed that staff left her in the bathroom on the school A-wing when the unit went elsewhere. She said that this is the 2nd time this has happened and that staff get mad at her for their alleged mistake." u="1"/>
        <s v="Resident claimed he was choked during a restraint." u="1"/>
        <s v="Resident claimed that showers are clogged and the resulting water smells terrible. He also claimed he needed a cleaning in his bedroom because the bathroom has urine on and around the toilet seat. " u="1"/>
        <s v="Resident claimed that &quot;[Named staff member] was saying thatpeer 1 had gotten beaten up by peer 2 and then he was also saying that peer1 couldn't fight and things like that. And saying peer 2 fights retarded. It's really not any of my business and [Team Supervisor] and peer 2 told me to write this.&quot; Treated as a complaint due to third person party writing the grievance. Also, a previous documented investigation shows that this resident has made false allegations about this staff member in the past. " u="1"/>
        <s v="Resident claimed that it is in her PCP that she is allowed to have her radio with her on the unit at all times. She reported that it is unfair that a struggling peer gets to take hers everywhere, whereas she has behaved well and does not get her radio more than 1 hour per day. " u="1"/>
        <s v="Resident claimed that an ice pack was unreasonably denied to her." u="1"/>
        <s v="Resident claimed that implicated staff unreasonably denied a PRN." u="1"/>
        <s v="Resident claimed that implicated staff placed him in an escort for no reason." u="1"/>
        <s v="Resident claimed that &quot;[Named staff member] was saying that peer 1 had gotten beaten up by peer 2 and then he was also saying that peer1 couldn't fight and things like that. And saying peer 2 fights retarded. It's really not any of my business and [Team Supervisor] and peer 2 told me to write this.&quot;  " u="1"/>
        <s v="Resident claimed that implicated staff blamed him for something he didn't do and yelled at the whole covey for one peer's actions." u="1"/>
        <s v="Resident claimed that implicated staff had untherapeutic behaviors by calling her a disrespectful child and arguing with her (which theoretically encourages oppositional behaviors). She also reportedly gloated about being able to leave while the kids have to stay behind." u="1"/>
        <s v="Resident claimed he was not allowed to go outside because he was too loud. Residents have a right to go outside on a daily basis. If he'd already been outside, then it could be decided if keeping residents inside for noise levels is an appropriate punishment. If he had not been outside that day, keeping him indoors for being too loud would be a rights violation." u="1"/>
        <s v="Resident claimed that implicated staff called her &quot;rude and disrespectful&quot; to another peer. She claimed that staff disrespected her boundaries through this behavior. If resident was acting rude and disrespectful, therapeutic implication is that talking to resident about her behavior would be helpful over making a public example of resident and utilizing negative attention to reinforce her behaviors. " u="1"/>
        <s v="Resident claimed that her bedroom assignment and personal items were all moved to another room while she was away at court. She claimed that she was moved to the hottest room, which caused her to sweat and have asthma attacks &quot;every night and I can't sleep.&quot;" u="1"/>
        <s v="Resident claimed that staff member kept him up 30 minutes after bedtime and then unreasonably denied a safety pen.  " u="1"/>
        <s v="Resident wishes to communicate a &quot;reminder&quot; and not a grievance: He claimed that the RM told him he would trade resident's steel-toed boots in for something he would be allowed to wear on the unit. Resident suggested that items from the Hope closet (high-tops and shorts) may be a good trade as he apparently needs those items more. He asked for the RM to follow up." u="1"/>
        <s v="Resident perceived that the supervisor lied or made a false promise because he &quot;got switched back to covey 4&quot; but believed he was supposed to be placed in covey 6. He accepted the possibility that there could have been miscommunication or challenges with resident dayroom assignments and agreed that grievance could be sent to supervisor for her consideration." u="1"/>
        <s v="Resident claimed that implicated staff threw several residents' dinners away and they did not get to eat. She was upset that he said he was going to dump the food in the trash and then allegedly did so. " u="1"/>
        <s v="Resident claimed that she is not getting enough food to eat and that this is causing the condition she labeled as &quot;Starving me to die.&quot;" u="1"/>
        <s v="Resident claimed that his food is often undercooked." u="1"/>
        <s v="Resident claimed that Mr. Green pushes his pillow and turns his fan off to wake him up in the mornings. Although turning the fan off could be seen as a reasonable wake-up method, physical interaction with a sleeping person (like pushing the pillow) could be counter-therapeutic for a resident with PTSD or other anxiety-related issues. TS will be notified and resident will be encouraged to write another grievance if it continues to happen." u="1"/>
        <s v="Resident claimed that &quot;I was sleeping and staff was talking real loud and I woke up.&quot; However, he did not request for anyone to look into the matter and debrief him; he indicated that he merely wanted someone to know." u="1"/>
        <s v="Resident claimed &quot;I'm supposed to get a computer to do my school work on, but they keep telling me no. But I was told that all high school residents are supposed to get a computer to do my school work on.&quot; " u="1"/>
        <s v="Resident claimed that she spoke to named staff member and he promised to talk to her. However, this person then talked to other residents and it upset the resident. It appeared as though this staff member got distracted. After speaking to the LRA, the resident went to named staff member to gloat that she told on him. He continued attempting to maintain a therapeutic relationship with her and explain his circumstances at the time. This will be marked as an unsubstantiated complaint but supervisor will not be asked to follow up unless she feels it is important to do so. " u="1"/>
        <s v="Resident claimed she was wrongfully denied her right to do hygiene." u="1"/>
        <s v="Resident claimed that &quot;I never get enough food in the morning. Nobody does.&quot;" u="1"/>
        <s v="Resident expressed that he was upset with his roommate and reported that &quot;my next step is to fight him.&quot; He requested to change his side of the room &quot;to be away from him.&quot;" u="1"/>
        <s v="Resident claimed that named staff &quot;disrespected me very badly.&quot; However, there is no further information about what actually happened, so this can only be marked as a potential difference in perception." u="1"/>
        <s v="Resident claimed that named staff member refused a time out, which she reported &quot;would not let me cope with my anger.&quot; Resident reported a perspective which made it sound like the decision not to provide time-out was very anti-therapeutic." u="1"/>
        <s v="Resident wrote 7 grievances in which she complained that staff were unreasonably rude to her and placed her on &quot;safety&quot; for no reason." u="1"/>
        <s v="Resident claimed that implicated staff &quot;called me a dumb ass and a crazy ass bitch.&quot;" u="1"/>
        <s v="Resident claimed that named staff member engaged in a power struggle with him. She forcefully put his book on the counter out of frustration and allegedly ripped it. " u="1"/>
        <s v="Resident claimed that implicated staff unreasonably punished him by sending him to his room when he asked why he couldn't talk during med pass." u="1"/>
        <s v="Resident claimed it was unfair that he didn't have a computer while other peers did have a computer." u="1"/>
        <s v="Resident claimed that implicated staff &quot;was told that we could go outside during RT, but he still decided that we were not going outside. He also did not even advise us that we could go outside. I enjoy going outside and I haven't been outside in 4 days.&quot; Resident rights say that residents have the right to go outside daily when it is safe. " u="1"/>
        <s v="Resident claimed she was given one more day of peer restriction because she spoke to a staff member from a different unit (with whom she was familiar). She felt as though this was an unreasonable consequence. " u="1"/>
        <s v="Resident claimed an unidentified peer continued to smell bad. Staff are aware of hygiene issues." u="1"/>
        <s v="Resident claimed that he's not getting enough to eat at dinner to the point that he becomes dizzy, gets a headache, and experiences mood issues because of it. " u="1"/>
        <s v="Resident claimed that staff unreasonably witheld her shoes and then would not tell her why they would not give them to her." u="1"/>
        <s v="Resident claimed that implicated staff has unreasonably denied her phone calls all week. " u="1"/>
        <s v="Resident claimed that implicated staff &quot;told me to shut the fuck up then I got mad and told her to shut the fuck up. Because I think this needs to stop.&quot;" u="1"/>
        <s v="Resident claimed that staff often refuse to listen to him attempt to express his needs or thoughts, which reportedly included continually coming down on him for negative behavior instead of listening to him and reinforcing positive behavior. " u="1"/>
        <s v="Resident claimed that &quot;staff didn't take residents outside for 2 days and I'm mad.&quot; However, resident did not request follow-up." u="1"/>
        <s v="Resident claimed that staff talk unreasonably loud while residents try to sleep. However, he noted that staff talk during hours which are not designated sleeping hours. The right to uninterrupted sleep should be honored during scheduled sleeping hours but does not have to be honored at other times (unless therapeutic considerations need to be taken). Resident noted that he's been sleepy and his reported inability to sleep has affected his mood. " u="1"/>
        <s v="Resident claimed it was unnecessary to be kept on the unit and out of school. " u="1"/>
        <s v="Resident claimed that named staff member &quot;said she was going to bump me back to modified peer restriction because I told her to get one of my peers because she was provoking me all day.&quot; It is noted that only Treatment Team members can make decisions to restrict patient rights." u="1"/>
        <s v="Resident claimed she did not get her medication at 3pm but instead got it at 4pm. &quot;I kept telling staff&quot; that she was supposed to get it at 3, but said that no one explained why she got it at 4." u="1"/>
        <s v="Resident claimed that implicated staff kept her from speaking to the RM when the RM was on the unit. She claimed that she wanted to relay a message to RM and felt it was unreasonable that she was not allowed to do so. She marked this under the right &quot;No one will explain something important to me.&quot;" u="1"/>
        <s v="Resident claimed that staff member had an unprofessional odor and cursed at him." u="1"/>
        <s v="Resident claimed, &quot;I was sad and needed to talk to someone, but [named staff] said no to everything and now I'm depressed. And she said 'I don't care about what you need to say.' So she hurt my feelings. But she doesn't care.&quot;" u="1"/>
        <s v="Resident used grievance to communicate something he is struggling with and may need help: He reported that he is frustrated with the other residents' behaviors and believes they're getting out of control. He reported that it's &quot;causing me to stay to myself.&quot;" u="1"/>
        <s v="Resident claimed &quot;Some night staff are very loud the nights they work. I already have sleeping isues as it is, so when I get &quot;good sleep,&quot; it's rare.  Turned in as grievance so that supervisor can acquire follow-up signature with resident." u="1"/>
        <s v="Resident complained that his roommate has poor boundaries &amp; poor hygiene which are affecting him. He did not request a debriefing, but asked for someone to see his complaint and &quot;see if any action could be taken&quot; to assist him." u="1"/>
        <s v="Resident expressed that she was struggling with other peer(s) and feels as though staff should be more pro-active on her behalf." u="1"/>
        <s v="Resident claimed that when staff member in 352.1 was reportedly providing untherapeutic response, TS reportedly did not respond in a helpful manner in that he did not &quot;listen and take it into consideration&quot; when she claims that she has been triggered." u="1"/>
        <s v="Resident claimed that his roommate was making sexually suggestive comments and gestures to him." u="1"/>
        <s v="Resident wrote, &quot;I was doing my business in the bathroom when [named staff] bust in the bathroom while I was in it. I tried to shut it back and I was in there 5 minutes. I had to hurry up and pull my pants back up and then she put my business out there, saying it loud. Now everybody is talking about it.&quot; Resident claimed this embarrased him and he cried. He also said this is not the first time this has happened." u="1"/>
        <s v="Resident claimed this staff member &quot;is rude to me. He doesn't want us to talk to him.&quot;" u="1"/>
        <s v="Resident claimed he was upset when a peer flashed him, causing him to flash the peer in return." u="1"/>
        <s v="Resident claimed that she was denied medication (Motrin) for her migraine." u="1"/>
        <s v="Resident claimed &quot;3rd shift staff would not allow me to do my hygiene when it says I'm allowed on my behavior plan.&quot; " u="1"/>
        <s v="As per resident, &quot;I was treated with disrespect and I feel unsafe because the staff be yelling at you one moment then the other they be nice to you and it makes me feel upset.&quot; She claimed to perceive favoritism because &quot;one moment a kid is roaming the halls and when I ask to go to the bathroom they say no. They shouldn't be letting kids walk around the halls and yelling at us.&quot;" u="1"/>
        <s v="Resident claimed that 2 named staff speak to each other loudly enough to keep students from concentrating. Claimed that they refuse to quiet down upon request." u="1"/>
        <s v="Resident claimed that &quot;I did not get my snack on 2nd shift after dinner because the kitchen didn't provide enough snacks.&quot;" u="1"/>
        <s v="Resident claimed that implicated staff member threatened him while he was trying to process with other staff." u="1"/>
        <s v="Resident claimed that &quot;I haven't got the right school work&quot; and believes that his teacher becomes visibly angry at him for asking for more challenging work. " u="1"/>
        <s v="Resident claimed implicated staff member acted untherapeutically: &quot;I was talking to [first witness] when implicated staff interrupted and said I'm not allowed to talk on MPR. I said, you can talk to staff. We argued, then she said, 'Just SHUT UP!'&quot;" u="1"/>
        <s v="Resident claimed that implicated staff &quot;called me a motherfucker.&quot;" u="1"/>
        <s v="Resident claimed he asked a monitoring staff a question. TL told them &quot;Is that ya'll two talking loudly again?&quot; because he and roommate had a loud conversation on the prior night. Res claimed implicated staff told him to come out of his room &amp; sit on the other end of the hallway near therapist office. The complaint is that this was an unreasonable punishment and violated his right to uninterrupted sleep during scheduled sleeping hours.  " u="1"/>
        <s v="Resident claimed that she communicated to adult witness that she had a migraine. This person &quot;told [named staff] that I was requesting something for a headache (migraine). Named staff said she was busy. So an hour later she came to the door and requested anaprox for a headache she said she heard me. So when it was time for med pass, I requested anaprox again&quot; and it was not granted." u="1"/>
        <s v="Resident claimed that named staff member was rude to him while resident was waiting for the broom. When resident was later on the zone, staff member allegedly laughed at him and said &quot;you mad.&quot; He claimed that this happens consistently enough to upset residents on a regular basis." u="1"/>
        <s v="Resident claimed &quot;Every single day [named staff member] keeps saying that I keep staring at her. Today I was talking about group and she had a disrespectful tone. I am tired. Tell [staff member] not to talk to me.&quot; " u="1"/>
        <s v="Resident claimed she was missing a rag towel and night shirt when she got her clothes. Someone else's headband was in with her clothing. Resident utilized this opportunity to express that this started a fight between her and peer Serena. She claimed that she and Adar also do not get along. " u="1"/>
        <s v="Resident claimed that he was unreasonably kept from going to school because he was unable to wake up on time." u="1"/>
        <s v="Resident claimed that implicated staff unreasonably &quot;denied me the right to see my point sheet&quot; when she was struggling." u="1"/>
        <s v="Resident claimed that implicated staff &quot;put me in a restraint because he said I was breaking my skin. But no skin was broken.&quot; Resident felt restraint was unnecessary." u="1"/>
        <s v="Resident claimed she was struggling with peer D.F. and percieved that staff &quot;let her get away&quot; with bad behavior." u="1"/>
        <s v="Resident feels it is unfair that another resident &quot;doesn't have to wake up for hygiene&quot; and gets up later than others. " u="1"/>
        <s v="Resident claimed that he &quot;started a conversation with another staff and group started. I glanced once at the staff I was talking to and Ms. Gillian accused me of staring too long at a staff and changed the group to me staring…Singling me out for no reason.&quot; " u="1"/>
        <s v="Resident claimed that his therapist did not see him &quot;for a session all last week and this week.&quot; It is presumed that resident did not see a floater therapist or that his behaviors prevented him from being able to have sessions, if his claim is reasonable." u="1"/>
        <s v="Several adults reported that implicated staff made a threatening statement about a resident to co-workers after a restraint." u="1"/>
        <s v="Resident claimed that named staff member &quot;flicked me off.&quot; " u="1"/>
        <s v="Resident expressed the perception that she would behave better if she were exposed to more quiet environments. " u="1"/>
        <s v="Resident reported that his restraint was not performed properly in that he was grabbed around his ribs. He complained to his psychiatrist about rib pain after the restraint." u="1"/>
        <s v="Resident acknowledged that she did not behave according to the rules, so she went to her room and slept until 4pm. When she asked to program after that, the staff said no &quot;because I already explained the expectations to you.&quot; Resident claimed that her behaviors were fine from 9 or 10 until 4 pm and therefore she should program. Resident admitted that she wanted to program so that she could play basketball with her therapist &quot;and so people will see I'm trying.&quot;" u="1"/>
        <s v="Resident claimed that outside time was unreasonably reduced because there are &quot;too many girls.&quot; She claimed that they are not taken to their correct field and that there is not enough access to balls/ items to use to play with." u="1"/>
        <s v="Resident wanted to let it be known that &quot;a peer has claimed that someone has stolen a shirt of hers. She had then threatened peers, saying until her shirt shows up she will steal something from all of us.&quot; She believes that her peer needs greater help." u="1"/>
        <s v="Resident has gained perception that implicated staff is rude, disrespectful, and bullying to her because she dislikes resident. She claimed that this person regularly curses and says unprofessional things such as &quot;No shit, Sherlock,&quot; &quot;I really don't like you,&quot; and &quot;Get a life&quot; to resident. However, there is not any evidence (time, dates, locations, &amp; witnesses of incidents mentioned) in order to move forward with an investigation. Mgr is advised to follow up. " u="1"/>
        <s v="Resident expressed struggles with peers and with the perception that staff were ignoring her." u="1"/>
        <s v="Resident claimed there was a lapse in safety when (allegedly) no staff were available to stop a peer from attacking others and going AWOL." u="1"/>
        <s v="Resident claimed he was unfairly accused of getting into staff's body space when he was not, but that the (reportedly) unfair accusation was then reflected on his points sheet. " u="1"/>
        <s v="Resident claimed his peer Isaiah has been making sexual gestures toward him while making eye contact, but stopping before staff can catch him in the act." u="1"/>
        <s v="Resident claimed that implicated staff was told &quot;that it was okay to go outside and he said 'no.' And we stayed on the unit.&quot; Resident rights say that residents have the right to go outside daily when it is safe. " u="1"/>
        <s v="Resident claimed that implicated staff ignored her request to call the nurse. Resident claimed that it is a searing pain: &quot;I was sitting in my doorway and crying and I walked out of area and went behind the tent and got something to help the pain.&quot; " u="1"/>
        <s v="Resident claimed, &quot;I did everything I was supposed to until rest &amp; relaxation. I walked in my door a few times. Then when it came time for personals, I didn't get a thing.&quot; Upon follow-up, resident explained the perception that he had behaved throughout most of the day and felt as though his not following directives during rest and relaxation time was too minor to be consequenced for. He felt that he should have been rewarded for his positive behavior and at least provided with a coping skill from his personals." u="1"/>
        <s v="Implicated person allegedly &quot;didn't let us go to the computer lab when we were supposed to. I worked hard this week so I could go to the computer lab and I couldn't go.&quot;" u="1"/>
        <s v="Resident claimed that she &quot;was talking to [witness] and implicated staff interrupted and said, 'You have something to say to me?' I said no! Then she also said how staff and residents act like fools and she didn't wanna be working today.&quot; Resident said she went into the hallway to cool down but heard her gossiping about others. She claimed this type of rude behavior is an &quot;everyday thing.&quot;" u="1"/>
        <s v="Resident claimed, &quot;I asked the nurse for meds for my cut and she said no. And I really needed some because it was burning.&quot; She perceived that her medical need was not met." u="1"/>
        <s v="Resident claimed an escort was initiated for no reason and that it was done poorly." u="1"/>
        <s v="Resident claimed that due to his on-going AWOL protocol, he has been kept from going outside on a reasonable basis for several months. This includes exclusion from the caged area. He suggested the use of a 1:1 staff so that he can get his outside time. " u="1"/>
        <s v="&quot;It's hot as balls on this unit and I can't stand it.&quot; Resident did not require follow-up, instead wanted to communicate his perception." u="1"/>
        <s v="Resident claimed that he and his peer were told to stop playing with his Pokemon cards. He was confused because he had played with them for two days prior &quot;and nobody said anything.&quot; " u="1"/>
        <s v="Resident claimed that he &quot;started a conversation with another staff and group started. I glanced once at the staff I was talking to and the therapist accused me of staring too long at a staff and changed the group to me staring…Singling me out for no reason.&quot; " u="1"/>
        <s v="Resident requested to speak to 3rd shift TS with complaints that staff on this shift are rude and disrupt her sleep." u="1"/>
        <s v="Resident expressed that she struggled with her meds. She reported that her meds make her sleepy, but that she was not allowed to lay down. She did not believe this was fair, so she refused her meds. " u="1"/>
        <s v="Resident claimed she was denied breakfast and lunch because she would not change her clothes." u="1"/>
        <s v="Resident claimed that he lost his lego piece inside the heater. When he tried to get it out, he messed up the heater. He claimed that it upset him that someone accused him of messing up the heater on purpose. " u="1"/>
        <s v="Resident claimed that &quot;The teacher had started yelling at me&quot; because of his work." u="1"/>
        <s v="Resident claimed, &quot;[Specific staff] said if we do good on Saturday, we can call our moms. So I asked 15 times and [implicated staff] let everybody else go in front of me. So I got mad and fussed her out and she got mad and whatever but I just went back to my dayroom.&quot; Resident claimed this upset her because she did well but then did not get the promised reward." u="1"/>
        <s v="Resident claimed that implicated staff member handed out worksheets and did not give him his last worksheet on purpose, which will cause him to get an F. He said that the adult witness present would agree that implicated staff did it deliberately to sabotage resident. He expressed fear of getting a 0 because of this individual.  " u="1"/>
        <s v="Resident claimed it was unreasonable for implicated staff to watch her pray in the comfort room. She claimed that she has not been given reasonable ability to pray lately." u="1"/>
        <s v="Resident expressed frustration with the way the TV is handled in the dayroom and felt as though no one was listening to him. He reported that he gets upset that staff reportedly allow peers to change channels, or that they get &quot;very loud while I'm trying to watch a movie.&quot;" u="1"/>
        <s v="Resident claimed that implicated staff &quot;hurt me by pushing me in my room with her nails.&quot; Residential Manager had her write a grievance." u="1"/>
        <s v="Resident believes that a peer is never consequenced for bad behavior when he is consequenced for similar behaviors. He believes that decisions are not being explained to him." u="1"/>
        <s v="&quot;I needed to talk to AT staff and do my own hygiene box and clean it, and talk to [AT staff] about getting new soap because mine now is breaking me out. They refused to bring us upstairs because they're lazy and I feel we should get a fair opportunity to do our own boxes and relay our concerns. I need new soap and now I have to wait until next Wednesday, using the soap that breaks me out. We should be able to go upstairs and do our hygiene boxes like the rules say that we should.&quot; Resident requested that this grievance go to specific professional because she perceives others as teaming up against her." u="1"/>
        <s v="Resident claimed that implicated staff member denied his right to shower by ignoring him when he attempted to let her know that he hadn't showered." u="1"/>
        <s v="Implicated staff engaged in physical interaction against policy with resident listed in &quot;witness&quot; section." u="1"/>
        <s v="Resident claimed she told her therapist &quot;I know I have been doing good. She said no you have not. She went to check the transitions. She said come here, and I did not want to, so she came to me and then read it out loud so every body can hear it. She would not like people to do that to her.&quot; However, please see case 87.2 - additional account was that this resident was threatening her therapist, calling her a bitch and &quot;she is going to get her fired for no reason.&quot; This account claimed resident was not listening in group and tht this resident was not being truthful." u="1"/>
        <s v="Resident claimed implicated staff &quot;was yelling at me and my peers because I was not out of the shower.&quot; " u="1"/>
        <s v="Resident claimed this individual refused his grievance form." u="1"/>
        <s v="Resident claimed that &quot;today I wanted to masterbate and [named staff] said if I do he will restraint me.&quot; Claim is that resident was told she would be restrained for attempting masterbation. " u="1"/>
        <s v="Resident claimed that implicated staff enforced an impromptu quiet time just to be spiteful to the kids." u="1"/>
        <s v="As per resident, &quot;I asked to see my point sheet and I was being ignored by staff so I told staff that she couldn't do that because I have a right to look at how I'm doing.&quot;" u="1"/>
        <s v="Resident provided alternative perspective to the complaint in Case 87.1, explaining that another resident was threatening to get her therapist fired for no reason and called her a bitch. She reported this resident was not being honest and was not behaving in accordance with group expectations." u="1"/>
        <s v="Resident claimed that two implicated staff were openly discussing him in a negative manner. They reportedly discussed his last allegation about a romantic relationship with a staff member, &quot;saying I'm obsessed and impulsive…&quot; He was upset about the remarks allegedly made about him and claimed that others could overhear as well." u="1"/>
        <s v="Resident claimed &quot;The cafeteria staff got my meal wrong and refused to fix it and at lunch today I found a hair in my food.&quot;" u="1"/>
        <s v="Resident claimed that implicated staff changed the channel to CMT to watch Dukes of Hazzard. Even though resident claimed he doesn't really watch TV, this upset him because he reportedly perceived it as a deviation from the unit rules. " u="1"/>
        <s v="Resident claimed this staff member &quot;refused me my teratment when I was upset.&quot;" u="1"/>
        <s v="Resident claimed this staff member &quot;refused me my treatment when I was upset.&quot;" u="1"/>
        <s v="Resident advocated for himself. He claimed that &quot;There are a lot of new people in my dayroom and they don't really know the rules. They have privileges that me and the old residents earned so now since they come into the dayroom not knowing the actual rules, and taking the new privileges for granted, they are misusing them. I try to correct and tell them that what they're doing is not right...but when I do they snap at me disrespectfully and staff says I start the problem. Most of the staff in our dayroom don't know the rules or are too laidback to understand the reason why I try to correct everything I know is wrong. This has been a problem for because I have been labeled as a bully because I try to help keep my dayroom intact when staff don't understand something dealing with the dayroom's rules. The pressure of that been adding on my back everyday causing me to be irritable and snappy because when people are yelling at me for being a bully, other people are yelling at me for not being a good leader.&quot; Resident did not request a follow up, but rather &quot;I want who ever sees this to know why some of my problems in the future are happening.&quot; He also wrote that he’s struggling with the “noise, disruption, disrespect, and unfairness” and feels stress in “trying to keep order in my dayroom.” Therapist was also alerted to his attempt to advocate for himself this way." u="1"/>
        <s v="Resident claimed she asked implicated staff to tie her shoe since she reportedly does not know how to do so. Implicated staff reportedly said &quot;no.&quot; Resident passed her shoe to a peer and implicated staff allegedly yelled at her for this and said, &quot;You shouldn't wear shoes if you don't know how to tie them.&quot; " u="1"/>
        <s v="Resident claimed that implicated staff was bullying him and picking on him." u="1"/>
        <s v="Resident claimed that staff &quot;didn't know how many girls we had. We went to the wrong area&quot; during a fire drill when the TL was not on the unit. " u="1"/>
        <s v="Resident wrote 4 grievances about how she felt as though she was inappropriately and unfairly restrained. Please see attached grievances for more details." u="1"/>
        <s v="Resident claimed he had his foot on a leg rest. Unknown staff member said, &quot;Get the fuck off the leg rest or I'll break your leg.&quot; Resident did not know guy's name but described him as 2nd shift, 6'1, &quot;talks about religion all the time,&quot; with buzzed side haircut, always wearing checkered shirts and a college ring on his middle finger. " u="1"/>
        <s v="Resident advocated for the ability to type notes on a computer rather than write them out by hand. She suggested that students should only be allowed to type up work if they are not on a protocol which prevents them from it. " u="1"/>
        <s v="Resident feels like named staff have not been nice to her because they are upset about her returning (and have told her as such)." u="1"/>
        <s v="Resident admitted that she was talking to her peers during quiet time, but felt it was unnecessary for someone to yell at her." u="1"/>
        <s v="Resident claimed that she was &quot;removed from the dayroom because I was singing lightly to myself…Everyone was singing but I got singled out because [implicated staff] doesn't like me since I got here and is always out to get me. I need help.&quot;" u="1"/>
        <s v="Resident claimed his teacher said that he thinks he's &quot;on top of the world,&quot; and that &quot;every time a compliment is about about someone else, [resident] has to be in the middle of the situation.&quot; He claimed that &quot;this has happened twice before&quot; and he perceives it as disrespect. Since it is difficult to investigate matters of perception, this will be processed as a complaint." u="1"/>
        <s v="Resident asked for a grievance and named staff allegedly said, &quot;Make sure you put everything down&quot; in a voice that resident perceived as &quot;nasty.&quot; He also claimed he heard her &quot;juw now behind my back said that she does not care that I am writing this grievance.&quot; He said &quot;that someone should put a stop to this disrespectfulness. We say 'yes sir, no sir, yes miss, no miss.' We deserve the same.&quot;" u="1"/>
        <s v="Resident claimed the implicated staff &quot;was having an attitude with me&quot; because the resident wanted to go to her room." u="1"/>
        <s v="Resident claimed that implicated staff unreasonably refused her access to a coping skill on her safety plan by telling her &quot;No, you're not agitated.&quot;" u="1"/>
        <s v="Resident claimed, &quot;I was playing pool. My turn was over. I passed the pool stick to [peer] and he dropped it and staff yelled at me to sit down. My behavior was bad but there was no reason to yell at me.&quot; " u="1"/>
        <s v="Resident complained that implicated staff member &quot;wouldn't allow us to go down to school until we cleaned our rooms.&quot; Resident complained that she had to make her bed &quot;4 or 5 times.&quot; In the grievance she wrote that she sat on the floor for about 20 minutes while wait to go to school, but she approached the advocate and said that she sat on her bed and was then told to make it again." u="1"/>
        <s v="Resident claimed, &quot;I then tired to talk to [implicated staff] and she ignored me too when I had a serious problem, then yelled at me for having an attitude after all of that.&quot;" u="1"/>
        <s v="Resident claimed, &quot;I then tried to talk to [implicated staff] and she ignored me too when I had a serious problem, then yelled at me for having an attitude after all of that.&quot;" u="1"/>
        <s v="Resident claimed implicated staff unreasonably screamed at her. &quot;I asked to take a time out and [implicated staff] said OK. I asked [witness] if I could process with her and she did. Then [implicated staff] was screaming at me and I didn't do anything. Because someone is on SW2 and everybody else who's on protocoll I can't process. I need to process about my feelings.&quot;" u="1"/>
        <s v="Resident claimed she was upset because she was not allowed to clean her room. She believed that if another resident had asked to clean their bedroom, &quot;they would let them.&quot; She added, &quot;I think they should let us clean the unit.&quot;" u="1"/>
        <s v="Resident claimed she was missing a rag towel and night shirt when she got her clothes. Someone else's headband was in with her clothing. Resident utilized this opportunity to express that this started a fight between her and peer Serena. She claimed that she and Adar also do not get along. This will be passed to the TS as an FYI. " u="1"/>
        <s v="Resident claimed that &quot;I turned my chair around so I wouldn't look at the commercials. [Implicated staff] asked me 3 times to turn it around. I did not do it and I was arguing back and forth with him. I was being smart and he asked me a smart question and I told him I don't understand with him being smart. He said, yes I did, yes I did. It's a straight yes or no question. I got mad and walked out. He never said I was on dayroom resctriction...He insulted my intelligence. I should have listened and turne dmy chair around but [named staff] didn't have to insult my intelligence.&quot;" u="1"/>
        <s v="Resident claimed that implicated staff member &quot;kept talking about me to another staff saying that nobody likes me because of my behavior.&quot;" u="1"/>
        <s v="Resident claimed that she was not given medication on 1st shift because she was on an outing and staff was unable to provide it to her during transition. When she asked the 2nd shift med tech for her medication, the implicated staff replied &quot;It's not my job&quot; and &quot;first shift should have given it to you.&quot;" u="1"/>
        <s v="Resident claimed that the TL told him to be in front of a specific peer. However, he claimed that implicated staff appeared &quot;mean&quot; and insubordinate to TL by insisting that he stand in a different place in line." u="1"/>
        <s v="Resident claimed that implicated staff targeted him. He claimed that he nudged a peer's arm with his foot in order to let the peer know &quot;he was a little bit too close.&quot; Resident claimed that he was kicked out of the dayroom for the rest of the day for this and perceived it to be an excessive reaction. He claimed that he does not feel safe around this person because of excessive over-reactions he perceives as targeting. " u="1"/>
        <s v="Resident claimed that her and her peers' dinners were withheld for no reason. &quot;We were on the zone and staff refused us to eat because we were talking to each other but we were not being inappropriate.&quot;" u="1"/>
        <s v="Resident claimed that he found two fingernails in his chicken. They were &quot;brownish&quot; in color. He said that his therapist also saw the finger nails. " u="1"/>
        <s v="Resident claimed he asked a monitoring staff a question. TL told them &quot;Is that ya'll two talking loudly again?&quot; because he and roommate had a loud conversation on the prior night. Res claimed implicated staff told him to come out of his room &amp; sit on the other end of the hallway near therapist office. The complaint is that this was an unreasonable punishment and violated his right to uninterrupted sleep during scheduled sleeping hours.  (Camera &quot;Triad Hall View 2&quot; confirms that he did sit on the hallway).  " u="1"/>
        <s v="Resident claimed her medication was refused as a punishment for refusing her nightly meds, and then offered as a reward to try to get her back on the unit." u="1"/>
        <s v="Resident claimed that implicated staff improperly documented his being on an inappropriate website. He claimed that his attempt to check gmail was different." u="1"/>
        <s v="Resident claimed that the teacher &quot;got in my face.&quot; However, upon interviewing resident, it sounds as though floor staff may have undermined teacher; teacher said that resident couldn't be on a website, but staff said she could be. Teacher may have been attempting to re-establish authority. " u="1"/>
        <s v="Resident claimed that she needed to &quot;go downstairs so I can get the things I need for court.&quot; This included &quot;my phone and things to change into.&quot; However, it is noted that phones are not allowed on units.  " u="1"/>
        <s v="Resident perceived favoritism toward her peer since she was reportedly able to have access to her personal items while on protocol." u="1"/>
        <s v="Resident claimed that it was unreasonable for implicated staff to refuse phone calls. Resident admitted that peer behaviors were severe." u="1"/>
        <s v="Resident claimed that she needs to use her inhaler every night but does not have it after admission. She feels as though she has been given the wrong medication." u="1"/>
        <s v="Resident claimed implicated staff unnecessarily yelled at resident and modeled intrusive behavior. " u="1"/>
        <s v="Resident complained that she corrected her behavior after the teacher told her that she was misbehaving. She felt it was unfair that she was not rewarded appropriately. " u="1"/>
        <s v="Resident claimed she was in a restraint that was too rough. She claimed that when she yelled out &quot;I can't breathe,&quot; staff in the restraint &quot;only pushed harder.&quot; She said that her clothes were ripped in the process and believed that was unreasonable." u="1"/>
        <s v="Resident claimed that &quot;other staff talk about me everyday being negative towards me.&quot; She perceives that these individuals do not like her. " u="1"/>
        <s v="Resident claimed &quot;I was in an escort in another peers room because me and that peer got into it and then a bigger peer was trying to fight me and they pushed me into her so she could beat on me.&quot;  " u="1"/>
        <s v="Resident claimed that his Bible was in his coat. When his coat was taken away, he requested his Bible but was reportedly given no reason for why he couldn't have it. " u="1"/>
        <s v="Resident claimed that her back has been hurting with sharp pains but that &quot;no Tylenol or Motrin (600 mg) will help it. They said take tylenol when I told them. They're not listening and you can only take so much before you snap.&quot; She said that she spoke to &quot;the nurse&quot; twice but reported that &quot;someone should let me see Ms. Sandy.&quot; " u="1"/>
        <s v="There were allegations that implicated staff may have committed boundary violations with resident." u="1"/>
        <s v="Resident advocated for keeping the white board in the classroom." u="1"/>
        <s v="Resident asked for a grievance and named staff allegedly said, &quot;Make sure you put everything down&quot; in a voice that resident perceived as &quot;nasty.&quot; He also claimed he heard her &quot;just now behind my back said that she does not care that I am writing this grievance.&quot; He said &quot;that someone should put a stop to this disrespectfulness. We say 'yes sir, no sir, yes miss, no miss.' We deserve the same.&quot;" u="1"/>
        <s v="Resident claimed that implicated staff hit him several times in the elevator." u="1"/>
        <s v="Resident claimed that she felt cold draft coming through the bottom of her window. She expressed concern about someone getting sick. She suggested &quot;silicone sealant on the edges and cracks of our windows.&quot;" u="1"/>
        <s v="Resident expressed the need to talk to someone about her altercation with her peer." u="1"/>
        <s v="Resident claimed that peers pick on others about sexuality but staff have not intervened appropriately. She wrote a letter to the E.D. in which she claimed that staff will also make jokes about residents' sexuality. Letter was given to E.D. on 7/6/15.  " u="1"/>
        <s v="Resident passed a book to her peer in which there was a folded piece of paper with one of her songs on it. Staff took the paper because this is a common method for passing inappropriate notes between residents. Resident heard named staff ripping something up, but did not actually see if it was her song or not. She became upset because she assumed it was her song. " u="1"/>
        <s v="Resident claimed that staff's actions unreasonably kept him from having clean clothes and being able to shower." u="1"/>
        <s v="Resident claimed that named staff member was &quot;getting mad at me for telling on him to staff&quot; or the supervisor. If true, this could be perceived as retaliation." u="1"/>
        <s v="As per witness's assistance with writing, resident claimed &quot;that he believes the therapist's attitude at the time was not in his best interest and he is requesting a change.&quot; " u="1"/>
        <s v="Resident claimed that she follows rules but the behavior of others keeps her from finishing her puzzle: &quot;Every time I don't get to finish my puzzle, staff ask peers to take them apart.&quot; She claimed that staff let peers touch her personal belongings (puzzles). " u="1"/>
        <s v="Resident claimed she was speaking to another staff when implicated staff member walked up to her and said, &quot;What the fuck are you looking at?&quot; She claimed that this caused her to put her middle finger up at implicated staff member." u="1"/>
        <s v="Resident claimed that implicated staff unreasonably denied his bathroom request at 9 am, allowed another peer to use it when he asked later, and told resident to wait until 9:30 AM despite resident's reported bowel state." u="1"/>
        <s v="Resident claimed that staff have not sought medical help for her problem. &quot;I have not used the bathroom in over 3 weeks and have been asking for help with this problem for 2.5 weeks. No one will do anything but give me Phillips and that doesn't help. My stomach hurts, and I am feeling extremely nausiated. I am literally in tears right now. I need help.&quot;" u="1"/>
        <s v="Resident claimed that implicated staff chooses favorites and has refused medication." u="1"/>
        <s v="Resident claimed that implicated staff member refused to provide her meal as punishment because she walked out of area." u="1"/>
        <s v="Resident claimed that implicated staff &quot;sent me out of the dayroom for no reason&quot; when the girls attempted to apologize to each other." u="1"/>
        <s v="Resident advocated for himself: He admitted that he put the soap in the water cooler in the school area, causing multiple poisoning concerns and putting his peers' health and safety in danger - however, he felt as though it was unfair that he was not allowed to go to school after this. This grievance is being forwarded so that follow-up person can help resident understand more about the consequences of his actions and document his advocacy." u="1"/>
        <s v="Resident claimed that implicated staff looked at him while he was in the shower. Resident claimed that staff did so while accommodating another resident's request to make the water warmer. Resident wrote no reason to explain why this would be appropriate and said it made him feel unsafe.  " u="1"/>
        <s v="Resident reported that it was unbearably hot on the unit and in his classroom. Additionally, lack of available power outlets for fans has added to problem." u="1"/>
        <s v="Resident claimed that he was in pain and the nurse announced he had a psychotic disorder rather than take him seriously (as per resident's perception). He admitted that he reacted hysterically to this and she responded, &quot;Well, I'm leaving.&quot; The next day, he claimed that the nurse initially refused to assess him. He reacted negatively to this because he perceived it as being &quot;impolite, disrespectful, name-calling, denying my calls for help.&quot; Witnesses could not name nurse, but said she was the WP nurse on 6/17 and 6/18. " u="1"/>
        <s v="Resident claimed that implicated staff asked a question and then responded unreasonably when he attempted to answer it. He claimed that she placed him on MPR by herself." u="1"/>
        <s v="Resident claimed that she needed to clean herself. First shift did not put her clothes in the dryer while two second shift staff allegedly did not let her clean herself." u="1"/>
        <s v="Resident claimed that staff member misplaced her mp3 player and did not leave information about where it was, causing it to become inaccessible to resident and potentially lost." u="1"/>
        <s v="Resident claimed that 4 named staff (on 185.1 and 185.2) &quot;yell at me all morning every morning.&quot; She percieves this as bullying." u="1"/>
        <s v="Resident claimed that when he went to attack his peer/witness, implicated staff grabbed him on the left arm hard enough and long enough to leave a bruise. Resident showed a bruise that was yellow and fading. Camera Triad Hall View 5 @ 8:20 PM showed that staff member attempted to protect resident's peer by holding resident back. This caused him to eventually hold him by the shirt, which partially came off the resident in the altercation. He did not appear to grab the resident's arm.  This manner has been handed to the supervisor to determine level of appropriateness in staff response. " u="1"/>
        <s v="Resident claimed that he is not getting enough to eat through regular portions not being served properly." u="1"/>
        <s v="Resident has perception that having 3 staff working for 9 girls is unsafe. When communicating this to first witness, she claimed the answer was &quot;That's 'blank-blank' shift, we run our shift differently!&quot; She said this did not help. " u="1"/>
        <s v="Resident claimed that staff often yell and laugh loudly around 3 am &quot;every day.&quot;" u="1"/>
        <s v="Resident complained that &quot;this protocol has been going on too long,&quot; especially since &quot;my behavior has been good for the last week.&quot;" u="1"/>
        <s v="Resident expressed a perception that his peer needs a protocol. He did not ask for anyone to look into issue and follow up with him.  " u="1"/>
        <s v="Resident claimed named staff member said &quot;if I go down the stairwell she will push me down.&quot; Resident was not supposed to go outside but wanted to do so anyway and claimed this triggered him. However, it is possible that staff member was joking. " u="1"/>
        <s v="Resident claimed that implicated staff (named in witness section) would not allow her to wash her hands after a bowel movement. " u="1"/>
        <s v="Resident claimed that he was participating in a phone interview for UMFS and saw his therapist repeatedly shake her head at him. He felt &quot;she was trying to tell me I was lying.&quot; Resident claimed he did not lie. He was then upset when his TS spoke to him about lying during the interview, and believed that his therapist lied about him to the TS by claiming that he was lying. He not only felt upset about being falsely accused of lying, but that &quot;I get so many attitudes around here from people that I just turn the attitude around.&quot;" u="1"/>
        <s v="Resident claimed that he was severely distressed by staff yelling at the whole covey for one peer's behavior. " u="1"/>
        <s v="Resident claimed that she does not get her medications during the correct time frame on weekends. " u="1"/>
        <s v="Resident claimed that implicated staff promised him computer use if he did his work. She then allegedly lied that she did not have a computer to give him, as adult witness allegedly claimed that she did have one. Resident claimed he was upset about &quot;being lied to.&quot;" u="1"/>
        <s v="Resident claimed that after the verbal back-and-forth with implicated staff member, she reached into her bag in a manner which indicated (to him) that she was going to pull something out to hit him with. Resident claimed she held the bag in front of her and reached inside in a very overt manner." u="1"/>
        <s v="Resident claimed &quot;I asked for something for my leg and my leg swollen.&quot; She did not request follow-up or debriefing. Passed to TS as a safety measure." u="1"/>
        <s v="Related to claim 208.1: Resident felt that staff allowed for a resident to be placed in harm's way and this has caused an unsafe situation for others on the milieu because &quot;the staff are disregarding everything that the residents are saying.&quot;" u="1"/>
        <s v="Resident claimed that someone stole or took away her make-up. She requested more help than attending shift were able to offer." u="1"/>
        <s v="Resident claimed implicated staff took an unreasonably nasty tone with him. " u="1"/>
        <s v="Resident was reportedly playing with others peers and implicated staff. This staff member threatened to &quot;fuck you up&quot; (to resident) if resident touched her again." u="1"/>
        <s v="Resident claimed that implicated staff refused to help her and were rude as she requested help." u="1"/>
        <s v="Resident claimed that implicated staff unreasonably refused to let her go into the dayroom, to get her items out of the dayroom, and was also refused her personal items." u="1"/>
        <s v="Resident claimed that this person engaged in verbal abuse. However, this is impossible to prove due to lack of information such as what was said, where it was said, and at what time." u="1"/>
        <s v="Resident expressed a struggle with staff in which she did not understand why she had to go into the dayroom nor why she was not allowed to have ice." u="1"/>
        <s v="Resident claimed that staff on all shifts have generally been &quot;going overboard with what they want to do because they are staff.&quot; He reported feeling as though staff are not attempting to &quot;meet me half way of how I see things.&quot; He also claimed, &quot;the proper consequences are not being laid before us.&quot;" u="1"/>
        <s v="Resident claimed that implicated staff member threatened him by telling him &quot;he was gonna snatch my ass up&quot; if he didn't get out of his doorway and turned his light off." u="1"/>
        <s v="Resident complained that 4 specific staff members acted very unprofessionally during dinner." u="1"/>
        <s v="Resident claimed that implicated staff engaged in and encouraged bullying behaviors: &quot;I was in my room and [a peer] said my Jordans were fake and I let it go. But about 45 mins later I'm talking and [implicated staff] said 'You need to stop talking, with your fake Jordans on.' And she made the whole zone start talking about me.&quot; Other peers reportedly began unkindly teasing the resident about her shoes because of implicated staff's comments.  " u="1"/>
        <s v="Resident claimed he was placed in an unnecessary restraint in which his wrist and finger were bent and/or twisted to the point he could have been injured." u="1"/>
        <s v="&quot;I asked [implicated staff] to tell me why I was on a modified plan but he refused to tell me.&quot;" u="1"/>
        <s v="Resident claimed that staff choked another resident (addressed in Case #270 via allegation made by original resident). " u="1"/>
        <s v="Resident expressed feeling as though it was unfair that 2 peers weren't put on precaution for fighting on Saturday." u="1"/>
        <s v="Resident claimed that he did not get his PRN, that staff are negative to him, that he was refused a grievance, and that staff &quot;keep yelling at me and not telling me what's wrong with what I do.&quot;" u="1"/>
        <s v="Resident claimed that implicated staff practiced favoritism by calling for backup while she was talking to a nurse about medication; she claimed that she walked Out of Area only once, but that other residents can go OOA multiple times before assistance is called. " u="1"/>
        <s v="Resident claimed that she communicated to adult witness that she had a migraine. This person &quot;told [named staff] that I was requesting something for a headache (migraine). Named staff said she was busy. So an hour later she came to the door and requested anaprox for a headache she said she heard me. So when it was time for med pass, I requested anaprox again and she said 'you just want to take meds.'&quot; Resident claimed that her medical need was ignored and she was accused of med-seeking." u="1"/>
        <s v="Resident perceived that rules related to AWOL prevention were not placed fairly upon a resident. " u="1"/>
        <s v="Resident claimed implicated staff &quot;swept up all my pictures I worked hard on doing and tried to throw them all away when I wasn't looking.&quot;" u="1"/>
        <s v="Resident claimed implicated staff attempted to get an ice pack from him; he claimed that he swung at her &quot;and then she hit me in the face.&quot; Resident was hesitant to name witnesses, saying &quot;They're gonna lie.&quot; (Resident had also complained about another peer's behaviors and wanting church services. LRA reiterated that staff do their best to assist his peers with destructive behaviors and that he was able to go to church if/when he is allowed off campus his LG or with someone  of whom the LG approves.)" u="1"/>
        <s v="Resident claimed she was unreasonably denied the ability to brush her teeth in the morning." u="1"/>
        <s v="Resident wrote on a crumpled sheet of copier paper that implicated staff refused to provide her with a grievance form. She submitted grievance forms on other dates, but not on 5/24/15." u="1"/>
        <s v="Resident claimed that she was trying to sleep when a staff member's personal cell phone timer &quot;kept going off on the zone.&quot; Marked as complaint since it is unknown whose cell phone it was, but supervisor asked to monitor situation." u="1"/>
        <s v="Resident claimed this teacher is rude to him. He reported that it upsets him when she claims other students are doing work when he does his work as well. He believes that he isn't being given work at his grade level." u="1"/>
        <s v="Resident claimed he was unreasonably denied time-outs when they should have been granted." u="1"/>
        <s v="Resident claimed that &quot;[Named staff member] was saying thatpeer 1 had gotten beaten up by peer 2 and then he was also saying that peer1 couldn't fight and things like that. And saying peer 2 fights retarded. It's really not any of my business and [Team Supervisor] and peer 2 told me to write this.&quot;  " u="1"/>
        <s v="Resident claimed that med tech was giving her medication different from what her doctor told her to do. She requested for a nurse to follow-up with her to ensure that she's getting the right meds." u="1"/>
        <s v="Resident claimed that implicated staff falsely accused her of calling a peer a name when resident claims that she did not. Resident felt that she was unfairly &quot;threatened&quot; with being placed on peer restriction when she was reportedly trying to tell her peers to &quot;mind their own business&quot; and leave her alone." u="1"/>
        <s v="Resident claimed his phone call was unreasonably refused." u="1"/>
        <s v="Resident complained that she got into a verbal back-and-forth with a peer and admitted that she made a highly inappropriate comment about segregating the dayrooms based on race. Her peer reportedly tattled on her and she felt as though her peer should be placed on MPR. She said this was important to her &quot;Because they're trying to put me on peer restriction.&quot;" u="1"/>
        <s v="&quot;I was in the classroom and the teacher was being very rude to me and I did not like it. I was doing my work and she was wanting me to do it her way and she got mad then I put my head down and she kicked me out.&quot;" u="1"/>
        <s v="Resident claimed that during his phone call, his mother asked to speak to someone at the desk. He said he gave the phone to named staff and that she was disrespectful to his mother. " u="1"/>
        <s v="Resident claimed these staff were &quot;being loud&quot; and it disrupted his sleep." u="1"/>
        <s v="Resident claimed that implicated staff &quot;called me names like 'stupid' because I wouldn't listen.&quot; She said it was in response to staff kicking her out of the dayroom and she claimed not to understand why." u="1"/>
        <s v="&quot;When I want to take a shower, they didn't give me soap for my hair and they said that the AT ladies took it because they said that they go mad because residents keep using a lot, plus the AT staff knows who gets a lot of soap.&quot; Resident would like &quot;to get soap because some residents know how to use it right and they should not punish all of the residents.&quot; " u="1"/>
        <s v="Resident explained that he refused group and 2nd block of school. He was then not allowed to go to the last block of school, which would have allowed for him to get a haircut. On one hand, Resident Rights say that there are consequences for refusing treatment (like group or school) but they also say residents have the right &quot;to obtain services of a barber.&quot; It is up to Treatment Team to determine how this should be interpreted for Triad." u="1"/>
        <s v="Resident claimed that implicated staff unreasonably cancelled her court-ordered TTV." u="1"/>
        <s v="Resident claimed that implicated staff threatened to punch a peer in the ribs for stepping out of his room. " u="1"/>
        <s v="Resident claimed that implicated staff threatened tp punch a peer in the ribs for stepping out of his room. " u="1"/>
        <s v="Resident claimed first implicated staff &quot;B&quot; told him &quot;no&quot; when he asked to go to TP2. He then asked 2nd staff, &quot;E&quot; if he could go and told E that B had said no. E was reportedly TL and said &quot;yes&quot; and that he would &quot;take care of it&quot; regarding B's saying no. Resident was in  dayroom for a while before brought to B, who reminded him that splitting staff had consequences and sent him to bed. Resident felt this was unfair since he had been allowed to go to TP2 and that E was TL. " u="1"/>
        <s v="Resident claimed his coping skill was unreasonably denied: &quot;I asked to use my coping skill which is cleaning up and he said no.&quot; This was important &quot;because I was about to get destructive and I don't want to.&quot; Resident admitted that he was angry at the time." u="1"/>
        <s v="Resident claimed that she communicated to adult witness that she had a migraine. This person &quot;told [named staff] that I was requesting something for a headache (migraine). Ms. Sherlitha said she was busy. So an hour later she came to the door and requested anaprox for a headache she said she heard me. So when it was time for med pass, I requested anaprox again and she said 'you just want to take meds.'&quot; Resident claimed that her medical need was ignored and she was accused of med-seeking." u="1"/>
        <s v="Resident struggled with multiple issues in which she felt as though her needs were not being met. When she attempted to talk to multiple staff, she claimed &quot;nothing happened.&quot; The biggest issues appear to be that her inhaler and requested coping skills weren't provided." u="1"/>
        <s v="Resident claimed that implicated staff retaliated against her: Resident woke up late so implicated staff chose the regular meal of fish for resident. Resident is allergic to fish. When she pointed this out to implicated staff, the response was, &quot;I don't care, you should have got up on time.&quot; Another staff (witness) had to fix the problem." u="1"/>
        <s v="Resident claimed that implicated staff imposed peer restriction on her without 2 or more members of the treatment team approving it. Resident requested that this grievance go to specific professional because she perceives others as teaming up against her." u="1"/>
        <s v="Resident &quot;asked [implicated staff] if I can call my mother. He said, 'It's too late for that.' And I said, you told me to hold on and I did, but you said I can't get a phone call because I was trying to fight.&quot; Resident believed her phone call was unfairly witheld from her." u="1"/>
        <s v="Resident claimed his roommate kept making &quot;nasty faces and looks&quot; toward him." u="1"/>
        <s v="Resident claimed &quot;every time I ask for something, they [staff] would ignore me.&quot;" u="1"/>
        <s v="Resident claimed that he snapped at a peer who kicked him, but another peer thought he was talking to him and &quot;beat me up.&quot; He said he was then put on safety and claimed that this was unfair since he did not do anything. " u="1"/>
        <s v="Resident claimed that she was not given the shower order/place in line which she had requested and reportedly needed. " u="1"/>
        <s v="Resident provided suggestion that it would be most helpful for residents if therapeutic groups were separated by &quot;maturity levels&quot; of the residents. He claimed that it bothered him when other residents &quot;are not taking it real, they sit there and laugh when some of us are trying to be real and listen to what they are saying in group.&quot; " u="1"/>
        <s v="Resident claimed that implicated staff called her a &quot;stupid ass.&quot;" u="1"/>
        <s v="Resident claimed he has only gone outside once for 10 minutes within a 2 week period and claims that this has been an excessive lack of outdoor time despite his AWOL status." u="1"/>
        <s v="Resident claimed that he struggles with transporting b/c of past trauma, which is evoked when peers in line get too close to him while behind him. He expressed the perception that 2nd shift does not respect his request/need to not have someone so closely behind him." u="1"/>
        <s v="Resident claimed that staff member told her peers &quot;that I needed to grow some hair.&quot; She felt as though the comment was very hurtful." u="1"/>
        <s v="Resident acknowledged that she broke a laptop but still believed that she should be given a retake on her quiz per the regular practice of having 3 retakes. " u="1"/>
        <s v="Resident claimed that she has been struggling with safety issues and was told she could go to her room, but was not told of the consequences for doing so." u="1"/>
        <s v="Resident claimed this individual lost his Jenga game." u="1"/>
        <s v="Resident claimed this person &quot;told me that no one cares about me enough to even talk about me, and was laughing when a peer was playing a song for her about me (the song was 'You're a stupid ho.')&quot;" u="1"/>
        <s v="Resident claimed that the two named staff kick on her bed to wake her up. She claimed that this triggers her via her PTSD symptoms." u="1"/>
        <s v="Resident claimed that &quot;She got in the middle of me and Mr. Riley about personals.&quot; It is unknown who this person is or if they acted inappropriately." u="1"/>
        <s v="Resident claimed that &quot;She got in the middle of me and [witness] about personals.&quot; It is unknown who this person is or if they acted inappropriately." u="1"/>
        <s v="Resident claimed that she was not allowed access to personal items as a group punishment in which she was reportedly not doing anything wrong. She claimed her personals are her coping skills." u="1"/>
        <s v="Resident claimed that named staff member accused her of things she did not do. " u="1"/>
        <s v="Resident claimed that &quot;Staff told me it felt like I was grooming them and I wasn't. So it made me feel unsafe. I don't want to be around her anymore.&quot; It doesn't sound like staff member did anything wrong, but that resident was not receptive to feedback from staff. Resident advocated for himself and may require follow-up." u="1"/>
        <s v="Resident claimed that another peer threatened to choke her in front of staff, and she felt as though staff should have intervened. &quot;I voiced this to the staff and they didn't do anything.&quot; She admitted that she had been rude to staff and peer.  Resident requested for this concern to be seen, but did not request follow-up." u="1"/>
        <s v="Resident wrote a grievance that he had an unnecessary physical restraint and that private information was &quot;used against me.&quot; When LRA interviewed resident, he admitted to engaging in aggressive behaviors and mentioned the idea of &quot;letting it go.&quot; When LRA reminded him that he could choose to let it go or choose to request that his complaint was thoroughly investigated and taken very seriously, he chose to let it go.  " u="1"/>
        <s v="Resident claimed that named staff member refused to give her candy to her &quot;because I wasn't listening to her.&quot; Resident felt as though this was unfair because it was her candy." u="1"/>
        <s v="Resident perceived favoritsm toward her peer since she was reportedly able to have access to her personal items while on protocol." u="1"/>
        <s v="Resident claimed staff member &quot;repeatedly looked at my butt and made me feel uncomfortable…I have caught this staff staring at me or my body parts more than one time on more than one occasion.&quot;  " u="1"/>
        <s v="Resident claimed he said something under his breath to named staff. When he would not repeat it, named person allegedly &quot;got mean and said 'you're too pussy to say what you just said out loud to me.&quot;" u="1"/>
        <s v="Resident claimed that staff were &quot;yelling in my face&quot; and &quot;going through my things without my permission&quot; when she did not do anything wrong." u="1"/>
        <s v="Resident claimed implicated staff told him &quot;that she didn't like me and not to speak to her. I became agitated because I was trying to be nice and she wasn't. She was rude to me.&quot;" u="1"/>
        <s v="Resident claimed that residents do not have enough time to eat because trays have to be downstairs by a certain time." u="1"/>
        <s v="Resident was not allowed to have his mp3 player because of the camera, but is upset that another resident is allowed to have his DS (a game system with a camera). He wants &quot;to know why he's allowed or why he's treated different than me?&quot;" u="1"/>
        <s v="Resident complained that 9pm med-pass interferes with her 8 pm bed time." u="1"/>
        <s v="Resident claimed, &quot;I was giving positive feedback to a peer and a staff want to disrespect me for helping a peer out. I was giving positive feedback to a peer to help him to calm down.&quot; Resident previously scratched out, &quot;To learn the rules about New Hope.&quot;" u="1"/>
        <s v="Resident claimed that her coping skill should not have been conditionally witheld. Rather than follow through with appeal process, PD agreed to look into matter." u="1"/>
        <s v="Resident is not allowed to call the suicide prevention hotline whenever she wants, but feels as though it would be helpful." u="1"/>
        <s v="&quot;Staff refused me to go to school, when I asked.&quot; A witness reported that she was given the opportunity to go to school but was unable to improve her behaviors." u="1"/>
        <s v="Resident claimed that staff have neglected to talk to her, giving her the perception that &quot;people are not here for me. Staff should have more time to talk to me.&quot;" u="1"/>
        <s v="Resident claimed that he was unfairly punished because the other person who started the fight was not punished. He claimed that 1st shift did not tell him he was placed on a protocol and he felt this indicated he was not getting enough feedback about his behavior." u="1"/>
        <s v="Resident claimed that &quot;[Named staff member] was saying that Lance had gotten beaten up by M.H. and then he was also saying that L.W. couldn't fight and things like that. And saying M.H. fights retarded. It's really not any of my business and [Team Supervisor] and L.W. told me to write this.&quot; Treated as a complaint due to third person party writing the grievance. Also, a previous documented investigation shows that this resident has made false allegations about this staff member in the past. " u="1"/>
        <s v="Resident claimed that implicated staff member unreasonable refused medicine for her headache." u="1"/>
        <s v="Resident claimed that implicated staff member unreasonably refused medicine for her headache." u="1"/>
        <s v="Resident claimed &quot;I was in an escort in another peers room because me and that peer got into it and then a bigger peer was trying to fight me and they pushed me into her so she could beat on me.&quot;  Restraint logs showed that resident engaged in a series of threatening and aggressive behaviors towards herself and others but refused nursing assessments 3x for each of the two escorts in which she was placed, meaning it was impossible to tell if she was harmed during escort. Camera footage did not show the presence of any other peers during resident's onslaught of aggressive and disruptive behavior." u="1"/>
        <s v="Resident reported that although staff handle his peer well, his peer displays sexually inappropriate behaviors which he believes indicate the need for his peer's placement on an SAY unit." u="1"/>
        <s v="Resident claimed that multiple items and processing opportunities were unreasonably denied to her over this weekend." u="1"/>
        <s v="Resident claimed she was unfairly placed on peer restriction for laughing when she passed gas, even though others laughed." u="1"/>
        <s v="Resident claimed that implicated staff &quot;told my therapist I was horrible and that made my therapist not give me my snacks.&quot; (This is not the issue.) Problem: Implicated staff member then reportedly took her own snacks into the dayroom and &quot;eats them right in front of me.&quot; " u="1"/>
        <s v="Resident claimed &quot;I was in the bathroom masterbating and [named staff] saw me with my pants down.&quot; " u="1"/>
        <s v="Resident claimed that implicated staff has been unreasonably harsh on residents by accusing them of having negative conversations and being too loud when they feel as though they are not. " u="1"/>
        <s v="Resident claimed he was not allowed to eat dinner despite being in his assigned area. " u="1"/>
        <s v="Resident claimed that implicated staff yelled at her in a manner that was not congruent with therapeutic treatment. She admitted that she was yelling at him." u="1"/>
        <s v="Resident complained that he gets hungry throughout the day and sometimes gets food from staff. However, he complained that sometimes they don't have anything to give him and he therefore wants double portions. He did not request for anyone to look into the complaint or debrief with him." u="1"/>
        <s v="Resident claimed that when she let named staff know &quot;that bullying is one of my triggers,&quot; he told her to &quot;mind my business.&quot; " u="1"/>
        <s v="Resident claimed that implicated staff engaged in favoritism by unreasonably witholding her coping skill request (magazines) while providing her peer with her mp3 player for her coping skill." u="1"/>
        <s v="Resident claimed that a &quot;peer threatened to butt rape me three times and staff did not do anything about it.&quot; " u="1"/>
        <s v="Resident claimed, &quot;I asked the nurse for meds for my cut and she said no. And I really needed some because it was burning.&quot; " u="1"/>
        <s v="Resident named implicated staff, but claimed that 2nd shift staff would not let kids play together and instead force them to watch TV. She said this is why residents are struggling." u="1"/>
        <s v="Resident claimed implicated staff member touched her inappropriately &quot;because I wouldn't move from a spot that I chose to sit in because staff was in my personal space.&quot;" u="1"/>
        <s v="Resident claimed that he is experiencing frustration with school work: &quot;I'm doing work but I can't read. I'd like to learn how to read. They give me work that I don't know how to read.&quot;" u="1"/>
        <s v="Resident claimed that implicated staff approached the dayroom to offer his phone call time to him. &quot;And I said I want my phone call by [another staff] not you [implicated staff] because I do not feel comfortable about you calling my momma. I don't feel comfortable talking to my mom with [implicated staff] in the room.&quot; Resident claimed that implicated staff &quot;refused it for me&quot; regarding his opportunity for a phone call." u="1"/>
        <s v="Resident claimed that she was &quot;removed from the dayroom because I was singing lightly to myself…Everyone was singing but I got singled out because [implicated staff] doesn't like me since I got here and is always out to get me.&quot;" u="1"/>
        <s v="Resident claimed that 3rd shift's lack of alertness during meal-taking time has caused him to receive meals he did not order." u="1"/>
        <s v="Resident claimed that implicated staff threatened her by saying, &quot;Next time you get up I'm going to engage in your restrait…I don't care if you're walking back to your room or not, I'm going to stop you. I'm not playing with you.&quot;" u="1"/>
        <s v="Resident claimed that implicated staff &quot;is abusive of his power and like he is targeting me, trying to get me in trouble. I do not feel safe with him around at all.&quot; He justified his feelings my explaining some of the interactions, such as when resident says he needs to use the restroom, &quot;he asked if I need a diaper. I said no but can I use the restroom. He pointed, so I went. Then when I get out he says I'm staying upstairs. These last couple weeks he has been standing over me constantly asking me what am I doing and am I allowed to do that when I know he knows the answer is yes. He has threatened to put me on MPR at least three times, and when I looked at a picture of my sister he tried to take it, saying I'm not allowed to have pictures of a girl.&quot;" u="1"/>
        <s v="Resident claimed that she was in Dayroom B. Dayroom A reportedly &quot;had a big problem, so they shut the whole unit down. I was mad because we had to go on the zone, and I could not finish my puzzle. I feel like I've been treated unfairly lately.&quot; Please see complaint 131.2." u="1"/>
        <s v="Resident admitted &quot;I was tossing batteries in the covey.&quot; When he gave it to staff, the implicated staff member told her to &quot;throw them in the trash instead of putting them in my personal box.&quot;" u="1"/>
        <s v="Resident claimed that implicated staff told her peer to throw away her tray. Resident admitted she went Out of Area for 5 minutes to speak with another staff member during that time, to return and find her food gone." u="1"/>
        <s v=" Resident claimed her safety plan item was not provided to her despite her appropriate attempts to ask for it all day. This issue was originally given to TS, but he did not provide findings and resident therefore appealed." u="1"/>
        <s v="Resident claimed he and his peers received unfair group punishment + were unreasonably denied items on safety plan." u="1"/>
        <s v="Resident expressed perceptions which expressed his personal pain and struggle. He did not request follow-up, but the messages are being passed along to the TS for communication purposes." u="1"/>
        <s v="Resident claimed &quot;Every day they serve marshmellow treat rice krispies and jello with no substitution for it for me.&quot; Resident believes these are pork products." u="1"/>
        <s v="Resident claimed implicated staff &quot;said (with a smikr&quot; that she knows I won't fight so I might as well be quiet.&quot; Resident percieved &quot;That was rude. She is here to help, not antagonize.&quot;" u="1"/>
        <s v="Resident claimed implicated staff &quot;said (with a smirk) that she knows I won't fight so I might as well be quiet.&quot; Resident percieved &quot;That was rude. She is here to help, not antagonize.&quot;" u="1"/>
        <s v="Resident expressed frustration that &quot;Staff is always taking Dayroom B outside at any given time. It's always random. When Dayroom A asks we get put on hold and it makes us upset. Today we were given 1:00PM to 1:30PM to go outside but meds are passed out so there goes 15 minutes and so between transport that only 10 mins to play outside. Dayroom B goes outside more often than Dayroom A but Dayroom B has been more aggressive towards peers and staff but they still go outside more than us.&quot;" u="1"/>
        <s v="Resident claimed others tried to call him in the facility but were unable to &quot;get ahold of me.&quot; Resident claimed that staff had the time and opportunity to let him try again, but they unreasonably denied his attempt." u="1"/>
        <s v="Resident claimed that it was unreasonable for implicated staff to tell him she would call the nurse for his motrin only after he got out of his doorway." u="1"/>
        <s v="Resident claimed that named staff member &quot;was entertaining the negativity of another peer and trying to yell at me for something the peer was provoking. It wasn't fair to me because I wasn't doing anything but I still got yelled at.&quot; " u="1"/>
        <s v="Resident claimed that her peer was crying and asked to speak to implicated staff. Staff allegedly responded by saying, &quot;Girl - bye,&quot; and then walking away." u="1"/>
        <s v="Resident claimed that implicated staff member &quot;yelled and cursed at me, so I cursed back.&quot;" u="1"/>
        <s v="Resident claimed that during his phone call, his mother asked to speak to someone at the desk. He said he gave the phone to named staff and that she was disrespectful to his mother. He believed that his mother asked this person to speak with him, but she said no because of time limits. Res claimed this was not what happened. However, this is a perception issue and each unit has different phone call rules." u="1"/>
        <s v="Resident wishes to appeal Case #23.1, in which she claimed that named staff ignored her and would not provide her with feedback regarding her form." u="1"/>
        <s v="Resident claimed she was told that she would be written as &quot;Out of Area&quot; so that she couldn't go on an upcoming outing. (Indication is that it was for retaliation purposes rather than not following directions). " u="1"/>
        <s v="Four residents on Trans 1 have complained that they ran out of shampoo &amp; conditioner (including the generic) on their unit on 7/6/15. An African American resident reported that she is only allowed to wash her hair on Tuesdays and Thursdays and expressed distress that she was unable to wash it on one of those days. A staff member reported that a resident had gone without a toothbrush as well. Please see attached documentation for more information. _x000a_" u="1"/>
        <s v="Resident claimed that even though he has 15-20 minutes of shower time, he only gets 10 because it is so cold. He claimed to perceive favoritism regarding shower time." u="1"/>
        <s v="Resident claimed that implicated staff &quot;walked in while I used the restroom and did not knock or have permission to come in. It makes me feel unsafe.&quot;" u="1"/>
        <s v="Resident believed it was unreasonable for his request not to be reviewed by Treatment Team. TT &quot;is on Thursday of each week and I turned in a request form on Thursday morning (around 6:20 AM) for a TTV to go home, but my request was not reviewed, approved, or denied. They said that because it was turned in late, it would not be looked at. I needed an answer for my request so my lawyer could go before a judge and get approval for a visit home.&quot;" u="1"/>
        <s v="Resident claimed that the teacher got into a verbal altercation with him and cursed at him, but resident could not remember any of the curse words used. Teacher then allegedly stood up, took watch and jacket off, then walked to resident's desk and said, &quot;Say that again.&quot; When res responded, &quot;Shut the fuck up,&quot; teacher reportedly picked his desk up on the resident's right side by the legs. Res claimed he fell and hit his head on teacher's desk. Showed scab on head." u="1"/>
        <s v="Resident claimed that staff have allowed another resident to bully him and &quot;don't do anything about this problem.&quot;" u="1"/>
        <s v="Resident claimed her right to communication with someone on her contact list was denied due to favoritism: Her phone call time was on Monday, but &quot;so much was happening that night that I did not get my phone call.&quot; When she asked if she could make up for it on Tuesday, implicated staff reportedly told her &quot;no&quot; for no reason, even though &quot;other residents can call if they missed their call the day or so before.&quot; " u="1"/>
        <s v="Resident claimed these two individuals &quot;let&quot; a peer hit her in the face and then denied that she hit her." u="1"/>
        <s v="Resident claimed implicated staff pushed him back into his room by grabbing him by his left pectoral (he referred to it as his &quot;titty&quot;), squeezed, and pushed. He could not remember which hand was used. Claimed he said, &quot;You're not going out of here. You're not leaving.&quot;" u="1"/>
        <s v="Resident claimed that implicated staff yelled and cursed at him." u="1"/>
        <s v="Resident claimed Ms. Materangelo said that he thinks he's &quot;on top of the world,&quot; and that &quot;every time a compliment is about about someone else [resident] has to be in the middle of the situation.&quot; He claimed that &quot;this has happened twice before&quot; and he perceives it as disrespect. Since it is difficult to investigate matters of perception, this will be processed as a complaint." u="1"/>
        <s v="Related to claim 208.1: Resident felt that staff allowed for a resident to be placed in harm's way and this has caused an unsafe situation for others on the milieu." u="1"/>
        <s v="Resident claimed that this person &quot;kept provoking me by saying little stuff under her breath while I was speaking to another staff. [She] kept messing with me.&quot;" u="1"/>
        <s v="Resident claimed that there was not an adequate amount of staff to allow the girls to go outside for A.T. based on the fact that someone needed to ride in the elevator with her to go downstairs." u="1"/>
        <s v="Resident complained  that another resident has received favoritism based on the perception that this resident isn't consequenced for behaviors and gets TV privileges." u="1"/>
        <s v="Resident claimed that staff violated his safety plan by refusing to provide him with his radio. " u="1"/>
        <s v="Resident claimed that she was placed on a protocol for no reason. (Please ensure protocol was given by treatment team)." u="1"/>
        <s v="Resident claimed that she felt as though she received no recognition or rewards for her progress and good behavior. She requested to &quot;speak to a person who can possibly explain or make a change.&quot;" u="1"/>
        <s v="&quot;The RT staff told me we could only have certain amts of hygiene products and then I read the list and I noticed two things: First that this is not enough, we make mistakes sometimes and need more. And also the males are treated unfairly. I don't see how females are more sensitive and need Dove soap because I am just as sensitive and should be treated equally.&quot;" u="1"/>
        <s v="Resident claimed that he has not had enough to eat. He reported that the nurse weighed him and he lost 46 pounds." u="1"/>
        <s v="Resident claimed that he hasn't been outside &quot;in a couple months&quot; because he's on AWOL status but feels as though this is excessive. He claims not to know when he's coming off. " u="1"/>
        <s v="Resident claimed he was experiencing severe hunger pains and didn't feel like he was getting enough food. He was told to write a grievance to request the consideration of extra food or double portions." u="1"/>
        <s v="Resident claimed that staff &quot;yelled and cursed at me.&quot; However, she did not request follow-up to this issue. " u="1"/>
        <s v="Resident claimed that a specific peer &quot;has been putting her hands on me and my other peers and she did not get punished for it at all. She has been doing this for a while…I wish something could be done about it.&quot;" u="1"/>
        <s v="Resident claimed that he got mad at implicated staff &quot;so she told me to leave. And I left the dayroom then [she] said I was out of area after I did what she told me to do. Then she cursed at me again.&quot;" u="1"/>
        <s v="Resident claimed that two staff were talking about him in a negative manner outside of his room. However, he claimed that there were no witnesses. He checked the box that he would like to have nothing happen to this grievance, but in the grievance itself he said that he wants the issue to be addressed. He did not check the box indicating that he wants someone to &quot;look into this, take acation, and then let me know results&quot;" u="1"/>
        <s v="Resident claimed, &quot;I feel like I'm being disrespected by staff and this been going on for a way now and I'm tired of it. Every time 2nd shift get on the zone they always think I have a problem with them and I don't. They always start with me. And sometimes I just want to hit one of the staff in the face but I'm not trying to go back to jail. The disrespect toward me is out of control.&quot; Not enough evidence as to which specific staff are being disrespectful. There is also not enough information to determine if they are actually being disrespectful or if they are being misunderstood by resident." u="1"/>
        <s v="Resident claimed that she was promised a roommate if she got off aggression, but this never came to be. She claimed that the promise was unreasonably unfulfilled." u="1"/>
        <s v="Resident claimed that implicated staff &quot;was provoking me and trying to get me to fight him. He is constantly antagonizing me and bringing up problems from the past. Also downstairs he said, 'that's why when you fought Demarcus you got fucked up.' And I clearly did not. This needs to stop.&quot;" u="1"/>
        <s v="Resident expressed frustration with her WV status keeping her from receiving medical treatment (her ribs were hurting and she requested biofreeze). She asked that someone would talk to her futher about this." u="1"/>
        <s v="Resident claimed that named staff &quot;threatened to whip my ass.&quot;" u="1"/>
        <s v="Resident claimed a staff member &quot;cursed under their breath at me.&quot;" u="1"/>
        <s v="Resident claimed that this staff member refused to allow him to move from his spot in line. He claimed this was important because &quot;a peer kept getting in my body space and cnotinuing to make me feel unsafe.&quot;" u="1"/>
        <s v="&quot;Someone stole my personal belongings and staff did nothing about it.&quot;" u="1"/>
        <s v="Resident expressed perception of lack of safety with two staff with whom she had recently been in an escort. She requested for someone to follow up with her." u="1"/>
        <s v="Resident claimed it was unfair that &quot;We all had to stay in our rooms all day because of two people.&quot;" u="1"/>
        <s v="Resident is seeking help; She reports being exposed to 2 overly negative peers who may be starting to bully her." u="1"/>
        <s v="Resident claimed that &quot;no one would let me brush my teeth, event though I begged. And brushing my teeth was a coping skill. I don't like feeling dirty.&quot; " u="1"/>
        <s v="Resident claimed that she was moved without knowing into an environment where she couldn't breathe (she says it's hot and she has asthma) and that the flickering light interrupts her sleep. She claimed that she has tried to communicate to staff about this issue, but &quot;nothing was done.&quot;" u="1"/>
        <s v="Resident complained that she should be able to have a Ouija Board as part of her religious rights." u="1"/>
        <s v="Resident claimed it was overwhelmingly hot on his unit." u="1"/>
        <s v="Resident claimed one staff member refused his shower unreasonably." u="1"/>
        <s v="Resident claimed that implicated staff called her peer (mentioned in Witness section) &quot;fat&quot; and &quot;ugly,&quot; causing resident to retaliate. Resident witnessed staff member fighting peer. " u="1"/>
        <s v="Resident claimed that he and his peers were talking to each other, but did not realize that they were loud. Implicated staff &quot;walked into my body space and yelled at my table, saying we were too loud. I said, 'You are yelling in my ear,' and he responded saying he doesn't care and I would 'learn later,' which made me feel like he was threatening to physically harm me." u="1"/>
        <s v="Resident claimed he was not getting enough feedback about his behavior. &quot;I just asked and [he] won't give me feedback.&quot;" u="1"/>
        <s v="Resident claimed that implicated staff unreasonably refused to provide him with his coping tool." u="1"/>
        <s v="Resident claimed that implicated staff does not like her. " u="1"/>
        <s v="Resident claimed implicated staff member refused to call a nurse for her PRN because &quot;It's too close to 2nd shift.&quot;" u="1"/>
        <s v="Resident claimed he has been experiencing ongoing hunger pains which make it difficult for him to sleep or participate in Recreational activities. He claimed he feels &quot;like I have no energy because I'm always hungry.&quot;" u="1"/>
        <s v="Resident claimed that this individual raised her voice and yelled at her in a way she perceived as &quot;rude and nasty.&quot;" u="1"/>
        <s v="Resident claimed &quot;Out bathrooms have not been wiped down; our showers have not been cleaned out the way they should. Yesterday there was dirt in the shower, and the sink in the bathroom has been filthy for weeks and it smells horrible.&quot;" u="1"/>
        <s v="Resident claimed named staff member would not let him get his personal items for no reason. Reported &quot;because he is always being an asshole to me every time he works. Someone needs to talk to him.&quot;" u="1"/>
        <s v="Resident claimed that implicated staff had a melt down in front of him. He claimed that he first asked calmly for a 15 minute time out, to which she allegely replied, &quot;Why? What's going on? What's wrong? Huh?&quot; He claimed that he asked again in a calm tone and then she yelled to the TL &quot;I'm not doing it today, he can just stay in his room for the remainder of the shift because I'm not doing it today, not today, absolutely not.&quot; " u="1"/>
        <s v="Resident claimed she percieved that she is being &quot;held&quot; at New Hope for no reason &quot;when I've displayed positive and compliant behaviors in the past and all throughout my stay here at New Hope. I've been here for 10 months… I was supposed to leave in October, then December, then January, now March 10th and now they've changed that, for no reason! If I'm displaying positive, compliant behaviors, give me a discharge date and keep it. But they should only give me a 'push back' consequence if I have a major incident.&quot;" u="1"/>
        <s v="Resident claimed that the shower curtains are moldy and have not been cleaned properly." u="1"/>
        <s v="Resident claimed that implicated staff did not allow her to have her cards in her room despite always having them in her room. She was also not allowed to have her empty box in her room despite therapist and supervisor permission." u="1"/>
        <s v="Resident claimed that staff interfered with residents' ability to run their community group (as per the E.D.'s instructions to let kids run their own groups while being appropriately assisted by staff): When they wanted to discuss the broken baskball goal in the minutes, staff reportedly would not allow the leader to put it in the minutes since it is on a fix-it list. " u="1"/>
        <s v="Resident claimed that implicated staff went into his room, grabbed him by the stomach, and told him in a threatening manner to stop antagonizing him. Resident admitted he had been disruptive and cursing at staff, but claimed that implicated staff's reaction was physically and verbally aggressive. " u="1"/>
        <s v="Resident claimed that staff damaged/lost these personal items: earbuds, MP3 player, 2 pairs of PJs, and 1 shirt. He insisted that this go through the grievance process so that someone can return to him with documented results." u="1"/>
        <s v="Resident claimed that implicated staff singled her out and yelled at her in front of others about needing to change her dress. Resident claimed that she did not understand how the dress was inappropriate and felt as though peers who do appear inappropriate in dresses (such with large busts) are allowed to wear dresses which reveal a lot of cleavage. " u="1"/>
        <s v="Resident claimed implicated staff member had her sign a grievance debriefing without explaining findings to her, arguing that she should not have required a coping skill since there was no commotion on the unit and refusing to listen to her explain that she had been experiencing internal struggles." u="1"/>
        <s v="Resident reported that it was unbearably hot on the unit. Additionally, lack of available power outlets for fans has added to problem." u="1"/>
        <s v="Resident claimed she told her therapist &quot;I know I have been doing good. She said no you have not. She went to check the transitions. She said come here, and I did not want to, so she came to me and then read it out loud so every body can hear it. She would not like people to do that to her.&quot; " u="1"/>
        <s v="Resident claimed that a peer was disrupting the milieu during sleeping hours. LRA reminded her that staff could not control her peers. She felt this issue was important enough for supervisor to discuss with her. " u="1"/>
        <s v="Resident complained about his peers not cleaning dayroom B well. He reports that he and staff have adopted a complaint-oriented attitude. He requested to speak to someone about this." u="1"/>
        <s v="Resident claimed that he had a struggle over TV-watching in the dayroom with implicated staff member, so he reportedly chose to go to his desk and do schoolwork with his headphones on. Implicated staff approached him, attempted to talk to him, and then pulled resident's headphones off." u="1"/>
        <s v="Resident claimed that implicated staff would not let her use the restroom." u="1"/>
        <s v="Resident expressed struggling with interpersonal interactions with his peers." u="1"/>
        <s v="Resident claimed that one unknown male staff heard him say the word &quot;retarded&quot; and assumed that he was directing the term at him. He acted out, and the same male called him a &quot;chode&quot; (which resident explained was an insult). He claimed that another staff called him &quot;a puppet and Thomas is pulling the strings,&quot; and he felt as though this was unnecessary. Another staff told him, &quot;If ya'll keep joking around like that, ya'll are never getting out of here.&quot;" u="1"/>
        <s v="Resident claimed that when she requested Anaprox at med pass, she was told that 'you just want to take meds.'&quot; Resident claimed that she was accused of med-seeking." u="1"/>
        <s v="Resident claimed that he was denied breakfast because he was sent to the dayroom where &quot;they didn't seeme in the dayroom so they took my breakfast downstairs.&quot;" u="1"/>
        <s v="Resident felt that his modified peer restriction should only have been extended 3 to 4 days instead of 7 days. Reasoning relied on the idea that other peer in altercation was given aggression. He felt strongly enough about this to ask someone to return to him about decision." u="1"/>
        <s v="Resident claimed that the two witnesses are &quot;talking and laughing too loud&quot; and it often keeps him from going to sleep. " u="1"/>
        <s v="Resident claimed &quot;I have requested a meeting to discuss my placement but was denied.&quot;" u="1"/>
        <s v="Resident complained about having to use the stairs often and then struggling to nap after rigorous activity." u="1"/>
        <s v="Resident claimed direct staff &quot;refused my medication&quot; unreasonably." u="1"/>
        <s v="&quot;Our room is a safety hazard because it has a leak in the ceiling and it makes our whole room stink.&quot;" u="1"/>
        <s v="Resident claimed this person &quot;told me if I actually shut my mouth, our room wouldn't be hot anymore.&quot;" u="1"/>
        <s v="Resident claimed a peer was unreasonably sent out of the dayroom by implicated staff." u="1"/>
        <s v="Resident claimed implicated staff &quot;called me a liar&quot; when he said that he had a good day." u="1"/>
        <s v="Resident claimed unknown staff &quot;had something going on at home and was mad at me.&quot; This indicated that a staff member provided personal information to resident which resident may or may not have perceived that staff was projecting her personal problems onto her." u="1"/>
        <s v="Resident claimed that &quot;some staff have rude attitudes toward me and other residents and I feel uncomfortable. It's mostly first shift and third.&quot;" u="1"/>
        <s v="On resident incident assessment after restraint, resident claimed he was shoved against a wall to the point of injury." u="1"/>
        <s v="&quot;A staff said he was going to turn my laugh into a cry.&quot;" u="1"/>
        <s v="&quot;Staff put me on protocol while others had the same behaviors and they did not get placed on a protocol. It's unfair.&quot;" u="1"/>
        <s v="Resident claimed this person unreasonably refused his ability to take his allotted phone call or go to the day room." u="1"/>
        <s v="Resident claimed that implicated staff witheld pain medicine for no reason." u="1"/>
        <s v="Resident claimed that she spoke to named staff member and he promised to talk to her. However, this person then talked to other residents and it upset the resident. It appeared as though this staff member got distracted. " u="1"/>
        <s v="Resident claimed &quot;staff refused me my coping skill when I was compliant.&quot;" u="1"/>
        <s v="Resident claimed that implicated staff acted very immaturely, intrusively, and engaged resident in power struggle by attempting to invalidate her. When resident returned immature behavior, implicated staff allegedly punished her for it. " u="1"/>
        <s v="Resident claimed implicated staff &quot;made me take a shot shower in SP2 and I told her that I didn't want to and that I said I would wait but she said no. I had to take a HOT shower.&quot;" u="1"/>
        <s v="Resident claimed his shoes and other items in his room were unreasonably taken from him." u="1"/>
        <s v="Resident expressed distress at his peers' dirtying the unit, to the point that a staff member gave him a grievance form." u="1"/>
        <s v="Resident claimed that &quot;3rd shift staff be talking about [peers], that we be in the shower room having sex and kissing.&quot;" u="1"/>
        <s v="Resident claimed staff member &quot;made me put up my personals&quot; and &quot;tried to make me lose my TTV on Saturday.&quot;" u="1"/>
        <s v="Resident claimed that being able to take a walk is considered a coping skill. He claimed it was an item on his safety plan. He felt as though he should have been allowed to take a walk when he was getting mad." u="1"/>
        <s v="Resident claimed that residents should be allowed to have tunnel gauges (the holes that are often used in lieu of earrings), arguing that they are not sharp like earrings are and therefore (in her perception) not as dangerous. Resident did not indicated that she wanted someone to follow up with her, but she wished to communicate her thoughts." u="1"/>
        <s v="Resident claimed he was placed in an unnecessary restraint with arm twisting, excessive squeezing, and adults telling him, &quot;How do I like it? How does it feel?&quot;" u="1"/>
        <s v="Resident claimed named staff member has been disrespectful to her." u="1"/>
        <s v="Resident claimed that implicated staff member told her peer that her peer was &quot;attention-seeking.&quot; Resident told him &quot;a couple of times&quot; that it &quot;triggered&quot; her, to which he responded, &quot;I don't care.&quot; This reportedly escalated her further. " u="1"/>
        <s v="Resident claimed that her mother never agreed to a limitation of  5 minutes of phone call time (as opposed to 10) and believes this &quot;because I asked her.&quot; She also claimed that her mother said that she was never told that New Hope utilizes physical restraints. It is noted that physical interventions are explained in the admission paperwork. Resident asked for concerns to be passed along to RM." u="1"/>
        <s v="Resident claimed that staff accused her of stealing socks and then threatened to place her on peer restriction. Resident claimed that regarding the socks, &quot;I found them in my laundry and no one claimed them, so I wore them.&quot; Issues: Resident did not perceive that she was doing anything wrong, perceived that she was falsely accused, and perceived that staff member threatened to place her on protocol w/o TT consent. In other grievances, she claimed that implicated staff targets her." u="1"/>
        <s v="Resident claimed he asked to sit in a chair and implicated staff directed him to one. &quot;So I grabbed the chair and sat in the back of the room. Then [she] said, 'Get the fuck from behind me' and I wasn't behind her. I was 3 feet behind her on the side, about 5 feet away. Then she kept saying things that aren't true and kept cursing at me so I cursed in general to not target her.&quot;" u="1"/>
        <s v="Resident and his roommates claimed that named staff called him a &quot;bitch.&quot;" u="1"/>
        <s v="Resident complained that she was not able to have access to her personals while she was on a  behavior plan, and felt as though access to her music would help her while aggravated/bored. Although she expressed anger at the TL for upholding the rules (whose name won't be implicated in this complaint), this is being passed along for safety reasons (in case access to appropriate items can help with bx). " u="1"/>
        <s v="Resident claimed that implicated staff engaged in a series of untherapeutic and unreasonable actions toward her: She reportedly provided resident with feedback which resident interpreted to be meant in a hurtful manner; She reportedly made her stay in her room and did not allow her to go to dinner or go outside when it was reasonable for her to do so; She reportedly &quot;constantly talks about me to different staff&quot;; She reportedly also lets &quot;peers on suicide go to dayroom,&quot; which resident perceives as unfair." u="1"/>
        <s v="Resident claimed that she did not have a chalk board on her wall, but would like to decorate for comfort purposes (and cannot put anything up unless it's on a chalk board). She requested for someone to see this, but did not request anyone to debrief with her." u="1"/>
        <s v="Resident claimed that implicated staff member witheld medication longer than they should have been. She reportedly received Motrin at 2:29 pm and calculated that if she could only have it every 8 hours, she should have been able to get it at 10:29 PM. However, implicated staff told her she could not have it until 11 pm. Resident claimed she was in unnecessary pain." u="1"/>
        <s v="Resident claimed that after she wrote a grievance and turned it in, the two implicated staff &quot;started whispering about me and looked at me and busted out laughing. When I asked them to stop and they didn't, [2nd implicated staff] repeated what I said hurt me earlier...'No one cares about you go to bed, ha ha ha ha ha'.&quot;" u="1"/>
        <s v="Resident complained about having to take paper notes instead of using the computer. She thinks it would be easier to type and expressed frustration with the idea &quot;that we take all of these notes and that we can't take them with us when we leave.&quot;" u="1"/>
        <s v="Resident claimed that the bathroom is always dirty and believes check should check the bathrooms after resident use. He was advised to also discuss this during community groups." u="1"/>
        <s v="Resident claimed that the bathroom is always dirty and believes staff should check the bathrooms after resident use. He was advised to also discuss this during community groups." u="1"/>
        <s v="Resident percieved this individual to yell at her and felt strongly enough to write a grievance about it." u="1"/>
        <s v="Resident claimed he was unreasonably denied breakfast because he &quot;woke up after everyone got their trays and the trays were still up here but they said I couldn't eat because I didn't take my meds.&quot;" u="1"/>
        <s v="Resident claimed he is continually having to clean urine from the bathroom and feels as though staff should do more to get residents to clean up after themselves in the bathroom. With the understanding that the behaviors of his peers cannot be controlled by anyone but themselves, recommendation is to discuss it in community group." u="1"/>
        <s v="Resident claimed this employee was unnecessarily rude to her. &quot;I was told rudely by [named person] to read. I said calmly, 'I'm waiting for questions so I don't have to read twice.' She said 'no,' I'm telling you to read and be quiet. I then said again calmly, I don't want to read twice. Then she yelled across the room to put on my points sheet I was argumentative, which made everyone laugh at me.&quot; Resident claimed this was an unnecessary embarrassment. (adjacent concern about second staff has been submitted to supervisor)." u="1"/>
        <s v="Resident claimed that a staff member gave her a hand sanitizer thing &quot;and I didn't know I was not allowed to have it.&quot; When implicated staff got mad at her for having it, resident claimed &quot;I explained why I had it and she didn't care. I brought it to her and she told me to put the bottle there properly. I didn't understand what that meant, but she said she would throw it away when it is mine.  " u="1"/>
        <s v="Resident claimed that implicated staff walked into dayroom and placed them on quiet time for an unknown reason. Resident claimed that when he asked why &quot;in a calm manner,&quot; she enacted group punishment by placing the entire covey A on re-focus time, which upset the residents. Resident did not check the box requesting follow-up, but he did request to remove implicated staff from working with dayroom A. Because of that, this will be pushed forward through the grievance process anyway for follow-up purposes." u="1"/>
        <s v="Resident claimed that named staff member violated her privacy by reading a letter for the Residential Manager. Her perception was that this was disrespectful and an invasion of privacy." u="1"/>
        <s v="Resident claimed that implicated staff grabbed him and restrained him unreasonably while he was reportedly trying to turn his light on to use coping skills in his bedroom. Cameras showed that there were more witnesses than he mentioned and that implicated staff was not the only person involved in the restraint." u="1"/>
        <s v="Resident claimed, &quot;I was ignored several times by [implicated staff member] when I asked him to ask the other dayroom to turn their music down because it was extremely loud. He said, 'No, don't worry about it. How does if effect you? And why do you whine so much?' but then a peer asked and he then asked them to turn it down.&quot;" u="1"/>
        <s v="Resident claimed that she feels unsafe around a peer and percieved favoritism toward her: &quot;They felt bad for her and let her wear regular shoes on high obs after being told she was not supposed to.&quot; Her complaint is that she is &quot;forced&quot; to be around someone who has caused her to feel unsafe and is additionally concerned that staff would favor her ina  given situation." u="1"/>
        <s v="Resident claimed that third shift have been too loud and felt as though they unnecessarily rushed her. She did not request for anyone to look into the matter and debrief with her, so this is being passed along as an FYI to TS for her to act on as necessary." u="1"/>
        <s v="Resident claimed that he punched a wall and then asked to see a nurse because it hurt. He claimed that staff refused to let him see a nurse for this." u="1"/>
        <s v="Resident claimed staff member &quot;made me put up my personals&quot; and &quot;tried to make me lose my TTV on Saturday.&quot; It is unknown if this person acted inappropriately or in accordance with unit policy." u="1"/>
        <s v="Resident complained that a staff member was spending more time with another peer over her. Resident is used to having 1:1. Resident did not request for anyone to look into situation and debrief with her, so this notice is being passed along to the TS as an FYI. Does not require follow-up unless TS deems necessary." u="1"/>
        <s v="Resident claimed that she was not given the shower order/place in line which she had requested. " u="1"/>
        <s v="Resident has an injured leg and claimed that nursing told her to stay off of it. She believed that she should be given a wheelchair." u="1"/>
        <s v="Resident claimed that he said hello to implicated staff and asked her how she was doing. &quot;She said, 'Don't talk to me, I won't talk to you'.&quot; She then allegedly later said, &quot;The fuck,&quot; in response to him and threatened, &quot;You don't know me boy, I will hurt you.&quot;" u="1"/>
        <s v="Resident claimed that her portions were smaller than that of her peers." u="1"/>
        <s v="Resident complained about the soap rations being enforced because he claimed that bars only last for 5 days for him. " u="1"/>
        <s v="Resident was upset at a staff member for saying &quot;You need to use your coping skills so you can go home.&quot; Resident said she was upset by this &quot;because I don't want to go home.&quot; This is not a mark against the staff member, but a note on behalf of the resident's attempt at self-advocacy." u="1"/>
        <s v="Resident claimed &quot;Every day they serve marshmellow treat rice krispies and hello with no substitution for it for me.&quot; Resident has previously adhered to Muslim practices in an on-again/off-again fashion. Dietary has attempted to accommodate religious-based requests, but is unable to accommodate continually changing wishes. Issue will be passed along to DPPO for consideration as deemed necessary." u="1"/>
        <s v="Resident claimed that staff unreasonably refused several important things: Refused resident to go to the bathroom within a reasonable amount of time, refused allowing her to get her personals when appropriate, refused to listen to her when another peer was sitting in her chair (which upset resident since this peer allegedly has a reputation for stealing), and refused to let her take a shower when appropriate." u="1"/>
        <s v="Resident struggled with multiple issues in which she felt as though her needs were not being met. When she attempted to talk to multiple staff, she claimed &quot;nothing happened.&quot; The biggest issues appear to be that her inhaler and requested coping skills were provided." u="1"/>
        <s v="Resident claimed that implicated staff unreasonably refused to let kids go outside for their 1x day." u="1"/>
        <s v="Resident claimed that implicated staff placed him in an unnecessary restraint. Resident said that he was banging on the wall, but not hard enough to warrant a restraint. It appears as though an adult assisted resident with writing the grievance." u="1"/>
        <s v="Resident wished to appeal Case #59, in which she reported that hygiene was not allowed during 3rd shift as per her behavioral plan. " u="1"/>
        <s v="Resident claimed that he did not get appropriate medication for his headache. " u="1"/>
        <s v="Resident holds perception that implicated staff attempts to provoke her on purpose. Resident perceives that she won't &quot;stop talking to me cause I'm upset or get out of my face.&quot; Resident noted that she was speaking to a staff member during class time." u="1"/>
        <s v="Resident claimed he asked a monitoring staff a question. Ms. Milber told them &quot;Is that ya'll two talking loudly again?&quot; because he and Isaiah had a loud conversation on the prior night. Res claimed implicated staff told him to come out of his room &amp; sit on the other end of the hallway near therapist office. The complaint is that this was an unreasonable punishment and violated his right to uninterrupted sleep during scheduled sleeping hours.  (Camera &quot;Triad Hall View 2&quot; confirms that he did sit on the hallway).  " u="1"/>
        <s v="Resident complained that staff allowed for another resident to watch an inappropriate bootleg movie &quot;Get Hard&quot; but did not allow others to watch it. This reportedly happened over the weekend." u="1"/>
        <s v="Resident claimed that implicated staff was &quot;playing games on his phone when he was not on his break.&quot;" u="1"/>
        <s v="Resident requested room changes because &quot;peers in my room are snoring at night and it keeps me up.&quot;" u="1"/>
        <s v="Resident complained that she has a hurt knee and a staff member directed her to &quot;sit right&quot; but this caused her pain. She felt as though she should be allowed to sit in a position which minimizes pain and requested follow-up. " u="1"/>
        <s v="Resident claimed that the decision which treatment team made about monitoring her phone calls was unreasonable." u="1"/>
        <s v="Resident claimed that a peer touched his rear. An unidentified staff member allegedly said, &quot;That's what you get.&quot; Resident claimed that &quot;when I tried to explain he got defensive and got in my face and yelled and spit in my face.&quot;" u="1"/>
        <s v="Resident claimed, &quot;I did not get the amount of food that I needed because my medication has the affect to increase my appetite and can make me lose weight if I do not eat more. Please give me double portions.&quot;" u="1"/>
        <s v="Resident claimed that implicated staff threatened to restrain her in a way that was arbitrary and not congruent with other shifts' permissions." u="1"/>
        <s v="Resident claimed implicated person &quot;did not give me work when I had to be upstairs. [She] acts disrespectful and yells at them [classmates] for no reason and she scares me.&quot;" u="1"/>
        <s v="Resident claimed that staff caused her to &quot;feel bad about a grievance&quot; by bullying her and not respecting her privacy in writing one." u="1"/>
        <s v="Resident claimed that this person made a fat joke about her." u="1"/>
        <s v="Resident claimed that implicated staff was causing fights among residents." u="1"/>
        <s v="Resident claimed his peer M.B. was &quot;saying inappropriate stuff about me and was making me feel unsafe. He told me that his old self of liking boys and wanting to do sexual stuff with them was coming back.&quot;" u="1"/>
        <s v="Resident claimed that staff engaged in a restraint in a harmful manner: &quot;They were squeezing my throat and I couldn't breathe and when the nurse took my pulse she said, 'stand her up,' and they did. But they put me back in and they were still on my throat. I felt like I was going to pass out.&quot;" u="1"/>
        <s v="Resident expressed the perception that the psychotherapeutic group leader was &quot;nit picking&quot; him and he was therefore &quot;sick of her.&quot; " u="1"/>
        <s v="Resident claimed he was denied lunch because he accidentially dropped his tray onto the floor." u="1"/>
        <s v="Resident claimed that implicated staff yelled at him &quot;for no reason,&quot; as well as &quot;put me down and called me names.&quot;" u="1"/>
        <s v="Resident claimed she said, &quot;I'm getting a bunch of grievances because I'm tired of getting treated like shit. Then [named staff] said, 'Well, stop acting like shit'.&quot; Resident said her peers witnessed this and signed the grievance form attesting such. However, she reported that no other adults heard this. Implicated staff was reportedly sitting outside dayroom." u="1"/>
        <s v="Resident claimed that he was in his room and entered into a verbal altercation with implicated staff. He admitted to calling her a &quot;bitch&quot; and a &quot;ho&quot; but said that she told him, &quot;Bitch get down the hallway&quot; while he was in his room." u="1"/>
        <s v="Resident wrote letter advocating for himself. When LRA met with him to clarify nature of the letter, resident said he felt as though the biggest problem was that residents disrespected each other. LRA said she would provide recommendation to discuss the issue of respect in community groups." u="1"/>
        <s v="Resident claimed that implicated staff raised his voice with him in a manner that was not consistent with therapeutic treatment." u="1"/>
        <s v="Resident claimed that kids on 1st shift often get into restraints because they get frustrated when implicated staff &quot;treats disrespect with disrespect&quot; instead of processing with them. " u="1"/>
        <s v="Resident claimed that he was not allowed to wash his hands and this caused him to miss his meal. He requested to speak to someone other than the TS." u="1"/>
        <s v="Resident claimed that staff curse while at work." u="1"/>
        <s v="Resident claimed that she asked implicated staff for tylenol, who responded that res would have to wait. Resident said that one staff was at the door of the dayroom and another was at the control station, so she percieved that named staff member could have gone to med cart and did not attempt to provide her with medical assistance because &quot;she didn't feel like it.&quot;" u="1"/>
        <s v="Resident claimed he was playing a game, but when he woke up, the game was gone. Many residents express fear at waking up to find that something has been moved, but it is not unreasonable for staff to move objects as necessary." u="1"/>
        <s v="Resident wrote two grievances on the same day explaining that &quot;Every time I come into the bathroom, it's nasty.&quot; He asked for someone to &quot;tell every staff to check the bathroom&quot; for the purpose of asking residents to clean up after themselves after they leave a mess behind." u="1"/>
        <s v="Resident claimed, &quot;I was denied to go to the dayroom on 2nd shift because I took a time out in my room on 1st to get ready for 2nd shift.&quot; Resident claimed she was wrongfully punished for taking a time-out." u="1"/>
        <s v="Resident claimed that he was denied breakfast because he was sent to the dayroom where &quot;they didn't see me in the dayroom so they took my breakfast downstairs.&quot;" u="1"/>
        <s v="Resident claimed that it was unreasonable for implicated staff to not let him get his Bible out of his bookbag." u="1"/>
        <s v="Resident claimed that staff had been yelling at her and refused to honor her safety plan." u="1"/>
        <s v="Resident claimed a specific staff member &quot;had told my business on the phone in front of staff and the phone was on speaker and the residents heard it and what she said wasn't even true at all! It was really uncalled for and hurt my feelings a lot. Now everybody knows about it and I think none of the staff like me now.&quot; Resident did not request follow-up, but asked for supervisor or manager to see this. Staff's name not listed because it was a complaint w- no follow-up OR  a True that wasn't staff's fault" u="1"/>
        <s v="Resident claimed that implicated staff told another resident to &quot;Put her ass to sleep.&quot; An unknown adult wrote in the name &quot;Sherlitha Kirkland.&quot;" u="1"/>
        <s v="Resident claimed implicated staff member &quot;took my blanket out of my room.&quot; She claimed her meds made her feel sleepy and that resident felt cold, but was also not allowed to have her sweater/jacket. Staff said she would call for assistance if res did not hand over items, which indicates there was a safety concern." u="1"/>
        <s v="A resident was upset that her peer held scissors while &quot;she was already upset. She could have cut someone.&quot;" u="1"/>
        <s v="Resident claimed she was unreasonably placed on MPR by staff. She claimed that she was given this consequence because she asked a peer to stop an inappropriate conversation and then reported it to staff when peers &quot;came back with an attitude.&quot; Resident became upset and took a time out, but claimed she was unreasonably punished. Also didn't indicate if it was TT-approved MPR restart." u="1"/>
        <s v="Resident claimed that he received the wrong meal. When he asked staff to get the food that he had initially ordered, she &quot;went to the kitchen and she said to me that they can't get anything different.&quot;" u="1"/>
        <s v="Resident claimed that there is a miscommunication between shifts regarding her behavioral plan. They reportedly each give her different restrictions and rules. She would like someone to clarify them and for all shifts to stick to them." u="1"/>
        <s v="Resident claimed that implicated staff member cursed at him and called him derogatory names." u="1"/>
        <s v="Resident claimed it was unfair that staff voted him off the outing list for the weekend outing. He believed he did well enough to warrant his place on the trip and claimed, &quot;I'm tired of trying to do good and not be able to go on the outing.&quot;" u="1"/>
        <s v="Resident claimed that implicated staff falsely accused her of referring to another staff as a &quot;bitch&quot; when resident claims she did not." u="1"/>
        <s v="Resident provided the perspective that &quot;staff aren't listening&quot; to him." u="1"/>
        <s v="Resident claimed &quot;I asked for meds for my stomach and I feel really hot and sick to my stomach.&quot; She reported that she was very concerned about not feeling well, but did not receive medicine and percieved that staff were not paying attention to her. " u="1"/>
        <s v="Resident claimed that he did not get appropriate medication for his headache. However, it is unknown who was responsible for providing the medication and if he ever got the medication. Due to the abnormally high amount of grievances this resident has provided, more urgent concerns will be given priority over this one." u="1"/>
        <s v="Resident claimed that she was unreasonably forced to wait for food and it got cold. &quot;Everyone got to eat at 5:30. I was not in my appropriate area and then I went to my assigned area at 5:45. She refused to give me my food until 6:30 which means it will be cold.&quot; Resident felt this was an unfair consequence to her behavior." u="1"/>
        <s v="Resident claimed it was unreasonable for the teacher to take his crossword puzzle and put it in the trash. He claimed that &quot;I feel like she always gets away with [inappropriate reactions].&quot;" u="1"/>
        <s v="Resident claimed that the chalkboards have profanity scratched into them/ She also claimed there was an excess of peeling paint." u="1"/>
        <s v="Resident claimed that his sleep is interrupted because the lights go on and off constantly, he hears furniture moving at night, and that adults are loud." u="1"/>
        <s v="Resident complained that her diet changed and she is not getting enough attention. She claimed that &quot;No one is telling me about my food and diet.&quot; Please use this debriefing when approaching her." u="1"/>
        <s v="Resident claimed that &quot;staff neglected me when I need something… Staff are saying stuff about me and not responding to my questions.&quot;" u="1"/>
        <s v="Resident claimed &quot;I'm in my room and staff are not supervising me. I've been feeling suicidal.&quot; Staff was present enough to give her a grievance, through which she was able to communicate her feelings in writing." u="1"/>
        <s v="Resident claimed that she was experiencing severe psychiatric issues, but named staff respond un-therapeutically by not asking her what's wrong and assuming that she is attempting to misbehave on purpose. Telling her, &quot;We don't know what's wrong with you&quot; appeared to also do harm." u="1"/>
        <s v="Resident claimed his peanut butter and jelly sandwich was nearly inedible. &quot;The peanut butter looked awful, jelly looked like water, and the bread looked like a hard rock.&quot; He said he was unable to eat it." u="1"/>
        <s v="Resident claimed this person provoked her and wrote negatively on her point sheet even though she had permission to get out of her seat." u="1"/>
        <s v="Resident claimed that named staff &quot;disrespecte me very badly.&quot; However, there is no further information about what actually happened, so this can only be marked as a potential difference in perception." u="1"/>
        <s v="&quot;Three months ago I had all of my personals taken from me and they have been given back piece by piece. But it is not working. I need my personals in order to keep me occuppied. I have nothing to call my own so I have started to steal and lie about stuff that I have said was mine. I should get my legos back to be occupied more often.&quot;" u="1"/>
        <s v="Resident claimed that some staff first promised her acne medication and then witheld it. Resident did not explain why, but admitted that she had been disrespectful towards staff. She did not request follow-up, but just wanted someone to see her complaint." u="1"/>
        <s v="Resident claimed his dayroom is dirty and unsafe. He claimed that there is also a short in the lightswitch in his bedroom." u="1"/>
        <s v="Resident claimed the 3 implicated staff &quot;keep on saying nasty things to me.&quot;" u="1"/>
        <s v="Resident claimed that &quot;I went to use the bathroom and the toilet had urine all over it… the bathrooms should be cleaned more often.&quot; Recommendation is to forward this concern to community groups to remind residents about proper bathroom etiquette/ cleaning up after using bathroom." u="1"/>
        <s v="Resident claimed he should get his new/nicer shoes because his current choes hurt his feet. He admitted that he was offered the nicer shoes as a reward for behavior, but believed that his comfort should trump reward. LRA reinforced that it was a treatment decision, but he wanted to advocate for himself. He said he didn't know how long it would take for him to earn the nicer shoes and reported frustration." u="1"/>
        <s v="Resident claimed he should get his new/nicer shoes because his current shoes hurt his feet. He admitted that he was offered the nicer shoes as a reward for behavior, but believed that his comfort should trump reward. LRA reinforced that it was a treatment decision, but he wanted to advocate for himself. He said he didn't know how long it would take for him to earn the nicer shoes and reported frustration." u="1"/>
        <s v="Resident claimed staff placed her safety in danger when another resident attacked her." u="1"/>
        <s v="Resident claimed &quot;staff refused me my coping skill when I was compliant.&quot; (unreasonably)" u="1"/>
        <s v="Resident claimed that implicated staff kept him from talking to his therapist when he was able to do so." u="1"/>
        <s v="Resident claimed that implicated staff &quot;keeps threatening me saying that she will make sure that I get all 'no's' on my piont sheet because she keeps saying I'm in Dayroom A when I know what I was told.&quot; Resident believed she was supposed to be in a different dayroom (B)." u="1"/>
        <s v="Resident complained about the mess that his peers leave in the bathroom after using it. Resident was urged to bring up this concern in community group." u="1"/>
        <s v="Resident wrote, &quot;I need help to be calm and positive because I have been more non-compliant than ever and more aggressive than ever. I have never acted like this before.&quot; Resident did not request follow-up." u="1"/>
        <s v="Resident claimed &quot;I was told I was going to be placed in a  restraint. I was told this for no reason.&quot;" u="1"/>
        <s v="Resident claimed that all residents are forced to go to bed early as group punishment for one resident's behaviors. " u="1"/>
        <s v="Resident claimed that she was placed in a restraint for no reason. However, restraint logs showed it was because she was throwing things in the classroom, provoking peers, and refusing prompts or directives. " u="1"/>
        <s v="Resident expressed anxiety about her option of going &quot;back home&quot; and claimed that she would run away if sent there. She has requested a discussion to learn more about other options she may have. " u="1"/>
        <s v="Resident claimed &quot;I'll be doing something wrong and they start yelling instead of talking to me.&quot;" u="1"/>
        <s v="Resident claimed implicated staff took his cards (coping skill) off his bed for no reason." u="1"/>
        <s v="Implicated staff allegedly &quot;said that I flashed someone when it was not true and woke me up and called me to the desk. She was disrespectful.&quot;" u="1"/>
        <s v=" Resident claimed her safety plan item was not provided to her despite her appropriate attempts to ask for it all day." u="1"/>
        <s v="Resident claimed that she was wrongfully not allowed to call her legal guardian." u="1"/>
        <s v="RT staff told him, &quot;We can only get soap and stuff every other week… I don't like to be dirty. Change it back.&quot;" u="1"/>
        <s v="Resident claimed named staff member said &quot;if I go down the stairwell she will push me down.&quot; Resident was not supposed to go outside but wanted to do so anyway and claimed this triggered him. " u="1"/>
        <s v="Resident claimed it was too hot in his classroom to concentrate. " u="1"/>
        <s v="Resident requested larger portions because &quot;I get stomach and head aches when I'm hungry. I go to bed hungry and it distracts me from learning in school, going to bed, and focussing.&quot;" u="1"/>
        <s v="Resident claimed that implicated staff &quot;was/is being inappropriate with staff… She is always being rude and trying to yell. She curses at me and she will be unfair and antagonize me… She wants me to respect her but she don't respect me at all. Then she tends to point out every thing I do.&quot;" u="1"/>
        <s v="Resident reported perceived favoritism in that peers on protocols were able to receive personal items when other residents did not." u="1"/>
        <s v="Resident claimed it was too hot in his classroom to concentrate." u="1"/>
        <s v="Resident claimed that implicated staff had engaged in romantic relationship with him." u="1"/>
        <s v="An adult (presumably the witness) wrote this grievance for resident. The claim was that the named individual threw resident's magazines in the trash. This reportedly provoked him because having the magazine kept him calm." u="1"/>
        <s v="Resident claimed that implicated staff removed resident from cafeteria before he was finished eating. Claimed there should have been processing before escort." u="1"/>
        <s v="Resident claimed that implicated staff called her peer a &quot;dumb ass.&quot; Her peer resultantly became angry at this and was resultantly placed into an escort for her reaction." u="1"/>
        <s v="Resident communicated that he had a headache, was light-headed, sore, and that his &quot;private area was swollen.&quot; He checked that this was not a grievance, but that he wanted someone to simply see this communication." u="1"/>
        <s v="Resident claimed that when he was transferred from school to the unit, he was promised a video game for at least an hour. &quot;But instead I sit and kick the wall and stay in my room.&quot;" u="1"/>
        <s v="Resident claimed that implicated staff retaliated against her. She &quot;got mad cause I told [TS] what she did and she wrote something on my points sheet that I didn't do. So I got mad and fussed at her TL and they know she did that.&quot;" u="1"/>
        <s v="Resident claimed that implicated staff member threatened her with a restraint, cursed at her, and yelled at her. Her transition sheet reflected that she &quot;walked out of covey, loud at the 'T', ran with her meds, negative attitude with staff.&quot; Camera views revealed that resident was walking OOA to go to her room and first witness intervened twice by going to her room. During the second time, implicated staff member got off the elevator as first witness was heading to her room: First witness got him to accompany her. He walked into resident's room while first witness spotted him. First witness walked away and implicated staff member stood outside doorway while another male entered the resident's room. They spoke with her until she put a belt around her neck and made overt gestures of pulling it tightly, walking into the hallway; no one gave attention to this behavior until she went into the bathroom for a lengthy period of time.  " u="1"/>
        <s v="Resident claimed that her behavior report falsely accused her of behaviors which could cause legal problems for her. She admitted that she had been disrespectful to staff and cursing, but claimed that if falsely accused her of being out of area and calling staff names excessively. She said witnesses agreed that this was false. She feels as though &quot;no one sees how hard I'm trying to succeed and do better&quot; and that the reportedly false documentation will cause her &quot;to end up back in SDC.&quot;" u="1"/>
        <s v="Resident claimed that the shower walls are dirty." u="1"/>
        <s v="Resident claimed &quot;they did not let us go to bed at the right time, which is 9pm/ lights out at 9:30pm. I think we should follow the rules. I think it wasn't fair at all.&quot;" u="1"/>
        <s v="Resident wrote a 3 page document about feeling disrespected by staff in that they would not &quot;meet me half way.&quot; There were no specific examples which could be investigated, so info is being passed along for monitoring purposes. His letter is available upon request. " u="1"/>
        <s v="Resident claimed &quot;dietary keeps giving us spoiled milk.&quot;" u="1"/>
        <s v="Resident claimed that staff attempted to choke her during a restraint." u="1"/>
        <s v="Resident claimed that female staff unprofessionally flirted with male staff in front of residents. She admitted that she reacted negatively to the last incident of alleged flirting but claimed that &quot;staff always do this&quot; and it was a reason  to keep &quot;male staff off this unit.&quot;" u="1"/>
        <s v="Resident claimed unfair treatment in that her mp3 player was taken away when others' were not. Hers was taken away &quot;because I was in the pictures that Paige took of us&quot; but &quot;she was supposed to take their stuff since last year on December.&quot;" u="1"/>
        <s v="Resident claimed that named staff member &quot;was yelling at me and being rude for no reason.&quot;" u="1"/>
        <s v="Resident claimed Ms. GG told him &quot;that she didn't like me and not to speak to her. I became agitated because I was trying to be nice and she wasn't. She was rude to me.&quot;" u="1"/>
        <s v="Resident claimed that all residents had to go indoors prematurely because implicated staff was &quot;too lazy&quot; to replace first shift staff outside with residents." u="1"/>
        <s v="Resident has requested to discuss with someone about &quot;how staff threaten us with documentation.&quot; " u="1"/>
        <s v="Resident claimed that implicated staff violated his privacy by reading a grievance which he wrote on another staff member." u="1"/>
        <s v="Resident claimed it is a violation of residents' privacy to have a camera pointed into the bathroom. She claimed that her shower curtain was pulled before (by another resident) and believed her privacy was placed at an unreasonable risk." u="1"/>
        <s v="Resident expressed several issues regarding struggling with general unit staff, including the point that his arm hurt after a restraint, but did not check the option to have someone investigate and debrief with him. He claimed that &quot;I don't like some staff.&quot; " u="1"/>
        <s v="Resident claimed that implicated staff called her a &quot;ho&quot; in retaliation for her saying, &quot;This unit was full of hoes.&quot; Resident requested that this grievance go to specific professional because she perceives others as teaming up against her." u="1"/>
        <s v="Resident claimed she was split from a peer she got along with and &quot;forced&quot; to spend time with peers she did not get along with as an alleged punishment for something she reportedly did not understand. " u="1"/>
        <s v="Resident claimed that implicated staff member approaches her in the dayroom and &quot;always tells me that if I say anything to make my peers upset, I have to go to my room for the rest of the day, all shifts. And that is unfair because she does not say this to my other peers. My other peers do the same thing but they don't have to go to their room.&quot; " u="1"/>
        <s v="Resident claimed that implicated staff unreasonably refused/took away a lead pencil and paper when resident believed she was allowed to have it." u="1"/>
        <s v="Resident claimed, &quot;[Implicated staff] was yelling at me. I'm tired of it.&quot;" u="1"/>
        <s v="Resident claimed that implicated staff has been making untherapeutic comments about her, which includes reportedly calling her annoying and telling the resident she didn't like her. Resident claimed this was carried out in a manner considered &quot;rude and upsetting.&quot;" u="1"/>
        <s v="Resident claimed that he was in pain and the nurse announced he had a psychotic disorder rather than take him seriously (as per resident's perception). He admitted that he reacted hysterically to this and she responded, &quot;Well, I'm leaving.&quot; The next day, he claimed that the nurse initially refused to assess him. He reacted negatively to this because he perceived it as being &quot;impolite, disrespectful, name-calling, denying my calls for help.&quot; " u="1"/>
        <s v="Resident complained about the 3:1 ratio and felt as though there were not enough staff to take her to the office when she needed to go. She wrote a grievance because a staff member told her to do so." u="1"/>
        <s v="Resident complained, &quot;I was told that if I refused program, then I wouldn't receive food. Refusing program (as I was told) is a part of my rights. So why are you guys not letting me eat if I'm still doing what I'm allowed to do?&quot; When LRA read rights to resident, she explained that she had the right to refuse programming and her responsibility was to recognize the consequences of doing so." u="1"/>
        <s v="Resident claimed &quot;I was pissed off and I asked for my radio and was told to calm down so I could have it - when it is my coping tool and I got it approved.&quot; Resident did not request supervisor follow up, but instead requested, &quot;I want him to know that I use it to calm down.&quot; The male staff in question was not named. " u="1"/>
        <s v="Resident believed it was unreasonable that staff made residents stay on the zone instead of go to a dayroom." u="1"/>
        <s v="Resident complained about having to do cognitive distortions &quot;every week for the past 4 weeks&quot; in therapy. She expressed in her grievance that she feels frustrated that &quot;we're getting nowhere&quot; and that the treatment modality not only upsets her, but causes her to feel as though she can't work with her therapist. Passed along as a programming concern for the purpose of assisting the resident and therapist." u="1"/>
        <s v="&quot;She said she wants to hit me.&quot;" u="1"/>
        <s v="Resident claimed he has to wait long periods of time &quot;because there is only one designated restroom.&quot;" u="1"/>
        <s v="Resident claimed that even with his MPR status, he has been denied the right to go outside daily when it has been safe. " u="1"/>
        <s v="Resident claimed that implicated staff needlessly told a male about sensitive issues related to her private areas." u="1"/>
        <s v="Resident claimed that implicated staff hit him on the leg and wouldn't let kids go outside for their 1x per day." u="1"/>
        <s v="Resident claimed, &quot;I wanted to go to my room and they said no, but someone else got to go to their room. My meds make me tired in the morning…let me go to my room to go to sleep.&quot;" u="1"/>
        <s v="Resident claimed that implicated staff refused to give her an ice pack for her hurting knee. She believed this refusal was unreasonable." u="1"/>
        <s v="Resident has written several grievances about peers making messes in the bathroom and then not cleaning up after themselves. He has advocated that staff check the bathrooms after peers. He has talked to staff and supervisor and still feels as though &quot;I need someone to hear me out&quot; regarding how to keep the restrooms clean." u="1"/>
        <s v="Resident claimed that implicated staff called him an &quot;M-Fer&quot; and &quot;started saying I wasn't his size to fight him.&quot; " u="1"/>
        <s v="Resident claimed that implicated staff &quot;pinched me and it left a mark on my arm because I didn't want to give a plastic bag up.&quot;" u="1"/>
        <s v="Resident claimed an unknown staff member &quot;said the last horror movie she watched was New Hope.&quot; " u="1"/>
        <s v="Resident claimed that named staff &quot;would not let me do my treatment/ safety plan.&quot; " u="1"/>
        <s v="Resident claimed that she was eating breakfast and implicated staff refused to tell her the time. She admitted that she became angry, walked out of area, and put her hand in his face. She claimed that he then grabbed her wrist and twisted it. " u="1"/>
        <s v="Resident claimed that this person was &quot;rude to me.&quot;" u="1"/>
        <s v="Resident claimed that he had his personal items taken away for negative behaviors. He claims that his items have &quot;been gone for too long&quot; afterwards." u="1"/>
        <s v="Resident has written six grievances claiming named staff member wakes him up by yelling at him and being rude/harsh with him. This appears to have an impact on how he feels during the day. Resident also he feels as though he's awakened too early at 3:30 AM. However, it is known that it is sometimes very difficult to get residents up and that they are asked to get up early in order to meet morning schedule requirements. " u="1"/>
        <s v="Resident claimed that implicated staff unreasonably re-started her Modified Peer Restriction protocol without treatment team consent. Claimed that &quot;my therapist said they're not allowed to do that.&quot; She said it was because she asked peers to end an inappropriate conversation." u="1"/>
        <s v="Resident claimed he asked a monitoring staff a question. TL told them &quot;Is that ya'll two talking loudly again?&quot; because he and Isaiah had a loud conversation on the prior night. Res claimed implicated staff told him to come out of his room &amp; sit on the other end of the hallway near therapist office. The complaint is that this was an unreasonable punishment and violated his right to uninterrupted sleep during scheduled sleeping hours.  (Camera &quot;Triad Hall View 2&quot; confirms that he did sit on the hallway).  " u="1"/>
        <s v="Resident was upset that an unapproved channel (104) was reportedly shown in his dayroom. The TV show they watched was &quot;Dukes of Hazzard.&quot; Resident felt as though this violation of unit rules was incredibly serious, and he insisted on it going through the grievance process. " u="1"/>
        <s v="Resident complained that residents are still urinating on seats and wanted to continue brainstorming how to stop this safety issue. He recommended that staff should write down the names of kids who are urinating on the seats and give those names to their therapists." u="1"/>
        <s v="Resident claimed that he ordered a salad with ranch dressing. It came with honey mustard instead. When he asked staff to &quot;Please try to get my ranch,&quot; multiple staff allegedly refused. He said there were &quot;5 to 6 staff at the T&quot; and felt it was unreasonable that no one tried to help him. He claimed he was unable to eat because he did not like his salad plain or with honey mustard. " u="1"/>
        <s v="Resident claimed implicated staff unreasonably &quot;refused me my new prescription medication.&quot;" u="1"/>
        <s v="Resident was struggling with several issues and requested to talk to someone." u="1"/>
        <s v="Resident claimed that she was &quot;yelled at, screamed at, and threatened to be punished with MPR for saying I feel unsafe and remaining outside the dayroom. I was told I was bullying a peer by doing this.&quot; Whether resident did or did not behave negatively, the yelling, screaming, and threatening was alleged to cause her continued distress." u="1"/>
        <s v="Resident claimed that named employee &quot;had me sign papers for PRTF that I did not understand what I was signing.&quot;" u="1"/>
        <s v="Resident claimed implicated staff sent him to bed twenty to thirty minutes early and perceived this as being treated with disrespect and negativity." u="1"/>
        <s v="Resident claimed implicated staff member ignored her several times when she requested a PRN, and then finally called nursing. Resident said it had taken at least 6 hours to get her PRN at 6 PM." u="1"/>
        <s v="Resident has strong need to perceive fairness: He believed that implicated staff unreasonably denied to provide his peer Matthew with Matthew's glasses during school. He believed this kept Matthrew from doing his work properly and felt as though he needed to write the grievance for Matthew since he could not see well." u="1"/>
        <s v="Resident felt it was unreasonable that they were unable to watch Nickelodeon's Kid Choice Awards on CMT." u="1"/>
        <s v="Resident claimed that she and a peer were both on aggression but that she was supposed to go to the dayroom. She became upset when she had to stay on the zone and the other peer got to go to the dayroom." u="1"/>
        <s v="Resident claimed &quot;I wanted to go to the bathroom and she wouldn't let me.&quot; He claimed it was because he'd used it an hour before his request and therefore was not allowed to use it again." u="1"/>
        <s v="Resident claimed that implicated staff had a melt down in front of him for no reason. He claimed that he first asked calmly for a 15 minute time out, to which she allegedly replied, &quot;Why? What's going on? What's wrong? Huh?&quot; He claimed that he asked again in a calm tone and then she yelled to the TL &quot;I'm not doing it today, he can just stay in his room for the remainder of the shift because I'm not doing it today, not today, absolutely not.&quot; " u="1"/>
        <s v="Resident claimed that she is wrongfully being denied her personal items and that no one will explain to her why she cannot have personals." u="1"/>
        <s v="Resident wished to communicate a &quot;thank you&quot; to RM for processing with him, and a &quot;You're welcome&quot; that he was able to calm himself down. Did not request follow-up." u="1"/>
        <s v="Resident expressed feeling that he shouldn't be kicked out of his room for destroying it because he could still destroy things on the hall. LRA attempted to explain consequences of destroying his room. He said he is not always angry when he destroys stuff. He indicated that lights, ceilings, and other rooms were places he could destroy things. He claimed that being able to clean would help him refrain from being destructive." u="1"/>
        <s v="Resident explained the processes she was going through in her altercation with a peer." u="1"/>
        <s v="Resident claimed that implicated staff grabbed her off the window sill and put her on her bed without being spotted. She claimed that she had been trying to get a picture which fell between the window panes when he grabbed her. " u="1"/>
        <s v="Resident claimed that the side area basketball goal needs to be fixed. " u="1"/>
        <s v="Resident claimed that staff &quot;pick on me&quot; and allow peers to pick on him." u="1"/>
        <s v="Resident claimed that this named individual &quot;stood by&quot; and allowed his staff member to yell, scream, and threaten her. " u="1"/>
        <s v="Resident claimed, &quot;I asked for cough syrup and she said I have to have an order for it. I should not have (to have) an order for everything.&quot;" u="1"/>
        <s v="Resident claimed that showers continue to clog and lack hot water. He also claimed that a light in his dayroom (A) flickers constantly and gives him headaches." u="1"/>
        <s v="Resident claimed he was practicing somwthing when implicated staff member &quot;gave me an angry look&quot; and an attitude of negativity. He attempted to speak to other staff about this because he felt it was unreasonable and was told to speak to the supervisor about it. " u="1"/>
        <s v="Resident claimed that implicated staff did not explain what he did wrong and then called him a liar." u="1"/>
        <s v="Resident expressed feeling as though staff refused to listen to him and it lead to a previous restraint." u="1"/>
        <s v="Resident claimed implicated staff member engaged in un-therapeutic/ passive aggressive interactions with her. She told the staff that she wanted to write. &quot;All she did was point to some paper I had and said, 'Well, there's some paper.' When I said I needed a pen she said, 'Oh well.'&quot;" u="1"/>
        <s v="Resident claimed, &quot;Ms. Stinson said if we do good on Saturday, we can call our moms. So I asked 15 times and [implicated staff] let everybody else go in front of me. So I got mad and fussed her out and she got mad and whatever but I just went back to my dayroom.&quot; Resident claimed this upset her because she did well but then did not get the promised reward." u="1"/>
        <s v="Resident claimed this staff member made hurtful comments." u="1"/>
        <s v="Resident claimed that meds were being passed in the dayroom. A peer saw the meds she took and shouted, &quot;You take birth control?&quot; - which greatly embarrassed the resident and caused her to feel as though her right to confidentiality had been violated. She asked for someone to look into this, take action, and then debrief with her. It is being passed forward with the understanding that staff cannot control residents' actions or behaviors." u="1"/>
        <s v="Resident claimed that he has unreasonably been forced to stay in his room and not allowed to go outside for 3 days." u="1"/>
        <s v="Resident claimed staff caused harm to his head &quot;by banging my head on the wall&quot; and being rough during an escort/restraint." u="1"/>
        <s v="Resident is struggling with his perception that the named witness &quot;is being disrespected by the boys here&quot; and needs to be paid more. Unknown where he got the perception regarding her income. He did not request follow-up." u="1"/>
        <s v="Resident perceived favoritism: &quot;I went to sit in my assigned seat and the kid said 'get out of my personal space' and I was like 5 feet from her. Then she said, 'Do you want to fight?' Then [named staff] came over and said, '[Resident], why are you over here?' I said, 'Because I want my seat.' He said, 'She was here first.' But it is my assigned seat. She said she was going to fight me and he took up for her.&quot;  " u="1"/>
        <s v="Resident claimed implicated staff &quot;said rude comments…She stated how she will get to go home and our 'asses' will be stuck here all night long. She was talking about her great life and had inappropriate conversations to other staff. Then became prissy and rude to almost all peers.&quot;" u="1"/>
        <s v="Resident claimed that she was placed in a restraint for no reason. " u="1"/>
        <s v="Resident claimed that he's feeling hunger pains &quot;24/7&quot; to the point that he feels discomfort and worries about his weight." u="1"/>
        <s v="Resident claimed, &quot;I feel like I'm being disrespected by staff and this been going on for a way now and I'm tired of it. Every time 2nd shift get on the zone they always think I have a problem with them and I don't. They always start with me. And sometimes I just want to hit one of the staff in the face but I'm not trying to go back to jail. The disrespect toward me is out of control.&quot; " u="1"/>
        <s v="Resident claimed that 1 or more staff members were being unnecessarily rude and negative towards residents during class time." u="1"/>
        <s v="Resident claimed that he requested to use the bathroom when he said his stomach hurt. Named staff reportedly refused to let him use the restroom because she perceived his behavior as disrespectful." u="1"/>
        <s v="Resident claimed that she was restrained for no reason when she was given permission to get her snack. She claimed her drink was also refused. " u="1"/>
        <s v="Resident claimed that implicated staff member told him &quot;Get your ass up and sweep.&quot; When resident responded &quot;I don't have to do this shit,&quot; staff allegedly said, &quot;Well you can sit your ass back down.&quot; Res threw broom down, to which staff said, &quot;Pick that shit up.&quot; When res went OOA, staff said, &quot;I got something for you&quot; and punished him with High Obs." u="1"/>
        <s v="Resident claimed that two peers bullied her and other peers who cried because of a movie. She felt as though implicated staff should have redirected or removed the bullying peers. She said that she communicated this to him, but his response was that &quot;he couldn't control how people react to a movie.&quot;" u="1"/>
        <s v="Resident claimed he was struggling so he went to his room. Implicated staff allegedly told him &quot;that I can stay my ass there in my room.&quot; He claimed this agitated him further." u="1"/>
        <s v="Resident explained that she is often woken in the middle of the night to go to the bathroom to help with her enuerisis problems. She reported that named staff member did try to wake her nicely, but then yelled at her to wake up when that didn't work. Resident claimed she was in the middle of a nightmare and the yelling caused her to urinate on herself. She reported that she is often awakened in the middle of the night to yelling and being touched for her bathroom break, which are counterproductive measures to use for residents witha history of trauma." u="1"/>
        <s v="Resident feels like named staff have not been nice to her because they are upset about her returning." u="1"/>
        <s v="Resident claimed that a &quot;peer threatened to butt rape me three times and staff did not do anything about it.&quot; On his previous unit, resident threatened to &quot;butt rape&quot; other residents (as confirmed via multiple witnesses) but claimed that he had been misunderstood. " u="1"/>
        <s v="Resident claimed that named staff pushes his pillow and turns his fan off to wake him up in the mornings. Although turning the fan off could be seen as a reasonable wake-up method, physical interaction with a sleeping person (like pushing the pillow) could be counter-therapeutic for a resident with PTSD or other anxiety-related issues. " u="1"/>
      </sharedItems>
    </cacheField>
    <cacheField name="Action Required" numFmtId="0">
      <sharedItems containsNonDate="0" containsBlank="1" count="18" longText="1">
        <m/>
        <s v="Therapeutic Concern; This does not fit the description of a rights-based concern but is still being passed along as a resident's expression of a concern which could impact treatment. Someone will be notified of resident's concern, but no further action or investigation is warranted other than monitoring situation and assisting resident with having needs met." u="1"/>
        <s v="Appeal; Resident has appealed results of a prior complaint, grievance, or investigation.  " u="1"/>
        <s v="Complaint Notice; There is not enough evidence or information to move forward with an investigation, but concerns will still be taken seriously. Supervisor, Manager, or Director will be notified of resident's concern, but no further action or investigation is warranted other than monitoring situation and assisting resident with having needs met." u="1"/>
        <s v="Dismissal; There is no merit in pursuing this concern. It is dismissed due to the nature of the situation or through the resident's own request. " u="1"/>
        <s v="Therapeutic Concern; This does not fit the description of a rights-based concern but is still being passed along as a resident's expression of a concern which could impact treatment. " u="1"/>
        <s v="Safety Concern; This  does not fit the description of a rights-based concern but is still being passed along as a resident's expression of a potential safety concern." u="1"/>
        <s v="Complaint Notice; There is no report of something non-therapeutic, but concerns will still be taken seriously. Supervisor, Manager, or Director will be notified of resident's concern, but no further action or investigation is warranted other than monitoring situation and assisting resident with having needs met." u="1"/>
        <s v="Safety Concern; This does not fit the description of a rights-based concern but is still being passed along as a resident's expression of a potential safety concern." u="1"/>
        <s v="Grievance Process;There is evidence of something which could be non-therapeutic. Supervisor, Manager, or Director will determine if staff behavior and/or programming was carried out appropriately." u="1"/>
        <s v="Dismissal; There is no merit in pursuing this concern." u="1"/>
        <s v="Complaint Notice; There is not enough evidence to move forward with an investigation, but concerns will still be taken seriously. Supervisor, Manager, or Director will be notified of resident's concern, but no further action or investigation is warranted other than monitoring situation and assisting resident with having needs met." u="1"/>
        <s v="Internal Investigation; Designated lead investigator will coordinate and pursue documented evidence. " u="1"/>
        <s v="Safety Concern; This does not fit the description of a rights-based concern but is still being passed along as a resident's expression of a potential safety concern. Someone will be notified of resident's concern, but no further action or investigation is warranted other than monitoring situation and assisting resident with having needs met." u="1"/>
        <s v="Safety Concern; This does not fit the description of a rights-based concern but is still being passed along as a resident's expression of a potential safety concern. " u="1"/>
        <s v="Appeal; Resident has appealed results of a prior complaint, grievance, or investigation.  Appeal committee will be notified." u="1"/>
        <s v="Self-Advocacy: The resident expressed struggling with a challenge or provided a suggestion for improving something related to his or her care." u="1"/>
        <s v="Self-Advocacy with no request for debriefing: The resident expressed struggling with a challenge or provided a suggestion for improving something related to his or her care, but does not request for the matter to be looked into or debriefed." u="1"/>
      </sharedItems>
    </cacheField>
    <cacheField name="Given to Name:" numFmtId="0">
      <sharedItems containsNonDate="0" containsBlank="1" count="51">
        <m/>
        <s v="Team of LRA, ED, and Trans management" u="1"/>
        <s v="Felix Alexander" u="1"/>
        <s v="Michael Kirk and Mary Noss" u="1"/>
        <s v="Cristina D'Erizans/ Curtis Barnes" u="1"/>
        <s v="Chad Pinson" u="1"/>
        <s v="Charrise Robertson" u="1"/>
        <s v="Chelsea Huddleston" u="1"/>
        <s v="Kevon Taylor" u="1"/>
        <s v="Beverly Lee" u="1"/>
        <s v="Michael Kirk" u="1"/>
        <s v="Mr. Ervin or Mr. Will" u="1"/>
        <s v="Placed in grievance file." u="1"/>
        <s v="Quentin Ladsen" u="1"/>
        <s v=" Torian Green" u="1"/>
        <s v="Eve Coker/ Alex Dixon" u="1"/>
        <s v="Eve Coker/ Curtis Barnes" u="1"/>
        <s v="Appeal Team" u="1"/>
        <s v="Implicated Staff Kennedy" u="1"/>
        <s v="Andrea Hall" u="1"/>
        <s v="Cristina D'Erizans" u="1"/>
        <s v="TP Team" u="1"/>
        <s v="Sandra Calhoun-White" u="1"/>
        <s v="Michael Kirk and Mary Callahan" u="1"/>
        <s v="Tanya Williams" u="1"/>
        <s v="Curtis Barnes" u="1"/>
        <s v="Stephanie Porter" u="1"/>
        <s v="Mary Noss" u="1"/>
        <s v="Alex Dixon" u="1"/>
        <s v="Eve Coker" u="1"/>
        <s v="Barvette Gaither" u="1"/>
        <s v="Mary Callahan" u="1"/>
        <s v="Multiple Individuals (Gaither, Hall, Coker)" u="1"/>
        <s v="Joanna Fielder" u="1"/>
        <s v="Randal McCoy" u="1"/>
        <s v="SP Team" u="1"/>
        <s v="Lead Nurse" u="1"/>
        <s v="Head Nurse" u="1"/>
        <s v="Amy Morris" u="1"/>
        <s v="Sasha Montgomery" u="1"/>
        <s v="Tykeshia Peay" u="1"/>
        <s v="Travis Kennedy" u="1"/>
        <s v="Dolly Williams" u="1"/>
        <s v="Momolu Freeman" u="1"/>
        <s v="Elliot Branch" u="1"/>
        <s v="Rebecca Spanberg" u="1"/>
        <s v="Sam Phifer" u="1"/>
        <s v=" Toriean Green" u="1"/>
        <s v="Torian Green" u="1"/>
        <s v="Randall McCoy" u="1"/>
        <s v="Dennis Ervin" u="1"/>
      </sharedItems>
    </cacheField>
    <cacheField name="Title" numFmtId="0">
      <sharedItems containsNonDate="0" containsBlank="1" count="14">
        <m/>
        <s v="Therapist" u="1"/>
        <s v="Executive Director" u="1"/>
        <s v="Building Supervisor" u="1"/>
        <s v="Director of Education" u="1"/>
        <s v="Team Supervisor" u="1"/>
        <s v="Director of RT" u="1"/>
        <s v="Nursing" u="1"/>
        <s v="Residential Manager" u="1"/>
        <s v="Director of Physical Plant Operations" u="1"/>
        <s v="Program Director" u="1"/>
        <s v="Lead Supervisor" u="1"/>
        <s v="Lead Resident Advocate" u="1"/>
        <s v="Clinical Coordinator" u="1"/>
      </sharedItems>
    </cacheField>
    <cacheField name=" Given on Date:" numFmtId="14">
      <sharedItems containsNonDate="0" containsDate="1" containsString="0" containsBlank="1" minDate="2015-01-08T00:00:00" maxDate="2015-07-21T00:00:00" count="76">
        <m/>
        <d v="2015-01-14T00:00:00" u="1"/>
        <d v="2015-04-16T00:00:00" u="1"/>
        <d v="2015-06-29T00:00:00" u="1"/>
        <d v="2015-03-23T00:00:00" u="1"/>
        <d v="2015-07-06T00:00:00" u="1"/>
        <d v="2015-03-11T00:00:00" u="1"/>
        <d v="2015-02-26T00:00:00" u="1"/>
        <d v="2015-05-28T00:00:00" u="1"/>
        <d v="2015-06-09T00:00:00" u="1"/>
        <d v="2015-02-18T00:00:00" u="1"/>
        <d v="2015-06-01T00:00:00" u="1"/>
        <d v="2015-01-29T00:00:00" u="1"/>
        <d v="2015-05-12T00:00:00" u="1"/>
        <d v="2015-04-27T00:00:00" u="1"/>
        <d v="2015-05-08T00:00:00" u="1"/>
        <d v="2015-05-04T00:00:00" u="1"/>
        <d v="2015-01-09T00:00:00" u="1"/>
        <d v="2015-07-13T00:00:00" u="1"/>
        <d v="2015-07-09T00:00:00" u="1"/>
        <d v="2015-04-03T00:00:00" u="1"/>
        <d v="2015-03-18T00:00:00" u="1"/>
        <d v="2015-03-10T00:00:00" u="1"/>
        <d v="2015-02-25T00:00:00" u="1"/>
        <d v="2015-03-06T00:00:00" u="1"/>
        <d v="2015-06-08T00:00:00" u="1"/>
        <d v="2015-03-02T00:00:00" u="1"/>
        <d v="2015-06-04T00:00:00" u="1"/>
        <d v="2015-02-17T00:00:00" u="1"/>
        <d v="2015-02-13T00:00:00" u="1"/>
        <d v="2015-05-15T00:00:00" u="1"/>
        <d v="2015-02-09T00:00:00" u="1"/>
        <d v="2015-05-11T00:00:00" u="1"/>
        <d v="2015-01-20T00:00:00" u="1"/>
        <d v="2015-01-16T00:00:00" u="1"/>
        <d v="2015-07-20T00:00:00" u="1"/>
        <d v="2015-01-12T00:00:00" u="1"/>
        <d v="2015-01-08T00:00:00" u="1"/>
        <d v="2015-03-25T00:00:00" u="1"/>
        <d v="2015-04-06T00:00:00" u="1"/>
        <d v="2015-07-08T00:00:00" u="1"/>
        <d v="2015-03-17T00:00:00" u="1"/>
        <d v="2015-06-15T00:00:00" u="1"/>
        <d v="2015-03-09T00:00:00" u="1"/>
        <d v="2015-02-24T00:00:00" u="1"/>
        <d v="2015-05-26T00:00:00" u="1"/>
        <d v="2015-03-05T00:00:00" u="1"/>
        <d v="2015-02-20T00:00:00" u="1"/>
        <d v="2015-06-03T00:00:00" u="1"/>
        <d v="2015-02-16T00:00:00" u="1"/>
        <d v="2015-05-18T00:00:00" u="1"/>
        <d v="2015-02-12T00:00:00" u="1"/>
        <d v="2015-05-14T00:00:00" u="1"/>
        <d v="2015-01-27T00:00:00" u="1"/>
        <d v="2015-01-23T00:00:00" u="1"/>
        <d v="2015-01-15T00:00:00" u="1"/>
        <d v="2015-04-13T00:00:00" u="1"/>
        <d v="2015-07-15T00:00:00" u="1"/>
        <d v="2015-03-24T00:00:00" u="1"/>
        <d v="2015-06-26T00:00:00" u="1"/>
        <d v="2015-06-22T00:00:00" u="1"/>
        <d v="2015-04-01T00:00:00" u="1"/>
        <d v="2015-03-16T00:00:00" u="1"/>
        <d v="2015-02-27T00:00:00" u="1"/>
        <d v="2015-02-23T00:00:00" u="1"/>
        <d v="2015-05-25T00:00:00" u="1"/>
        <d v="2015-03-04T00:00:00" u="1"/>
        <d v="2015-02-19T00:00:00" u="1"/>
        <d v="2015-06-02T00:00:00" u="1"/>
        <d v="2015-01-30T00:00:00" u="1"/>
        <d v="2015-02-11T00:00:00" u="1"/>
        <d v="2015-05-13T00:00:00" u="1"/>
        <d v="2015-01-26T00:00:00" u="1"/>
        <d v="2015-01-22T00:00:00" u="1"/>
        <d v="2015-02-03T00:00:00" u="1"/>
        <d v="2015-04-20T00:00:00" u="1"/>
      </sharedItems>
    </cacheField>
    <cacheField name="Evidence/ What was found" numFmtId="0">
      <sharedItems containsNonDate="0" containsBlank="1" count="647" longText="1">
        <m/>
        <s v="With therapist and resident permission, LRA took resident to therapist to review resident's perceptions. Therapist valided resident's feelings and reminded him that nothing is being kept a secret, rather that they have no definite information and don't want to share faulty information with him." u="1"/>
        <s v="As per PD, resident &quot;states that she 'was just mad' when she made this complaint. States things are OK now. No further action requested.&quot;" u="1"/>
        <s v="&quot;Discussed with resident that she needs to utilize her staff that's in the dayroom prior to asking to speak to someone at the control station. During the time the resident was asking to speak with the staff, he was passing meds and it was quiet time.&quot;" u="1"/>
        <s v="&quot;Resident will call a community meeting to address this issue with peers.&quot;" u="1"/>
        <s v="&quot;Inconclusive but will be discussed in community group and supervisions on a resident and staff level as bullying is unacceptable and will not be tolerated.&quot;" u="1"/>
        <s v="&quot;On 6/25/15, the NP ordered for [resident's] BP to be checked once daily x2 weeks. Her blood pressure was also ordered to be checked at various shifts/times on 6/18/15. The NP is aware of the resident's hypertension and it is being monitored.&quot;" u="1"/>
        <s v="No information entered." u="1"/>
        <s v="&quot;Resident perception is that staff show favoritism.&quot;" u="1"/>
        <s v="Residents are told often not to pass notes to each other." u="1"/>
        <s v="&quot;Resident stated that implicated staff never 'flicked me off,' for example sticking his finger up. Resident stated when she asked him a questino, he looked at her funny as per her perception.&quot;" u="1"/>
        <s v="Staff witnesses submitted statements which attested that no &quot;negative or derogatory terms&quot; were used when communicating with resident during the incident. During interview with advocate, resident expressed challenges with the scenario in which staff members were attempting to explain that his current negative behaviors were hurting his chances of success, but resident apparently misunderstood some of the comments as insults. Otherwise, no verbally abusive language was used. " u="1"/>
        <s v="&quot;Resident's behaviors between 5 -6 pm were excessively non-compliant which lead to her being returned or not allowed to go to the dayroom.&quot;" u="1"/>
        <s v="Complaint passed along to DPPO as an FYI." u="1"/>
        <s v="&quot;Spoke with resident and TL about this procedure. I will monitor the situation closely. There was also a menu change on this day that the resident was referring to.&quot;" u="1"/>
        <s v="RM wrote that implicated staff &quot;overstepped her boundaries but she was helping us/ Issue resolved.&quot;" u="1"/>
        <s v="&quot;Discussed with Abigail can have 2 to 3 hairbows (not an excessive amount), can have coping skills during appropriate times." u="1"/>
        <s v="RM wrote, &quot;In speaking with staff, tray was thrown away after resident left cafeteria. Follow-up with TS to make sure trays are held for a reasonable time if behaviors exist (maybe 10 minutes after meal time ends)." u="1"/>
        <s v="Resident &quot;wanted to go outside with his peers while on MPR. When staff told him he couldn't go, he got agitated. He was told he had to go outside by himself.&quot;" u="1"/>
        <s v="&quot;Resident would like sessions more than once/week. Therapist is trying to prepare her for discharge and to be able to resolve some issues withouer her.&quot;" u="1"/>
        <s v="&quot;Resident was assuming that peers were fighting but were not and so there were no precautions placed.&quot;" u="1"/>
        <s v="&quot;Not sure [what happened]. Witness was unavailable for interview. Teacher and student gave conflicting accounts about incident.&quot;" u="1"/>
        <s v="Per TS, &quot;The decision about her TTV was a treatment team decision. It was a collective decision, not individual.&quot;" u="1"/>
        <s v="&quot;Student misunderstood requirements to attend Fun Friday.&quot;" u="1"/>
        <s v="TS interviewed resident, who changed time frame and story related to incident." u="1"/>
        <s v="&quot;The resident was not being truthful about statements that she made.&quot;" u="1"/>
        <s v="&quot;Resident has been harassing other residents in the covey and each time staff redirects the behavior.&quot;" u="1"/>
        <s v="Unknown if true or false; Marked as true because it was not investigated or debriefed with resident as of 5/18/15, which contributes to anti-therapeutic action." u="1"/>
        <s v="In an interview with the witness, he reported that he could not remember this ever occurring." u="1"/>
        <s v="&quot;Staff informed the resident that the dress she had on was inappropriate and she needed to change. The resident didn't agree with staff's decision.&quot;" u="1"/>
        <s v="&quot;It was explained to resident that he was moved due to his safety.&quot;" u="1"/>
        <s v="&quot;Resident stated that other resident did not get consequenced appropriately for throwing a snack at him. I told resident I will look into what was doing on because I was out that day and will handle it appropriately.&quot;" u="1"/>
        <s v="Unknown" u="1"/>
        <s v="As per RM, &quot;Staff stated he was being consistent with directives and did not raise his voice (misperception on behalf of resident).&quot;" u="1"/>
        <s v="Ms. Jane wrote on follow-up form that &quot;I did not push [resident] with my nails. She tried to get out of her room to go fight another resident. I only stop her by standing in her doorway. She got angry because she could not attack her peer, and then started kicking and hitting me with her shoes. I turn my back so that she could not hit my face.&quot;" u="1"/>
        <s v="&quot;Resident was asked to leave the dayroom due to his noncompliane behaviors. Multiple staff made attempt to process with the resident to get him to comply.&quot; " u="1"/>
        <s v="Based on witness statement/interview, implicated staff member's arm touched resident's chest as resident attempted to move out of bedroom and staff attempted to stop him. Resident had been instructed to take a timeout in his room because of his behavior, but attempted to move out of bedroom anyway. Witness said arm touched resident's chest, not hand (and therefore squeezing did not occur). Resident responded, &quot;You touch my breast, I'm gonna write a grievance and get you fired.&quot;" u="1"/>
        <s v="&quot;Weight team tracked weights of patient and in a 90 day period, patient's weight increased 10.1%. In conclusion, pt's dietary needs are being met.&quot;" u="1"/>
        <s v="Witnesses provided matching statement that resident attempted to attack implicated staff in the elevator while another staff held him back. Resident's glasses were pressed into his face as his pressed against this staff member to get at implicated staff. Implicated staff backed off the elevator as it opened. Camera showed witness attempting to hold resident back from implicated staff as they got off the elevator. Resident told LRA in interview that the cut on his right knuckle was not from today, but was from an old sore he'd reopened. In his first statement, he reported that &quot;I got cut by my glasses on my right pinky knuckles.&quot; " u="1"/>
        <s v="&quot;Supervisor will review dress code policy with employees mentioned.&quot;" u="1"/>
        <s v="&quot;Residents were excessively non-compliant, highly aggressive, and out of area while dinner was being served. Resident given opportunity to return to assigned area but refused.&quot;" u="1"/>
        <s v="Resident &quot;destroyed her 2 grievances. They were false. She wanted to recant them. I advised her not to tear them.&quot;" u="1"/>
        <s v="&quot;RM to debrief staff to ensure we are following schedule to allow adequate RT time + schedule of fields. Staff stated this was done due to behavioral issues.&quot;" u="1"/>
        <s v="&quot;Resident was offered to take a shower but refused because he did not want to shower in the assigned shower.&quot;" u="1"/>
        <s v="As per RM, &quot;Resident stated she was allowed to program, but at time she felt it was unreasonable. In speaking with staff, resident was still anxious and agitated (staff made decision based on behaviors). Once visibly calm, she went to dayroom, as resident was verbally agitated.&quot;" u="1"/>
        <s v="RM wrote that she &quot;reviewed schedule, as far as breaks, to ensure adequate coverage for transports.&quot;" u="1"/>
        <s v="TS was asked to address of favoritism." u="1"/>
        <s v="Resident &quot;was placed on protocol by treatment team. Due to his behaviors, TT decided to keep him on protocol. The team decided to give him his mp3 player.&quot;" u="1"/>
        <s v="&quot;When air handlers are on it provides too much heat to the SP program.&quot;" u="1"/>
        <s v="&quot;This did not occur per witness and implicated staff. Could not conclude via camera.&quot;" u="1"/>
        <s v="&quot;The main chiller had a sensor go bad.&quot;" u="1"/>
        <s v="Resident &quot;was put in the shower at 5:35 PM. He is allowed a 15 minute shower. At 6 PM when it was time to go to dinner, he was still in the shower. He was given time alerts at 5:50, 5:55, and 6. The unit left to go to dinner at 6:05, giving him extra time. He still wasn't ready. At 6:20, implicated staff came back to the unit to pick him up for dinner when he refused.&quot;" u="1"/>
        <s v="After reviewing footage, RM Dixon wrote that &quot;Staff intervened due to not knowing where he was going…Once the staff intervened it appears that he tried to drop to the floor. The two staff members were still in the restraint position with hands properly placed, making it easy to put him in the escort/restraint position. He may have hit his head once the initiation of the restraint as they were close to the wall but he was moved once secured. I don't consider this intervention to be malicious or unnecessary but the initiation of it and its proximity to the wall made it difficult.&quot; Restraint log indicated resident continued verbal and physical aggression." u="1"/>
        <s v="As per RM, resident &quot;requested to receive consistent praise.&quot;" u="1"/>
        <s v="&quot;This is an ongoing issue with resident. He has had it explained to him on several occasions that the treatment team has made the decisino for him to earn his choes so that they are not given to him as a reward for his negative behaviors.&quot;" u="1"/>
        <s v="Resident wrote his complaint on a grievance form. TS did not provide any additional details on findings." u="1"/>
        <s v="As per TS, &quot;Cannot say for sure what was said.&quot;" u="1"/>
        <s v="&quot;A resident was displaying some behaviors during bed time and staff had to physically intervene with her. Staff had control of the resident and other residents by quickly removing the res that was displaying the behaviors from the zone.&quot;" u="1"/>
        <s v="TS determined that implicated staff &quot;was preventing a risky situation as peer in shower across was attempting to get [resident's] attention.&quot;" u="1"/>
        <s v="&quot;Conflict to milieu rules/ Can be kept as a packet per treatment team.&quot;" u="1"/>
        <s v="&quot;Another resident asked this resident to write this complaint on her behalf to support her. Dayroom changes have been made and the other resident has felt better with these changes.&quot;" u="1"/>
        <s v="As per RM, &quot;After review of incident and feedback from the staff and resident involved this allegation was used to create a situation; falsely presented.&quot;" u="1"/>
        <s v="&quot;All milk cartons were checked for expired dates. In result, all cartons were good to serve. Patient did not return milk or notify staff of the spoiled milk. Claim could not be verified.&quot;" u="1"/>
        <s v="&quot;Multiple witnesses stated that resident walked out of area multiple times and they had to call for assistance due to disrupting behaviors.&quot;" u="1"/>
        <s v="                                                                                             " u="1"/>
        <s v="As per PD, &quot;States that she never found her makeup/ eye-shadow. Would like for this to be replaced. States she does not know for sure who took her make-up.&quot;" u="1"/>
        <s v="&quot;After reviewing the cameras and talking to staff there is no evidence that [implicated staff] grabbed him by his boxers.&quot;" u="1"/>
        <s v="&quot;Expectation for use of hygiene item explained. Procedure modified. Male residents will be allowed one bar of soap every week instead of one bar every other week.&quot;" u="1"/>
        <s v="Witnesses confirmed that implicated staff made a threatening statement in the presence of a resident. Additionally, implicated staff's own statement admitted that he attempted to retaliate against the resident during the restraint." u="1"/>
        <s v="Multiple witness statements attested that resident sexually harrassed a female staff member. When implicated staff member stepped in to get him to stop, resident aggressively moved toward implicated staff member. There was no evidence to substantiate if staff member responded with cursing and name-calling." u="1"/>
        <s v="Implicated staff &quot;walked to the table after prompting the table from a distance about being too loud. [He] redirected the whole table for being too loud. [He] made the statement that I got loud because you guys are loud. Nothing threatening was said. Just a misunderstanding between the resident and staff.&quot;" u="1"/>
        <s v="Implicated staff &quot;got on the phone at the end of [resident's] phone call to tell the legal guardian about the series of events that happened prior to his phone call. Her version and [the resident's] version were different. The word 'liar' was not used.&quot;" u="1"/>
        <s v="Resident had refused to go to class or engage in proper note-taking. He then got upset when the teacher erased the board to start the quiz." u="1"/>
        <s v="&quot;Staff denied above allegation. RM met with resident and explained importance of honesty, as peers stated they could not remember.&quot;" u="1"/>
        <s v="TS found this to be true per staff and other residents." u="1"/>
        <s v="&quot;In reviewing the cameras, the resident was attempting to walk out of assigned area. [Implicated staff] was trying to process with the resident, the resident began to put her hand in his face, and he did what was taught in NVCI - was block and move away from the resident.&quot;" u="1"/>
        <s v="&quot;Resident has been told several times to follow directions when staff has to raise voice in order for him to follow directions.&quot;" u="1"/>
        <s v="&quot;Unable to determine due to lack of information after talking with resident as well.&quot;" u="1"/>
        <s v="As per RM, resident &quot;states she did not get her phone call for 3 days, then they started to let her call - Does not want further action at this time.&quot;" u="1"/>
        <s v="&quot;Staff processed with resident prior to restraint on 3 different occasions. Resident refused to follow prompts and directives which led to restraint.&quot;" u="1"/>
        <s v="&quot;Staff gave resident directives to sit down multiple times. Resident took being directed by staff as yelling at her. Staff never cursed at the resident as per staff and resident.&quot;" u="1"/>
        <s v="&quot;Resident had to wait for her clothes to dry on second shift until she could take a shower. Resident was offered and given a shower once clothes dried.&quot;" u="1"/>
        <s v="TS found this to be true per witness testimonies from staff and residents." u="1"/>
        <s v="Multiple witness statements and video evidence do not provide any proof that the teacher attempted to intimidate or harrass the resident at any time. Additionally, the teacher never appeared to go to resident's room during the time frame the resident provided as per video evidence. " u="1"/>
        <s v="Resident had misperception due to that staff holding her accountable for behaviors." u="1"/>
        <s v="As per RM, &quot;RM explained safety, staff must maintain line of sight/zoning (per policy).&quot;" u="1"/>
        <s v="&quot;Staff was under the impression that the resident was not supposed to have her MP3 player based on a conversation she had with the TCM. According to the TCM, there are no current restrictions.&quot;" u="1"/>
        <s v="As per RM, &quot;Peers denied this happened, resident stated she writes grievances so people will talk to her and get extra attention.&quot;" u="1"/>
        <s v="&quot;Resident explained to me that she feels like staff gets upset when she writes a grievance. I explained to the res that she is allowed to write one if she feels like her rights have been violated and staff do not need to know who she is writing the grievance for.&quot;" u="1"/>
        <s v="&quot;Resident understood that the perception of staff and his perception could be different.&quot;" u="1"/>
        <s v="Resident admitted &quot;I was not being truthful&quot; in writing." u="1"/>
        <s v="Resident was discharged on 4/18/15 and supervisor/ director therefore did not investigate claims. Director signed an attached note that resident was invited to treatment team to discuss her grievances as related to her behavior." u="1"/>
        <s v="&quot;RM explained restraint technique and will follow up with staff to ensure procedures are followed.&quot;" u="1"/>
        <s v="&quot;Staff confirmed that [implicated staff] does use an unprofessional tone and comments with students in her classroom.&quot;" u="1"/>
        <s v="As per TL, &quot;Resident stated that he would ask staff at the appropriate time why quiet time was put into place.&quot;" u="1"/>
        <s v="As per PD, &quot;Resident states that she wrote this grievance when she was angry and no longer wants it to be an issue. States she is trying to learn not to write grievances 'just because' she is mad.&quot;" u="1"/>
        <s v="&quot;According to the TL on first sheift, the passed the med keys off to second shift.&quot;" u="1"/>
        <s v="&quot;According to the TL on first shift, they passed the med keys off to second shift.&quot;" u="1"/>
        <s v="&quot;Resident had taken 2 time-outs in an hour. Per his therapist and the treatment team, resident is only allowed 2 time-outs per day; 1 each shift.&quot;" u="1"/>
        <s v="&quot;Unfounded, due to peanut butter &amp; jelly sandwiches being prepared fresh on a daily basis.&quot;" u="1"/>
        <s v="Resident &quot;refused to change his linen when he was supposed to. He was making demands to get new sheets after 10:30pm at night.&quot;" u="1"/>
        <s v="&quot;Explained to the resident that he is given 10 mins to use phone cand was given 10 mins. Also explained that there could have been a reason that he was not allowed to go into dayroom, like being disruptive.&quot;" u="1"/>
        <s v="&quot;Resident is a West Virginia resident, and all WV residents have to have an order written for any medication, even OTC meds.&quot;" u="1"/>
        <s v="TS sat down to address resident's perceptions to explain the need for rule-enforcement." u="1"/>
        <s v="It is sometimes very difficult to get residents up and that they are asked to get up early in order to meet morning schedule requirements. However, work was done to come up with better ways." u="1"/>
        <s v="Resident admitted &quot;I was wrong&quot; and that he should have followed directives." u="1"/>
        <s v="&quot;Staff informed the resident that she needs to stop provoking and instigating her peers because she's not a fighter.&quot;" u="1"/>
        <s v="&quot;Resident is obese with a recent 20 lb. weight gain between Nov 2014 and Feb 2015. Previous records state patient is fixated on food. There will be no more changes made to patient's meal plan. Patient did express that he is willing to try a diet due to weight gain. Patient also suggested that it could be medication at evening that makes him feel hungry.&quot;" u="1"/>
        <s v="Per DE, &quot;Teacher did not invade student's body space or threaten student. Student was angry at the time and didn't want the teacher to talk to her. Teacher couldn't walk away as she was waiting for another available staff to provide line of sight supervision for the student as they were in the hallway. Student was confused about what websites were allowed as she had received conflicting information from staff.&quot; Resident had reported that the teacher had said she couldn't be on a website, but that staff said she could be. " u="1"/>
        <s v="Multiple witness statements attested that resident sexually harrassed a female staff member. When implicated staff member stepped in to get him to stop, resident aggressively moved toward implicated staff member. Staff member held up his open palm to keep resident from advancing on him." u="1"/>
        <s v="&quot;Cameras were observed. Staff denies making comment to resident. This issue will be reviewed in community group and group supervision.&quot;" u="1"/>
        <s v="Resident &quot;frequently manipulates and fails to follow program schedule and classroom rules for bathroom. [Implicated staff] did deny his request to use the restroom as [resident] had just used the restroom and she felt like he was manipulating the situation.&quot;" u="1"/>
        <s v="&quot;Resident stated that staff ignored him and he was mad at the time. I told the resident that he needs to speak about his anger before acting out.&quot;" u="1"/>
        <s v="&quot;Resident and staff were spoken to and understand that the perception of the residents is important.&quot;" u="1"/>
        <s v="&quot;The resident was not being truthful.&quot;" u="1"/>
        <s v="&quot;Resident was not hit by peer.&quot;" u="1"/>
        <s v="It was broken." u="1"/>
        <s v="&quot;Resident was not complying with program rules as reported by staff. The resident was directed to display appropriate compliance before she would be given her coping skill.&quot;" u="1"/>
        <s v="&quot;Witnesses denied the allegations when asked by TS. No other evidence existed to make a concrete conclusion. Implicated staff denied allegation.&quot;" u="1"/>
        <s v="&quot;It was explained to resident that there's to be no peers redirecting other peers and that giving feedback is good but at the time it was given, staff felt that it was in a redirecting manner.&quot;" u="1"/>
        <s v="After reviewing footage, RM Dixon wrote that &quot;Staff intervened due to not knowing where he was going…Once the staff intervened it appears that he tried to drop to the floor. The two staff members were still in the restraint position with hands properly placed, making it easy to put him in the escort/restraint position. He may have hit his head once the initiation of the restraint as they were close to the wall but he was moved once secured. I don't consider this intervention to be malicious or unnecessary but the initiation of it and its proximity to the wall made it difficult.&quot; Restraint log indicated resident continued verbal and physical aggression.  Nursing log indicated &quot;raised back of head, abrasion left forehead, brow.&quot;" u="1"/>
        <s v="Restraint logs showed it was because she was throwing things in the classroom, provoking peers, and refusing prompts or directives. " u="1"/>
        <s v="Camera revealed that resident did not mention other witnesses present. It showed that he aggressively advanced upon staff member, who pushed him away with an open palm. A witness stated that he had not seen anyone punched in the face." u="1"/>
        <s v="&quot;Not enough info to follow up properly. Zero info on witnesses.&quot;" u="1"/>
        <s v="Resident was unaware of peer's circumstances." u="1"/>
        <s v="&quot;Al the kids were playing a made-up game called Hunger Games. One resident became upset (he's autistic) and ran to staff on the porch.&quot; Resident admitted that they were playing an inappropriate game." u="1"/>
        <s v="&quot;Shower was broken w/ an 'out of order' sign on it waiting for the plumber on this day. Plumber came, found 2 wash cloths and toothbrush holders in drain. Bathroom in resident's room was cleaned. Resident bathroom use was not reported to housekeeping. Now housekeeping knows restroom is open and to clean daily.&quot;" u="1"/>
        <s v="&quot;Staff was told to remove cards from residents room by supervisor due to resident keeping cards in his room from 1st shift and he wasn't authorized to have them at the time.&quot;" u="1"/>
        <s v="It is unknown what actually happened. " u="1"/>
        <s v="As per witnesses, resident was initially accepting of going to a PRTF but then changed his mind." u="1"/>
        <s v="Unable to determine if this was appropriate or not." u="1"/>
        <s v="As per PD: &quot;Wanted to switch out snack - allergic to cirtus - Staff person tried to give alternate snack but resident felt it was still citrus - finally received correct snack.&quot;" u="1"/>
        <s v="Unknown what happened" u="1"/>
        <s v="As per PD, resident &quot;states that she is 'not mad' anymore, and feels the situation has been resolved.&quot;" u="1"/>
        <s v="&quot;Resident was not complying or following staff directives and so when asked if he could clean, he was denied that due to his behavior. Resident was told he could use another coping skill.&quot;" u="1"/>
        <s v="&quot;RM approached resident to discuss and she stated 'throw in trash.' RM said she would discuss tomorrow and she stated, 'throw in trash.'&quot; Resident had previously admitted that she was kept on the unit due to previously unsafe behaviors (an altercation)." u="1"/>
        <s v="&quot;Supervisor stated to the resident that shower was not completely broken and from now on the shower will be fixed and he will have to take a shower at staff's assigned times.&quot;" u="1"/>
        <s v="&quot;There is no evidence that staff were talking about any residents. A supervision adressing expectations regarding previous grievanes was given to all staff. A few residents including [resident] stopped me to speak with them. I was able to point out a few things about their complaints. This grievance was a result of residue left from the initial complaint 2 weeks prior. It's hard at times for certain residents to move on. I caught [two residents] contaminating promise with untruth about staff.&quot; " u="1"/>
        <s v="&quot;Resident is aware that personal items are locked up safely.&quot;" u="1"/>
        <s v="As per TS, &quot;When [implicated staff] entered the shower room, resident was sitting outside of the shower fully dressed. Resident was threatening to take her clothes off but never did.&quot;" u="1"/>
        <s v="&quot;Other issues going on on unit, also resident was encouraged to go to dayroom to partcipate in milieu activities. Encouraged staff to be more thorough in explaining rationales to residents. No mention of ice.&quot;" u="1"/>
        <s v="&quot;Resident was agitated due to having a conflict with a peer in the classroom. Resident was asked to take a time-out outside the classroom. The resident became agitated and was agitated with staff and she may have perceived thst staff had an attitude with her.&quot;" u="1"/>
        <s v="&quot;No proof that anyone said anything nasty to [resident]. He requires multiple redirection throughout the day. I will try to educate him that a 'stop doing something' doesn't mean someone is being nasty.&quot;" u="1"/>
        <s v="&quot;Clothes were misplaced and have been located by the owner.&quot;" u="1"/>
        <s v="Per RM, the implicated staff &quot;reported to RM that this incident never happened and she said she would never use profanity towards residents. There were no staff witnesses.&quot;" u="1"/>
        <s v="Witness statements reported that implicated staff did not say anything threatening. Cameras showed that implicated staff was surrounded by other witnesses at all times and that resident began posturing and communicating nonverbal physical aggression toward implicated staff, who stayed in the same position (seated in his chair.)" u="1"/>
        <s v="One staff member told a male about the personal issue &quot;due to him being the med tech and him having to call the nurses and writing it on the transition and informing other people that needs to know the information.&quot;" u="1"/>
        <s v="&quot;Supervisor spoke with resident and let him know that the other resident is on a safety precaution so staff have to be one on one with him at all times. He understands.&quot;" u="1"/>
        <s v="Not enough evidence as to which specific staff are being disrespectful. There is also not enough information to determine if they are actually being disrespectful or if they are being misunderstood by resident." u="1"/>
        <s v="Resident &quot;likes to be in back of the line. Staff made the decision to keep him where he was because residents towards the back and front of the line are sexually attracted to resident. Staff made the best decision to ensure safety.&quot;" u="1"/>
        <s v="&quot;Witnesses stated that staff jokes around a lock with residents and [this resident] can't take it when he jokes at him. All 3 residents stated the same thing and I talked to them separately.&quot;" u="1"/>
        <s v="RT dept is in challenging position between eliminating wastefulness and keeping residents from being wasteful with hygiene materials." u="1"/>
        <s v="Resident &quot;did not ask for an ice pack. She was given a zip lock bag of ice from TL.&quot;" u="1"/>
        <s v="Supervisor did not provide any results. He felt as though she shouldn't have needed a safety plan item since there was no commotion on the unit. Resident attempted to express that she was experiencing an internal struggle. This issue is going to the RM to investigate Supervisor's decision. " u="1"/>
        <s v="N/A" u="1"/>
        <s v=" &quot;Case mgr met with resident on 2/17/15 to discuss placement and review PCP in detail. Resident was not available to meet with PD on 2/25/15 due to attending a court hearing. Resident went AWOL after the court hearing and did not return to NH.&quot;" u="1"/>
        <s v="Findings based on TS processing with resident." u="1"/>
        <s v="&quot;Resident stated that she made something up on staff because she was upset.&quot;" u="1"/>
        <s v="Resident was discharged, so TS did not follow up on allegation of threat." u="1"/>
        <s v="As per RM, &quot;RM explained to resident that due to presenting, items had to be removed to another room.&quot;" u="1"/>
        <s v="&quot;Informed resident that guardian was notified (mother is not guardian). Explained telephone limit (imposed by guardian).&quot;" u="1"/>
        <s v="&quot;Meds are passed throughout the building between the hours of 7pm and 9pm. 8 pm meds can be given anytime between 7 and 9pm. Nurses do their best to get meds passed as close to 8pm as possible, but because of other situations and meds being passed on other units, there is no guarantee resident will ever receive meds right at 8pm.&quot;" u="1"/>
        <s v="&quot;Meds are passed throughout the building between the hours of 7pm and 9pm. 8 pm meds can be given anytime between 7 and 9pm. Nurses do their best to get meds passed as close to 8pm as possible, but because of other situations and meds being passed on other units, there is no guarantee resident will ever recieve meds right at 8pm.&quot;" u="1"/>
        <s v="Video showed that resident was fighting during restraint, making it more difficult for staff to engage in one properly. However, there was a point when staff should have disengaged. There was another point where staff attempted to go directly into 2nd dynamic rather than from escort position. It was determined that staff members had no malicious intent and were attempting to maintain safety on the unit." u="1"/>
        <s v="&quot;Cameras do not show this altercation. Spoke with staff and resident. Staff and resident both admit to getting into a verbal altercation but staff denies any threats.&quot;" u="1"/>
        <s v="&quot;Miscommunication amongst peers, issue resolved.&quot;" u="1"/>
        <s v="As per DPPO's discussion with multiple witnesses, resident &quot;recieves regular diet &amp; does not eat all food provided. Pt recieevs medication at 7 PM and unit has already distributed a high starch snack at 6:30 PM. It is recommended that unit change high starch snack to 7:30 PM to help alleviate some of the hunger. It is also recommended that pt consumed all food provided.&quot;" u="1"/>
        <s v=" " u="1"/>
        <s v="Not enough information to determine what was said to him and if it was hurtful. Restraint log indicated that resident refused directives and verbally threatened staff." u="1"/>
        <s v="Resident did not like being therapeutically confronted about behavior." u="1"/>
        <s v="Staff offered the correct medication, but resident did not trust staff." u="1"/>
        <s v="&quot;Trans 1 dinner is scheduled for 6:30 PM. Resident's food was given to her when she became compliant and safe.&quot;" u="1"/>
        <s v="&quot;Resident was displaying verbally aggressive behaviors (racial slurs, communicating threats, and inciting peers to display non-compliant behaviors).&quot;" u="1"/>
        <s v="&quot;The resident's protocol was reviewed by treatment and released on the day his protocol ended.&quot;" u="1"/>
        <s v="&quot;The resident wrote a statement that no one threatened him the night of the restraint.&quot;" u="1"/>
        <s v="Resident reported, &quot;I don't care. Doesn't bother me anymore.&quot; TS marked it as false due to misunderstanding. Resident has historically struggled with this female staff member providing firm directives." u="1"/>
        <s v="RM wrote, &quot;Resident stated staff did not remind nurse to bring her hot pad (requested after she received her PRN injection). She stated staff did not give her a reason why nursing didn't come back.&quot; When RM explained this to LRA, she explained that staff did not think to proactively communicate to resident (e.g. they did not know what to communicate)." u="1"/>
        <s v="&quot;A few of the residents became unruly. At the point that it was safe to move them off the zone, Zpril was involved in the disruption  with a peer. The TL took her along with other residents around to the dayroom to help de-escalate the situation when april got to the top of the zone at the control station. She yelled a derogatory slur down the zone to her peer. Her peer swung and hit her. The resident was moved away from the procedure.&quot;" u="1"/>
        <s v="Witness noted that he informed the resident that he does not believe the therapist acted unprofessionally or outside of policy." u="1"/>
        <s v="As per multiple witnesses, there was &quot;no evidence of having any money. Resident loanded out his cord to his mp3 player toa  peer.&quot;" u="1"/>
        <s v="&quot;It was explained to [resident] that because of her diet restrictions and allergies she would not receive the same as others. There is no evidence to support the sickness as a result from the food after checking the recorded temps. All food items were above the minimum cooking temperature.&quot;" u="1"/>
        <s v="RM looked into situation and reported that named staff continued to stand up because she was unsure of what resident would do, based on resident's current pattern of unpredictable and unsafe behaviors." u="1"/>
        <s v="&quot;Resident's story/ perception was validated per staff.&quot;" u="1"/>
        <s v="&quot;Plan has been put in place to resolve issues with resident on a weekly basis (Fridays) to address all of her concerns. Resident interprets all responses as rude and expects instant gratification. TS is being proactive by pulling resident more often and addressing concerns before they turn into grievances.&quot;" u="1"/>
        <s v="RM wrote that resident expressed she &quot;would like to be considered for incentive room, has been on 2 outings.&quot;" u="1"/>
        <s v="As per PD, &quot;Resident states she received her drops - states that she is 'not mad' anymore, and feels the situation has been resolved.&quot;" u="1"/>
        <s v="&quot;Staff was processing with an agitated peer. Accoding to the other peers, the staff and res were talking in a normal tone and not disturbing the others.&quot;" u="1"/>
        <s v="&quot;A peer was asked to take a time-out due to an inappropriate conversation he was engaging in. The res was prompted to stop the conversation multiple times. The res stated to me 'I was just mad and didn't want to comply.' Multiple staff attempted to get the res to comply.&quot;" u="1"/>
        <s v="Resident &quot;informed me on 3/2/15 when I was checking on the unit that she had concerns (cleaning, some directives she didn't understand staff had given her regarding inappropriate per interaction, etc.). I resolved some of her concerns. I also let her know as well as staff to make sure that a resident needs to speak to me that I am notified on more than one occasion (isolated incidents). She was not able to get me. Either it was my day off or dealing with pressing matters. She thought it was a conspiracy but it was just bad timing.&quot;" u="1"/>
        <s v="Named staff member had not been acting therapeutically." u="1"/>
        <s v="&quot;See attached report/ incident resolved.&quot; No report attached." u="1"/>
        <s v="&quot;Spoke with staff and resident. It was determined that neither staff or resident could recall situation.&quot;" u="1"/>
        <s v="Documented as a dismissal since resident requested dismissal. Resident wrote &quot;I decided not to pursue&quot; on grievance form and initialed it." u="1"/>
        <s v="&quot;Resident was on zone per individualized behavior plan and excessive non-complaint, threatening, disruptive behaviors. Interactions with residents on protocols, plrecautions, plans should be minipized per SOPs. Her needs were never neglected.&quot;" u="1"/>
        <s v="&quot;The incident could not be verified via video and as stated there were no witnesses. She sleeps in the hallway so it would be hard to cover that up without other staff witnessing the event.&quot;" u="1"/>
        <s v="&quot;Two employees were speaking about work issues but could not move from their seated positions in coverage to discuss the issues. This resulted in them talking at an elevated volume, consequently waking the resident.&quot;" u="1"/>
        <s v="&quot;Teacher could not recall specific incident but states that she did not yell at resident at any time. Resident was not able to remember what staff were in the room at the time of the incident.&quot;" u="1"/>
        <s v="&quot;Resident received meds at 3:05 PM for pain. She would not be able to receive them again until 11pm, per nursing.&quot;" u="1"/>
        <s v="As per multiple witnesses, &quot;Resident's room is at a place on the unit where staff get off the elevator [and] stop to talk to staff seated at this room and conversations can get unintentionally loud. Also res is known to wake up in the middle of the night when there is no one talking or being loud and usually remains up the remainder of the night, wanting to converse with staff. TL identified two individuals that have been redirected previously for frequently interacting loudly on the miliey, but reports that this is no longer an issue.&quot;" u="1"/>
        <s v="&quot;Resident felt like her and the staff was having a bad day and the staff didn't mean any harm about anything she said.&quot;" u="1"/>
        <s v="Knowing that staff cannot always control kids, concern was passed along to TS to discuss with staff." u="1"/>
        <s v="&quot;The resident stated that she attempted to get staff upset by talking on MPR. The resident stated that she was pissed at staff.&quot;" u="1"/>
        <s v="Resident &quot;never came out of dayroom to ask staff about this issue, based on the cameras.&quot;" u="1"/>
        <s v="Resident admitted, &quot;I called the staff a bitch&quot; in writing." u="1"/>
        <s v="As per TS, &quot;Resident was able to masterbate in the shower at 2:56PM until 3:02PM. Resident re-entered the shower room at 3:19PM without permission and refused staff prompts to leave shower room. Implicated staff member assisted with de-escalating the resident and she walked out of the shower room.&quot;" u="1"/>
        <s v="&quot;We don't have a leg rest on the unit. The resident was directed for having his foot on another resident's chair. The resident was simply redirected to take his foot down.&quot;" u="1"/>
        <s v="RM Gaither reported via email that &quot;On 1/21, 3rd shift staff may have been following the previous plan.&quot;" u="1"/>
        <s v=" As per RM Hall, &quot;Plan 1 is what they were following. Plan marked two is the updated plan received 1/23/15." u="1"/>
        <s v="As per multiple witnesses, there was &quot;no evidence of having any money. Resident loanded out his cord to his mp3 player to a  peer.&quot;" u="1"/>
        <s v="Based on camera and multiple witnesses, resident &quot;was aware when 3rd shift took the floor. Eventually she became unruly and aggressive. She tried to go into the office which contains many items that she can use to hurt staff and herself. She was escorted into her room. During the escort she made allegations against [named staff]. She was not touched inappropriately...Two days later she apologized to me and [named staff] for her behavior.&quot;" u="1"/>
        <s v="RM wrote that &quot;resident stated if staff would slow down when talking to her (give time to process).&quot; RM explained to LRA that resident perceived that staff do most of the talking, and she wanted someone to listen to her." u="1"/>
        <s v="Per TS, &quot;Based on initial conversation with resident, she was out of area threatening staff at 2:45 AM on 2/5/15. Her story about why she was upset changed 3 times. First she said that 3rd shift is talking about her, it's been going on a long time. I asked why she never told me. She stated, I don't see you. I reminded her that I just spoke with her 2/3/15 at 7AM. She changed it and said it happened after that.&quot;" u="1"/>
        <s v="TS looked into situation and determined that it was highly unlikely that this occurred. The resident in question stated that he did get his glasses and did not report that there was a problem." u="1"/>
        <s v="&quot;Resident was on his first 24 hours of aggression and was given alternate AT in his room.&quot;" u="1"/>
        <s v="Resident &quot;admitted that she is just not a morning person and doesn't want to be given prompts to help her gauge her time so that she may complete her hygiene in a timely manner to stay on schedule absent of an emergency or crisis….I am commonly a part of the morning hygiene routine. The named staff are consistent and redirect residents respectfully, as well as encourages them to complete hygiene and have a great start to their day.&quot;" u="1"/>
        <s v="No findings given." u="1"/>
        <s v="Implicated staff was waking other residents up for morning hygiene, as it was the appropriate time. Resident &quot;did not want to get up so he complained about staff being loud.&quot;" u="1"/>
        <s v="Resident &quot;is in different classes than the other students in her classroom and is struggling with so much independent work.&quot;" u="1"/>
        <s v="&quot;It has been determined that Andrew likes it and asked the staff to call him 'little beast mode' and other Resident names, but that on the night mentioned he was angry and misinterpreted what staff said.&quot; A witness reported that resident could not have heard what staff said, nor did witness hear her call the resident anything other than his name." u="1"/>
        <s v="Nurses have been trying to reinforce use of coping skills over unnecessary PRN use. Nurses also cannot provide medication unless the allotted time has passed between doses." u="1"/>
        <s v="&quot;All medications have a 1 hour window. Medication was given within timeframe. Staff should have explained this process to resident, as she was new.&quot;" u="1"/>
        <s v="&quot;Transformations eats at 6:30 pm. Trays need to go back down by 7:00 to be cleaned due to kitchen closing. However, trays are typically picked up before 6:30 to allow the residents more time to eat.&quot;" u="1"/>
        <s v="As per RM Gaither, &quot;Staff went through items due to her having a pencil and staff did not see where she put pencil, encouraged to adhere to program expectations of not taking items to her room without permission.&quot; Did not address yelling." u="1"/>
        <s v="Resident's statement contradicted itself, as well as contradicting other events which occurred related to the claim. His evidence could have easily been created through conspiracy with roommates/friends, with contradictions and past documented false allegations with identical patterns creating room for reasonable doubt. Ruling was close to &quot;unsubstantiated&quot; but was based on circumstantial evidence. Therefore, &quot;inconclusive&quot; was chosen as ultimate ruling.   " u="1"/>
        <s v="It is unknown who was responsible for providing the medication and if he ever got the medication. " u="1"/>
        <s v="Staff member wrote a statement that she maintained appropriate behavior while attempting to prompt resident and apologized to resident when she &quot;asked why as I yelling. I responded that I was not yelling or upset with her and apologized if she thought that I was.&quot; From TL:&quot;When debriefing resident she admitted that she got upset for no known reason and began to exhibit negative behaviors. She stated…she was unnecessarily verbally aggressive and started pouring water on the floor as she continued to escalate.&quot;" u="1"/>
        <s v="As per multiple witness and camera views, RM Gaither &quot;debriefed with RM Barnes (implicated staff's supervisor), and staff incident did not occur as resident stated.&quot;" u="1"/>
        <s v="As per Dietary Coordinator, &quot;In reviewing claim, res stated that numerous residents did not receive snack due to dietary staff not sending enough for entire unit per residential staff. Resident also stated that staff did not attempt to retrieve any more snacks from the kitchen. In result, staff may have taken another unit's snack crate, or staff did not give snacks to resident.&quot;" u="1"/>
        <s v="There is a lack of evidence regarding When, Where, and How staff looked at her, as well as due to lack of witnesses mentioned." u="1"/>
        <s v="Resident &quot;was warned many times that he needed to come out. [He] stopped communicating with staff, and staff felt it necessary for his safety to open the door and check on him.&quot; " u="1"/>
        <s v="Resident &quot;was talking and requesting tylenol multiple times per shift. It was determined by nurse that resident was abusing tylenol. Resident was provided ice/heating packs and order was written by nursing.&quot;" u="1"/>
        <s v="As per multiple witnesses, there was &quot;no evidence of having any money. Resident loanded out his cord to his mp3 player to a  peer.&quot; This was combined with Case #22 since they are about the same thing." u="1"/>
        <s v="Two statements were gathered. They contradict each other (even in a manner which makes the implicated staff's statement look less reputable) and neither prove that the allegation is correct. " u="1"/>
        <s v="Resident was struggling to follow nursing instructions." u="1"/>
        <s v="&quot;Resident wants other residents to be more respectful of staff and each other. Resident wants to get involved in a  community meeting to address concerns with peers.&quot;" u="1"/>
        <s v="Unknown if individuals are negative." u="1"/>
        <s v="As per TS, &quot;[The peer]stated that she was crying and staff processed with her about her feelings. Resident does not recall staff saying 'Girl, bye' and walking away.&quot; " u="1"/>
        <s v="As per DE, &quot;Although Ms. Hughes denies the allegation, both the student and TS report the above statement as accurate.&quot;" u="1"/>
        <s v="Appeal team decided to discuss issue. Original investigator Hall was asked to submit original evidence/findings for team discussion." u="1"/>
        <s v="As per multiple witnesses, &quot;Patient sometimes skips meals and does not eat food that is provided.&quot; Investigation by dietician revealed that resident has had a 43 lbs weight gain at the facility and is therefore on a low calorie diet." u="1"/>
        <s v="RM got statement from implicated staff, who claimed that she never made the comment. " u="1"/>
        <s v="&quot;I set the air on Thursday and asked TL to place in transition for staff not to touch. Talked to RM this morning; she said she re-iterated this to staff as well. If it continues I will place a lockbox on the box.&quot;" u="1"/>
        <s v="Being reviewed 2/24/15" u="1"/>
        <s v="Allegation was determined to be true. Escort may have been warranted, but the techniques used placed the resident and staff in danger. Please see investigation summary for more information." u="1"/>
        <s v="&quot;Residents are only refocused when multiple peers are creating an unsafe environment.&quot;" u="1"/>
        <s v="Staff members attempted to wash clothes in allotted amount of time, but were unable to do so." u="1"/>
        <s v="Resident was laughing and implicated staff &quot;encouraged her to use coping skills that are feasible for education (DBT, deep breathing, etc.). Also that signs of agitation/rationale for coping skills must be present.&quot;" u="1"/>
        <s v="Resident &quot;Was not being completely honest. Implicated staff was not the designated person to distribute medication. He was not aware of this. Once he realized that someone else was distributing meds he wanted to recant his grievance.&quot;" u="1"/>
        <s v="&quot;TS will use this as a customer service tool.&quot; " u="1"/>
        <s v="Resident reported &quot;that he was not completely honest. He reported that he was upset about being placed on precaution and took it out on the acting TL for the day. Also he reported that she was appropriate when speaking to him.&quot;" u="1"/>
        <s v="&quot;Resident was upset because she wanted to use her pen to write in her journal after school. Staff explained to the resident that she can't use that pen outside of the classroom but she will give her something to write with. Resident felt that the staff yelled at her and she didn't like the way staff talked to her.&quot;" u="1"/>
        <s v="&quot;Resident reported that he was not completely honest about his complaint. He informed that he became frustrated about arguing with a peer. Once the peer verbally confronted him about a false allegation of touching, a staff member told him 'that's what you get for talking smack.' Resident also reported staff never got in his face and that he stayed calm.&quot; RM relayed that staff was trying to point out natural social consequences to resident with the &quot;that's what you get&quot; comment." u="1"/>
        <s v="&quot;Staff will watch the residents and will remove them from the dayroom if caught doing anything inappropriate.&quot;" u="1"/>
        <s v="Dietary has attempted to accommodate religious-based requests, but is unable to accommodate continually changing wishes. " u="1"/>
        <s v="Resident's statement acknowledged an understanding of personal behaviors, but not for consequences. Grievance was dismissed." u="1"/>
        <s v="As per RM, &quot;Number not listed, staff followed call log. Issue resolved, call log adjusted. Communicated changes to resident.&quot;" u="1"/>
        <s v="&quot;The resident was sent to his room due to his behaviors in the dayroom. The staff stated that [he] continued to display negative behaviors in his room. Staff was trying to tell [resident] that his time-out is for 15 mins. I explained to [resident] that staff can not tell him that he has to go to his room for the night. I will review with staff in supervision the protocol for timeout issued by staff.&quot;" u="1"/>
        <s v="&quot;Staff removed the resident from the dayroom due to the potential conflict.&quot;" u="1"/>
        <s v="&quot;Talked with resident about dayroom changes that have been made. She states that there has been improvement. Bullying has lessened.&quot;" u="1"/>
        <s v="Resident &quot;stated that her peers being loud caused her to have a loud outburst. She can discuss her issues with her peers in community group. She also needs to do her part and not add to the noise on the unit.&quot;" u="1"/>
        <s v="&quot;After hygiene time there were problematic behaviors on the unit that kept her from having a second chance to go back to the bathroom.&quot;" u="1"/>
        <s v="RM witnessed the entire incident and explained that implicated staff was positioned at resident's shoulders. Implicated staff attempted to keep resident from hitting wall and had to reposition with other team members several times. Resident continued to push aggressively, causing implicated staff's hands to slip/slide closer to the neck. Other staff attempted to assist implicated staff with making adjustments as needed to ensure resident safety. " u="1"/>
        <s v="&quot;Resident stated that she was acting up and that this is an error.&quot;" u="1"/>
        <s v="&quot;Resident expressed he was denied meal. Staff explained that as consequence to behavior they have denied meal when it falls after the curoff times of having trays downstairs. Staff was told that they could not consequence resident in this manner.&quot;" u="1"/>
        <s v="&quot;Resident didn't come out of his room to where breakfast was being served. TS met with staff member and resident about this incident. TS stated to resident that he needs to be in the designated area where breakfast is being served when directed to.&quot;" u="1"/>
        <s v="&quot;Case mgr has contacted multiple stepdown placements and there is an opening in 2 months. The only one who would discuss stepdown for her. Bx has been good altely, but only recently to even begin looking @ step-down. Going home is not an option.&quot;" u="1"/>
        <s v="Camera &quot;Triad Hall View 2&quot; confirms that he did sit on the hallway.  " u="1"/>
        <s v="Group rules &amp; consequences have been explained to residents many times, and he was given prompts." u="1"/>
        <s v="&quot;I processed with resident and explained to resident that we will not allow anyone to hurt her and ensured her safety. I advised resident to continue documenting any actions which make her feel unsafe.&quot;" u="1"/>
        <s v="Resident and staff &quot;report that nurse comes up to give her meds after 9am on the weekends. Resident's meds should be given between 7am and 9am.&quot;" u="1"/>
        <s v="&quot;Nursing would not provide a wheelchair because there is no doctor order stating to do this. She can walk on her leg - mobility is just to be limited. There is currently no need for her to have a wheelchair." u="1"/>
        <s v="&quot;See previous summary&quot; for grievance 123.1" u="1"/>
        <s v="TS was faciliating phone calls and asked resident if he wanted his call. His response was no if she was doing calls out of fear that the TS may report his recent misbehavior to his mother so he refused the phone call." u="1"/>
        <s v="&quot;Implicated staff denies implications 100%. No witnesses so cannot say what happened for sure.&quot;" u="1"/>
        <s v="Resident admitted, &quot;I wanted the point sheet when I wanted it and I didn't want to listen to what staff had to say.&quot;" u="1"/>
        <s v="Resident became agitated when she was not given immediate gratification (she wanted to join an activity but was told to wait until after med pass) She became agitated and behaved in a way which   presented as a danger to herself and others. She was placed in a restraint and fought during the restraint, which included attempting to bite implicated staff. Implicated staff attempted to protect herself by pushing resident's face away from her hand and arm as resident fought.  " u="1"/>
        <s v="&quot;The resident didn't have any clean clothes during shower time. The resident's clothes were washed during the shift. Resident was offered a shower once his clothes were done and the resident refused due to being sleepy.&quot;" u="1"/>
        <s v="&quot;Resident reports that he overheard [implicated staff] tell [Witness 1] that he was psychotic and that [implicated staff] walks right by him without addressing his concerns. Witness 1 reports that [implicated staff] did not call the resident psychotic, but that she told the staff that he may be experiencing psychotic symptoms relating to his bladder issues. [Witness 2] reported that every time [implicated staff] walks by, [resident] calls her &quot;Bitch&quot; and makes other comments, which is why the nurse walked by him on this specific day.&quot; Implicated staff also denied charged." u="1"/>
        <s v="Allegation was determined to be true. Please see investigation summary for more information." u="1"/>
        <s v="&quot;It is policy that dietary staff have 1/8 inch nails and wear gloves when preparing and serving meals, in which dietary department is in full compliance. In result, the patient's accusations are false.&quot;" u="1"/>
        <s v="&quot;Ex&quot;" u="1"/>
        <s v="Resident told 2nd shift about her preference, so it was unlikely that 3rd shift was aware of this preference. Additionally, she was offered 3 prompts to take her requested place, but she apparently &quot;zoned out&quot; as per her account. Staff member's intention was to give her additional time to get ready. " u="1"/>
        <s v="RM was present during situation and explained that due to the resident's unsafe behaviors, &quot;his personal items and furniture were removes from his room to the storage. No items were thrown away.&quot;" u="1"/>
        <s v="&quot;The TL notified nursing about a resident needing a PRN between 4:45PM and 5 PM. Nursing responded and stated they were on the way. They finally made it to the unit at approximately 6:45 PM.&quot;" u="1"/>
        <s v="TS spoke with all parties and reported, &quot;Both res and staff admitted to behaviors involved in incident. Both were in agreement that their role was inappropriate.&quot;" u="1"/>
        <s v="Investigation revealed that staff likely engaged in power struggle with resident over clothing. Resident does not have a lot of clothing and she reported that staff complain often about her changing clothes, leading to her defiance in refusing to change her tank top when asked. Although she claimed that she was not fed because of the refusal to change clothes, statements indicated that she refused to go down to lunch (and Trans practice was not to feed residents who refused to comply with programming so as not to reward/enable behavior which disrupted a resident's ability to recieve therapeutic service). However, it was agreed that not feeding residents was neglect even if it reinforced untherapeutic behavior." u="1"/>
        <s v="Resident refused morning hygiene, told staff to leave her alone. She never asked for nursing or said that she had a medical concern." u="1"/>
        <s v="&quot;Staff stated during the time this incident occurred that the kids were being transitioned (between locations) and she told him that he will need to wait until we got the unit covered and he could go. Resident did not like her response and wanted to write a grievance.&quot;" u="1"/>
        <s v="DPPO made aware of concern." u="1"/>
        <s v="&quot;Resident stated that he didn't know why staff would feel like he is grooming her but he never meant for it to look that way.&quot;" u="1"/>
        <s v="&quot;The residents had a misunderstanding about their dayroom going out that day. It was the other dayroom's turn to go outside and they didn't want to go out so the other dayroom wanted to go out, and they got mad when implicated staff told them no, it's not their day.&quot;" u="1"/>
        <s v="&quot;Units do have assigned areas. However, when alarm sounds, staff needs to get residents to the nearest exit. Staff stated they did non-verbal head count before leaving unit.&quot;" u="1"/>
        <s v="&quot;Resident wanted to leave the dayroom to go back to straighten room again. I did speak with staff. No one recalls having any conversation with her about not being able to clean her room. Staff consistently promote residents to clean their room and the areas they use. It is part of their morning hygiene routine/schedule. We consistently look for ways to encourage and motiate them to clean their room. No one would ever be denied.&quot;" u="1"/>
        <s v="Therapeutic issue; no evidence necessary" u="1"/>
        <s v="As per RM, &quot;Resident stated wrote grievance too fast, staff allowed her to complete hygiene.&quot;" u="1"/>
        <s v="As per TS, a modified behavior plan was initiated on 1/5/15 for resident. &quot;The plan was reviewed with her on 1/12/15. She reported that she understood her plan. She is clear about the current expectations.&quot;" u="1"/>
        <s v="&quot;The cameras are strategically placed throughout the unit as a safety measure and not to violate her privacy.&quot;" u="1"/>
        <s v="&quot;Resident was upset due to being disciplined by staff when he wasn't doing anything wrong and the whole covey was penalized.&quot;" u="1"/>
        <s v="&quot;In speaking with staff, physical intervention was warranted. Staff readjusted several times due to level of aggression from resident. RM explained interventions can be uncomfortable, nurses are there to assess for any distress and in the process of her aggression/initiation there could be damage to clothing.&quot;" u="1"/>
        <s v="&quot;Resident and staff were talked to. Staff is being reviewed in regards to this matter.&quot; " u="1"/>
        <s v="Resident &quot;has been walking out of area making demands that staff talk to him or get him things that he's not allowed to have. He got upset that staff have not allowed him anything extra because he can't follow directives or keep his room clean. He is on protocol due to these behaviors.&quot;" u="1"/>
        <s v="Appeal team decided to discuss issue. Multiple witness statements attested that the resident was seated in an unsafe position as determined by her &quot;banging on the double doors to the adjacent unit where residents were asleep and staff would be coming through for assistance.&quot; When attending staff stood on either sides of her and cupped their hands underneat her arms; she suddenly stood up and continued verbal aggression. Statements match closely. Evidence shows that resident was not pulled out of her seat nor placed in unreasonable and aggressive hold." u="1"/>
        <s v="RM wrote that she &quot;explained treatment is individualized. Also general rules are in order to maintain safety; however, must meet individual needs of residents.&quot;" u="1"/>
        <s v="&quot;Resident told another peer to shut up in class and then resident stated that [implicated staff] said 'you can't tell him to shut the fuck up.' Resident stated that he didn't think he cursed at him, he just got mad that he cursed in class at what he said.&quot;" u="1"/>
        <s v="&quot;The resident was acting out and staff was trying to de-escalate him. Staff made the statement, 'You not a dummy so stop acting like a dummy'.&quot;" u="1"/>
        <s v="&quot;Spoke with resident and understood that it was quiet time when directive was given and he was given a directive that needed to be followed.&quot;" u="1"/>
        <s v="As per RM, &quot;Resident stated, 'don't worry about it.' Issue resolved.&quot;" u="1"/>
        <s v="&quot;Resident was upset that her probation officer informed her that consistent negative behavior at her placement could cause her to be in violation in court. She now realizes that her negative behaviors can impact her in a big way.&quot;" u="1"/>
        <s v="As per RM, &quot;In speaking w/ resident she stated that she didn't hear staff say this, she was told by peers, discussed not listening to peers + factual vs. nonfactual information.&quot;" u="1"/>
        <s v="&quot;Too vague to follow properly. After asking [resident], still no further details or specific staff implicated.&quot;" u="1"/>
        <s v="&quot;Resident is not restricted from any scheduled outing as long as her behavior is appropriate and she is not on any protocols.&quot;" u="1"/>
        <s v="Kids dunk too much and it affects the rims." u="1"/>
        <s v="As per witness statement, resident was threatening her therapist, calling her a bitch and &quot;she is going to get her fired for no reason.&quot; This account claimed resident was not listening in group and that this resident was not being truthful." u="1"/>
        <s v=" Staff submitted conflicting statements which indicated that this was true, but management submitted the argument that there was still room to have reasonable doubt that it was true. Therefore, inconclusive was chosen. Please see investigation file for more details. " u="1"/>
        <s v="RM engaged in observation to find validity in claim." u="1"/>
        <s v="As per RM, &quot;Following discussion the resident rescinded allegation…Resident began to discuss his part in the incident.&quot;" u="1"/>
        <s v="&quot;It was determined that the resident fell asleep priot to the nurse arriving to the unit to administer the medication. He was not woken up.&quot;" u="1"/>
        <s v="&quot;The resident did not have a medical reason to have an ice pack.&quot;" u="1"/>
        <s v="&quot;Resident was placed on safety due to Suicidal Ideation remarks. Staff did act in the best interest of resident by calling psychiatrist and documenting.&quot;" u="1"/>
        <s v="Unable to determine what happened." u="1"/>
        <s v="Staff admitted that she said “I’m going to fuck you up,” which could be construed as a threat. She was reacting to the physical altercation from residents. Information gleaned from witnesses, as well as from her own admission, indicated that she did not engage in NVCI-approved techniques to block hits/grabs, free herself, or call for assistance. " u="1"/>
        <s v="&quot;Student claimed that teacher told him to put crossword puzzle away, but he didn't hear her so the teacher took his puzzle away. Other students told him later that she had thrown the pizzle away. Teacher claims that she probably did put the crossword puzzle in the trash if it was left lying around and not in his notebook, but was not intentional.&quot;" u="1"/>
        <s v="Resident was discharged on 4/18/15 and supervisor therefore did not investigate claims." u="1"/>
        <s v="As per RM, &quot;Resident stated miscommunication, medication was recently changed.&quot;" u="1"/>
        <s v="&quot;Resident's weight was stable, and diet was sufficient to maintain body weight.&quot;" u="1"/>
        <s v="&quot;It has been determined that Andrew likes it and asked the staff to call him 'little beast mode' and other nick names, but that on the night mentioned he was angry and misinterpreted what staff said.&quot; A witness reported that resident could not have heard what staff said, nor did witness hear her call the resident anything other than his name." u="1"/>
        <s v="&quot;Resident only plays his DS with his therapist&quot;" u="1"/>
        <s v="&quot;Discussed situation with resident. She understands that staff forgot about her phone call and is OK with this.&quot;" u="1"/>
        <s v="&quot;Unit channel list has been changed and updated and it was explained that staff can discern what is appropriate or not.&quot;" u="1"/>
        <s v="&quot;Resident was not prescribed an inhaler at the time. The NP wrote an order for her to use an inhaler every 4-6 hours as needed on 4/3/15.&quot;" u="1"/>
        <s v="&quot;Dietary dept. orders pre-cooked hamburgers that need to be heated. In order to keep meat from burning, dietary staff keep hamburgers in water to keep temperature. In result, hamburger meat appears to be uncooked due to foodservice temp procedures.&quot;" u="1"/>
        <s v="&quot;The res was placed in a restraint due to him walking out of area and making threats toward staff. The restraint was done correctly. The resident, no injuries.&quot;" u="1"/>
        <s v="Resident discharged; complaint was returned with no findings." u="1"/>
        <s v="&quot;After follow up of the resident it seemed that the staff was detailing every incident to the resident; Over-doing it.&quot;" u="1"/>
        <s v="&quot;Student claimed [implicated staff] called him 'stupid' and yelled at him. While no staff recalled [her] calling [the resident] stupid, staff did say [she] often uses a disrespectful tone and sarcastic comments with the students in her classroom.&quot;" u="1"/>
        <s v="As per RM Gaither, &quot;Staff stated they did not eat directly in her face, but she did have some crackers and did not purposefully spite resident. Once resident requested for her to stop, she did.&quot;" u="1"/>
        <s v="Resident was told that it would be difficult to validate a story that changed details often and had no witnesses. He was told to write a grievance if it happened again and to mention witnesses." u="1"/>
        <s v="&quot;Resident was out of area, not following staff directives. Grievance form was not denied. I had need concerns at the time.&quot;" u="1"/>
        <s v="&quot;RM explained to resident that she was moved to Dayroom A due to consistent negative interaction with a peer in Dayroom B. Resident stated she thought she was only moved for a day or two. Implicated staff was following expectations.&quot;" u="1"/>
        <s v="Resident reportedly did not percieve situation correctly." u="1"/>
        <s v="&quot;Resident can't say what the staff said, and the staff doesn't recall saying anything negative or disrespectful toward the resident.&quot;" u="1"/>
        <s v="&quot;Music is being played as described. Music will no longer be played on program.&quot;" u="1"/>
        <s v="&quot;Resident's room was going to be changed and given a roommate, but team simply decided to transfer her to accommodate new admissions/ higher census.&quot;" u="1"/>
        <s v="&quot;Teacher did remove boards as they were causing disruption in the classroom, as there weren't enough for each student. Teacher is looking for small individual boards for each student instead of several large boards.&quot;" u="1"/>
        <s v="&quot;The resident was not being honest about his behaviors and was trying to get his peers to lie with him to manipulate the new staff.&quot;" u="1"/>
        <s v="Multiple witness interviews provided conflicting stories, but did claim to hear staff call resident that name. Lack of witnesses from individuals outside of their room also made it impossible to substantiate claim." u="1"/>
        <s v="Resident had been kept on the unit because she &quot;displayed unsafe behaviors prior to beginning AT. Resident did calm down but there was not enough coverage to take her outside separately.&quot;" u="1"/>
        <s v="&quot;Could not confirm, encouraged responsibility for actions, and to discuss issues in the moment.&quot;" u="1"/>
        <s v="Decisions were made to keep all residents on the milieu safe." u="1"/>
        <s v="&quot;Cards, puzzles, and crafts must be kept in personal boxes per Trans/SH behavior guidelines and privileges.&quot;" u="1"/>
        <s v="RM wrote, &quot;Peer was playing with her. Resident didn't perceive it as such.&quot;" u="1"/>
        <s v="&quot;Reviewed with residents the rules of the milieu and explained that not every thing will happen in a timely manner&quot;" u="1"/>
        <s v="&quot;Resident was excessively non-compliant during shower time. Was given opportunity to return to assigned area - resident refused.&quot;" u="1"/>
        <s v="&quot;Staff grabbed resident by shirt to deter him from attacking one of his peers. Policy states staff cannot attempt a one man NVCI restraint on residents. Staff in this case was not attempting a one man restraint but to hold back resident from fight.&quot;" u="1"/>
        <s v="&quot;This is a complaint and will be addressed in community group.&quot;" u="1"/>
        <s v="&quot;Resident stated that he was in the hallway yelling for his therapist and staff wouldn't let him talk to him.&quot;" u="1"/>
        <s v="&quot;[Presumably the vandalizing] Resident moved to another room, she received programmatic consequence for behaviors, issue resolved.&quot;" u="1"/>
        <s v="&quot;Resident was given a time-out outside of the dayroom due to her negative bx while in the dayroom. Resident also processed with staff because she was agitated.&quot;" u="1"/>
        <s v="&quot;Resident was upset because she was not in a day room with a peer that she got along with.&quot;" u="1"/>
        <s v="&quot;Resident was never in an escort/restraint. Resident was constantly slamming her room door and threatening to harm herself while in the room.&quot;" u="1"/>
        <s v="&quot;This was a treatment team decision.&quot;" u="1"/>
        <s v="RM wrote, &quot;Due to behaviors, telephone calls did not occur.&quot;" u="1"/>
        <s v="Ouija boards are not a part of any organized religion. Having them is not part of a religious right." u="1"/>
        <s v=" Based on witness statements, no obsene language was heard. Resident was not complying with directives and created an unsafe situation on the zone." u="1"/>
        <s v="&quot;There is no way to prove this. The resident said staff threatened a restraint. Staff said that the resident threatened to act out and she told him that we are trained to handle his disruptive and aggressive bx.&quot;" u="1"/>
        <s v="Multiple witness statements reported that resident became angry about not being given his laptop and threw schoolwork on the floor. Several individuals attempted to process with him and asked him to pick it up. He then became verbally aggressive toward teacher and staff, stood up, and threw his desk on the floor and attempted to punch the teacher. Advocate noted that resident changed his story during the interview, first saying that the teacher shoved the desk and then saying teacher picked up the desk. " u="1"/>
        <s v="&quot;Staff [are] aware of the [other resident's] negative behaviors in the dayroom. [He] often gets caught instigating his peers. Staff will watch [him] and other peer interactions in the dayroom. Also we will cover bullying in community group. " u="1"/>
        <s v="&quot;Staff refocused the entire program due to multiple excessive/ aggressive behaviors from the majority of the residents.&quot;" u="1"/>
        <s v="&quot;The resident was agitated for program consequences in dayroom. He took noncompliant behaviors to his room after bed time. The resident was given multiple prompts to stop disrupting the milieu. The resident continued to turn lights on.&quot;" u="1"/>
        <s v="LRA received statements &amp; knowledge of incident on 5/26/15. Findings were as follows, but more details can be found in investigation write-up (both digitally and in hard files).:On the morning of 5/21/15, Gabriel Lugo had struggled with behaviors which required interventions from Meyers, Staton, and Ferngola. _x000a_Staton engaged in aggressively touching Lugo on three occasions which are against policy and therapeutic practice:_x000a_1. Staton bent Lugo’s arm to escort him back into his room (see image GL 1)_x000a_2. Staton reached out to slap Lugo’s hand down (see image GL 2). Image GL2 shows that the hand was far enough away for Staton to step back and engage in defensive posture. Instead, Staton reached out to slap the hand down. _x000a_3. Staton grabbed Lugo by the right arm with both hands because Lugo pushed a table out of the way which Staton had been trying to keep in front of Lugo’s bedroom (see image GL 3). The two had engaged in a brief power struggle of pushing the table back and forth in front of Lugo’s bedroom, which escalated with Staton simultaneously grabbing and advancing on Lugo until the two were completely in the bedroom and out of camera view. Staton moved forward and into Lugo’s bedroom when potential spotter was out of camera view. As per witness, Lugo ended up being held on his bed. _x000a_" u="1"/>
        <s v="TS &quot;determined that the resident was being unsafe and that this broken plastic could have been used as a tool for him to hurt himself. [He] has a past of self-injurious behaviors. The resident failed to mention he was making gestures of self-injurious intentions.&quot;" u="1"/>
        <s v="TS did not look into allegation because &quot;resident is no longer with the company.&quot;" u="1"/>
        <s v="The staff member was joking and did not mean to be threatening. TS coached staff on professionalism." u="1"/>
        <s v="Resident &quot;was having difficulty reading but frequently refuses class. Missing class puts him further behind, making it difficult to complete work. His teacher is giving him appropriate work and offers frequent support.&quot;" u="1"/>
        <s v="No Entry" u="1"/>
        <s v="&quot;The resident continued to antagonize her peers despite being on protocol. The resident needs to be accountable for her negative behaviors.&quot;" u="1"/>
        <s v="As per RM, &quot;In debriefing with staff, reminded [resident] of consequences of her behaviors, alternative plan/ partial removal from community. Resident could not give specifics of staff saying stuff.&quot;" u="1"/>
        <s v="Bathroom situation is set up to accommodate safety but will be reviewed." u="1"/>
        <s v="&quot;Facts were true, reviewing as to be classified as non-therapeutic or unprofessional behavior.&quot;" u="1"/>
        <s v="&quot;Resident asked for his bible while transporting to class and I stated to him that it was class time and he could get it any time after. He now has his bible and now happy.&quot;" u="1"/>
        <s v="&quot;Resident stated he was playing pool with a peer and passed the pool stick and peer dropped it. Staff thought he threw it so he yelled at him.&quot;" u="1"/>
        <s v="&quot;[Resident] told RM, 'Fuck this complaint, I was mad when I wrote it.'&quot;" u="1"/>
        <s v="Supervisor and DPPO have already been made aware. DPPO: &quot;We removed them off the wall over a week ago when a prior grievance was filed. I will follow up to see if they are back. If so we will have them removed again.&quot;" u="1"/>
        <s v="&quot;Resident admits she has been struggling but knows that she needs to improve her behavior.&quot;" u="1"/>
        <s v="As per RM: &quot;Followed up with staff and resident involved. Restraint seem to be normal, resident snapped as described by staff but was still able to control. _x000a_• Staff that responded to the intervention did not see anyone securing the resident from the back (restraint was already in progress)._x000a_• The staff involved stated 1 staff helped them secure one of the residents arm._x000a_• The resident stated that someone secured him from the back._x000a_There were marks on the residents sides that were consistent with finger nail marks but I cannot determine where they came from. On one side of the residents the makes look consistent with someone grabbing the resident/ on the other side the marks are not consistent with someone grabbing him but could be self inflicted. No video surveillance to support or confirm allegation&quot;_x000a_" u="1"/>
        <s v="It has been explained to resident when she can or cannot call suicide hotline." u="1"/>
        <s v="&quot;Resident was loud and using profanity in the dayroom when [implicated staff] was called to help with his noncompliant bx. Implicated staff stated that he raised his voice to match the resident's level so he could hear what he was asking him to do.&quot;" u="1"/>
        <s v="&quot;The shower on Trans 2 leacked awhile back. We pulled the shower and thought we had it fixed. The area around the drain appears to be leaking again. I will call bath fitters to see what they can do.&quot;" u="1"/>
        <s v="&quot;Requested medications are PRN. Resident had just received her medications and needed to allow them time to kick in.&quot;" u="1"/>
        <s v="&quot;Resident was correct about chicken being under-cooked.&quot;" u="1"/>
        <s v="&quot;Third shift staff ordered incorrect meal and did not attempt to correct it.&quot;" u="1"/>
        <s v="Per TS, &quot;MPR was not restarted, however it was continued per treatment team recommendation.&quot;" u="1"/>
        <s v="Resident's previous behavior had warranted consequences. " u="1"/>
        <s v="&quot;All resident protocol decisions are made by the tx team and all tx is individualized. What may appear to a resident as unfair is actually information he's not privileged to have.&quot;" u="1"/>
        <s v="&quot;Resident was frustrated with staff in the dayroom and asked for a time-out. Res was outside the dayroom taking a nap and then decided to get up to go to her room and she was able to take a nap so that she wouldn't be cranky.&quot;" u="1"/>
        <s v="RM attached statements which indicated that resident was being punished on 2nd shift for her 1st shift behaviors. However, implicated staff (STL) wrote that she was following the direction given to her by her TL. RM indicated that resident's claim was true." u="1"/>
        <s v="Resident recanted and said it was a misunderstanding." u="1"/>
        <s v="Resident has never asked for a grievance form in the classroom. He is &quot;slow to begin work&quot; so the teacher therefore &quot;gives him 10 extra minutes to complete assignments.&quot;" u="1"/>
        <s v="&quot;Resident refused to comply with staff and there was only 10 minutes left in class.&quot;" u="1"/>
        <s v="Supervisor allowed resident to write his own response: &quot;Me and [supervisor] talked about how staff aren't always going to keep their conversations or directives sugar-coated. We talked about it and I understood fully that I have to accept confrontation and move on. I also understand that staff aren't threatening us, they are reinforcing the rules.&quot;" u="1"/>
        <s v="Residential Manager did not offer findings, but wrote memo to resident that they are aware of her complaints and assured her that proper steps were being taken in response to her communications. " u="1"/>
        <s v="Resident's &quot;computer was removed, per policy, as he was accessing inappropriate sites and not completing work.&quot;" u="1"/>
        <s v="Resident &quot;did not utilize his bathroom schedule time. He refused to go when prompted. He was given the opportunity to take poor responsibility. He is comparing himself to a peer with a medical disorder.&quot;" u="1"/>
        <s v="&quot;During meal dispersing, resident was non-compliant and verbally aggressive. Resident was asked to go to dayroom to receive food, of which she refused. Resident required physical intervention, afterwards she had a 'seizure.' After this, resident went to sleep and her food was discarded. Staff member denied making statement.&quot;" u="1"/>
        <s v="&quot;Inconclusive: RM to forward incident information to pool supervisor and discuss perceptions, true triggers, and ways to respond to triggers (appropriate means).&quot;" u="1"/>
        <s v="&quot;In speaking with staff, during time of request, resident was verbally and physically aggressive towards peer. Staff was trying to de-escalate other 'pressing' residents.&quot;" u="1"/>
        <s v="&quot;Resident has been given allotted time outside in the TP rec area due to his AWOL status.&quot;" u="1"/>
        <s v="&quot;Misunderstanding between student and teacher. [Resident] states she and [teacher] have resolved their understanding and are on good terms.&quot;" u="1"/>
        <s v="&quot;Resident stated that her meds make her sleepy. Resident asked staff to lay down but it was not the appropriate time to lay down because it was class time. During the break the resident was able to lay down and get rest because she was sleepy.&quot;" u="1"/>
        <s v="&quot;Expectation for use of hygiene item explained. Procedure modified. Male residents will be allowed one bar of soap every week instead of one bar every other week. Explained that males are allowed to reieve 'Dove' but the brand is called 'Meridian.'&quot;" u="1"/>
        <s v="Resident's needs had been met adequately." u="1"/>
        <s v="&quot;Resident was informed that she would receive her snack (as that is her right) but resident was not given permission at that moment to get her snack. Resident walked out of area roughly 30 minutes later to retrieve snack without permission and became aggressive when she was confronted about being out of area.&quot;" u="1"/>
        <s v="&quot;Resident was given Bible back.&quot;" u="1"/>
        <s v="There had been a misunderstanding." u="1"/>
        <s v="Staff ended phone call due to time limits." u="1"/>
        <s v="Issue was relayed to therapist to assist resident with personal response. " u="1"/>
        <s v="&quot;Staff claimed she did not make statement. Staff nor residents corroborate the resident's allegation despite them being listed as witnesses.&quot;" u="1"/>
        <s v="Resident was given grievance form and coping skill once it was feasible." u="1"/>
        <s v="RM attached statement in which staff explained he was trying to explain that struggling in a  restraint could cause injury &quot;not just on the outside, but internal as well such as kidneys.&quot; " u="1"/>
        <s v="&quot;Discussed with the resident about the rules of giving WV's residents medication. I explained that any complaint that a WV's resident have the staff have to call nursing so that nursing can meet their need. Resident states that she understands the procedure now.&quot;" u="1"/>
        <s v="As per dietician assessment, &quot;Resport of resident losing 46 lbs is inaccurate. Current weight reflects a loss of 2.8% (4 lbs) in one month, 5.4% (6 lbs) in 6 months. BMI = 22.4. Weight loss is not significant and does not meet criteria for diet interventions at this time.&quot;" u="1"/>
        <s v="Staff member &quot;reported that she never used profanity towards the resident and the hygiene was observed pleasant during this interview.&quot;" u="1"/>
        <s v="&quot;Spoke to the TL about this incident and he stated that resident was allowed to move and there was never a conflict between him and other staff member.&quot;" u="1"/>
        <s v="&quot;Resident was upset about what happened in speech, approached [implicated staff] to ask for PRN. He encouraged her to use her coping skill. She was still upset so he called for the resident PRN to nursing. Nursing came to give the resident her PRN but the resident refused it, stating she didn't want it anymore.&quot;" u="1"/>
        <s v="As per RM, &quot;In speaking with resident, staff would not give due to behaviors, as she was cutting and previously tried to burn arm with puzzle pieces. When RM reminded [her] of this, resident stated she understood.&quot;" u="1"/>
        <s v="Boundary violations occurred." u="1"/>
        <s v="&quot;Cannot determine whether staff made comment or not.&quot;" u="1"/>
        <s v="&quot;In verbally interviewing witnesses, no one could substantiate implicated staff yelling. Staff stated she was direct in addressing 'bullying' with group. Resident perceives others are yelling/being mean when she doesn't receive the answer she wants. Staff encouraged peer to interact with others and not take things personal.&quot;" u="1"/>
        <s v="The teacher &quot;gives [resident] 2 retakes instead of 3.&quot;" u="1"/>
        <s v="Resident &quot;wanted to go outside but we are not allowed to go outside unless it's on the AT schedule or its on our scheduled time. During this incident, it was not our scheduled time.&quot;" u="1"/>
        <s v="&quot;Resident was told to act appropriately in order to get her coping skill: Coping skills are given as appropriate. There are more than one on each resident's list.&quot; PD explained that residents are often refused items which could be used in an unsafe manner when they are acting unpredictably or aggressively. " u="1"/>
        <s v="&quot;Resident reported that his gums sometimes bleed, that the spaces behtween his teeth are so wide he can stick a pencil between his teeth, and that his teeth hurt when he eats and drinks cold things. No redness or irritation observed to his gums, but resident has been placed on the clinic list for his teeth sensitivity. He will be seen on 3/10/15. He reports this is the first time he has complained about this issue.&quot;" u="1"/>
        <s v="As per resident: &quot;Me and TS talked about when staff aren't always going to keep their conversations or directions sugar-coated. We talked about it and I undstand fully that I have to accept confrontation and move on. I also understand that staff aren't threatening us, they are reinforcing the rules.&quot;" u="1"/>
        <s v="&quot;RM informed residents she would follow up w/staff. See attached statements. Peers denied hearing above comments.&quot; In the statements, implicated staff denied making the comments and another staff reinforced the point that the resident often struggles with staff's attempt to hold her accountable." u="1"/>
        <s v="&quot;In debriefing, resident stated it's just her tone/volume when she speaks, no issue noted.&quot;" u="1"/>
        <s v="&quot;This is a programming issue. Changes will be made. Resident is speaking hypothetically. Residents will be allowed to take unfinished puzzles to their rooms for completion.&quot;" u="1"/>
        <s v="Resident wrote, &quot;Because I was upset I felt like he was yelling at me. But he just wanted to help me.&quot;" u="1"/>
        <s v="Resident &quot;was on inappropriate website and computer was taken by teacher per policy.&quot;" u="1"/>
        <s v="&quot;Resident wrote grievance before he was given a haircut. He assumed that he would not get one due to not attending school but everyone received one regardless of their protocol status.&quot;" u="1"/>
        <s v="As per RM, &quot;Mp3 has been placed in personal box. Mp3 was removed from resident due to behaviors. Mp3 was placed in supervisor's office. Locatino was communicated to TS &amp; Staff.&quot; However, it sounds as though location was not communicated to resident." u="1"/>
        <s v="Weight team determined that dietary needs are being met. Nurse assessed resident and determined that ADHD medication may be causing hunger in the evening." u="1"/>
        <s v="The Education Dept. reserves the right to withold computers for valid reasons and provide alternative school work. Dir. Of Edu will determine appropriateness." u="1"/>
        <s v="Resident wrote &quot;I wrote this out of anger before I chose to do an alternative AT on my OK.&quot;" u="1"/>
        <s v="&quot;Resident got upset with staff because he didn't show him his point sheet when he asked him to. I asked the resident was he bad and he said kinda.&quot;" u="1"/>
        <s v="Multiple witnesses attested that resident was placed into restraint because he did show SIB and did not follow directives to stop." u="1"/>
        <s v="&quot;Staff processed with resident regarding muffins for breakfast. Staff discussed with resident of maybe using the flavor of muffins as incentive for positive behaviors. Staff also covered using muffins as an incentive during community group.&quot;" u="1"/>
        <s v="Residents are not allowed to use the elevator. Unfortunately, residents do have to transport up and down the stairs for various activities." u="1"/>
        <s v="Resident had presented with safety concerns which lead staff to believe that she would harm herself with objects in her room (like tying blanket around her neck)." u="1"/>
        <s v="&quot;Staff had given resident directives prior to him processing with staff that he did not comply with. Staff then reiterated the directive with resident and staff. Resident did not like that he was being redirected and began cursing at staff. Resident could not tell me what threat was made.&quot;" u="1"/>
        <s v="&quot;Was another resident but he stopped displaying behaviors.&quot;" u="1"/>
        <s v="&quot;Residents were sent to their rooms due to excessive milieu behaviors.&quot;" u="1"/>
        <s v="&quot;2 staff must be in coverage for residents to play together. There were not 2 staff in the dayroom at time of complaint.&quot;" u="1"/>
        <s v="Resident changed his story; first on the grievance he said that the implicated staff refused the coping tool, then he claimed that it was the witness who did the refusal." u="1"/>
        <s v="&quot;Staff already processed with resident about the matter. Resident understood that he was already on protocol when he engaged in a physical altercation with another resident and it was the day he was to be reviewed.&quot;" u="1"/>
        <s v="&quot;Resident stated that she was upset about leaving, not her telephone. RM explained with continued stable behaviors, team will review decision.&quot;" u="1"/>
        <s v="As per PD, resident &quot;states that the problem was resolved - feels this may have been a misunderstanding.&quot;" u="1"/>
        <s v="&quot;Staff already processed with resident about this situation.&quot;" u="1"/>
        <s v="Staff &quot;was attempting to keep resident safe. Resident told staff that she injured her knee in a previous placement, however we have no documentation. Staff did/ stated she contacted nursing. Resident has had zero injuries while at NH.&quot;" u="1"/>
        <s v="&quot;Resident was able to talk to TS about her issues and concerns about staff and peers. Resident also discussed that she wanted to have a fan in her room, but I explained to her that it was a safety issue.&quot;" u="1"/>
        <s v="&quot;Staff word against resident's word. No witnesses. Unsubstantiated.&quot;" u="1"/>
        <s v="&quot;Her and a peer was in an altercation while in the dayroom and the peer said some mean things to her and staff that made her very upset. Resident was removed from the dayroom for a time-out and the other resident was placed on aggression. Resident just wanted to process the situation and how it made her feel.&quot;" u="1"/>
        <s v="&quot;Resident had zero new prescriptions in the MDR until 4/25/15. We explained to resident that all new prescriptions must be in the MDR until the medication is administered.&quot;" u="1"/>
        <s v="RM &quot;explained that we are on the list to have shower room painted and remodeled.&quot;" u="1"/>
        <s v="Resident wrote, &quot;After talking to [staff], I realized that she didn't mean 'no,' she meant 'not right now.'&quot;" u="1"/>
        <s v="&quot;Resident perceived prompting as yelling at her. Coping skills are honored, resident did not have music on her Mp3 at this time. It was downloaded a week later and several other coping skills were offered to her. Residents must learn to utilize 'abstract' coping and DBT skills.&quot;" u="1"/>
        <s v="Given to TS to review and monitor situation." u="1"/>
        <s v="&quot;Resident was given the option to go to her room. Consequences are explained in community group.&quot;" u="1"/>
        <s v="&quot;Resident has not been taking her regular AM meds or nightly meds so maybe that's why her stomach may be hurting. Nurse was called and she was seen by the nurse.&quot;" u="1"/>
        <s v="&quot;Residents were brought up early because two staff were only on light duty and could not adequately assist residents outside. Residents were given extra time the following day.&quot;  " u="1"/>
        <s v="&quot;The resident was not allowed to go out with his peers while on protocol but was offered alternate A.T.&quot;" u="1"/>
        <s v="&quot;The resident being in his doorway with others on the hall created an unsafe situation she could not leave to call the nurse. This has [already] been explained to [resident].&quot;" u="1"/>
        <s v="&quot;Feels therapy is the same/ not making process. Since this therapist will talk more about discharge plans, therapy is more future-focused.&quot;" u="1"/>
        <s v="RMlooked into situation and reported that named staff continued to stand up because she was unsure of what resident would do, based on resident's current pattern of unpredictable and unsafe behaviors." u="1"/>
        <s v="&quot;Resident was removed from protocol. A staff member was not made aware of the res stepping off her protocol. Resident merely gave TS input on Resident's bx or lack thereof.&quot;" u="1"/>
        <s v="Per PD, resident &quot;states she was in line, tapped someone on the shoulder while in transition. [Staff] made her go in her room - does not want anything else done at this time.&quot;" u="1"/>
        <s v="&quot;At the time the resident wrote grievance he was upset and did not know that staff had already notified nursing to assess him.&quot;" u="1"/>
        <s v="&quot;Per her therapist, she is not allowed to have her radio with her on the unit at all times. It is not in her PCP.&quot;" u="1"/>
        <s v="&quot;Resident's candy was given to the therapist due to her negative behaviors on the unit.&quot;" u="1"/>
        <s v="RM wrote that she &quot;explained phones are prohibited on unit/facility and any information needed for court SW will discuss w/therapist. Staff were unaware of court.&quot;" u="1"/>
        <s v="Based on info from multiple witnesses and resident,&quot;The res made 2 attempts to make his scheduled phone call. Unfortunately, his attempts were unsuccessful. The resident became upset because he wanted a third attempt. RM explained to resident that staff was not at fault and it is totally staff discretion for a third attempt.&quot;" u="1"/>
        <s v="&quot;The res was given a phone call a day before and couldn't reach his grandmother. The next day the resident was told he would be allowed another call after all the other residents make their calls. He became agitated with staff and ended up in a physical restraint. The grandmother refused to talk to the resident due to his behaviors.&quot;" u="1"/>
        <s v="TS was unable to present any evidence that this occurred." u="1"/>
        <s v="Grievance given to therapist to use in sessions if she chose." u="1"/>
        <s v="&quot;Witnesses stated that staff jokes around a lot with residents and [this resident] can't take it when he jokes at him. All 3 residents stated the same thing and I talked to them separately.&quot;" u="1"/>
        <s v="&quot;Resident admitted that she was not being truthful.&quot;" u="1"/>
        <s v="&quot;Nurse was called for PRN. Resident was acting out and ended up being restraint, nurse was on unit and witness. PRN was given at 7:40 AM by nurse for agitation.&quot;" u="1"/>
        <s v="As per RM, &quot;In speaking to [implicated staff], she recalls having no recollection of alleged conversation. RM explained to her to be mindful of all things spoken on the milieu due to non therapeutic ramifications it could have on residents.&quot; " u="1"/>
        <s v="&quot;Cameras do not show the television in that dayroom.&quot; " u="1"/>
        <s v="As per TS, &quot;Camera Surveillance showed that resident has eaten every lunch in the last 7 days.&quot;" u="1"/>
        <s v="&quot;Staff spoke with resident and stated that it was a 'Code Red' so they coule not go out.&quot;" u="1"/>
        <s v="As per TS, the unit &quot;makes 'earned' ('extra') phone calls only on Sunday if earned by the resident. Named staff member was only following Transformations SOP." u="1"/>
        <s v="&quot;TV channels are decided on as a group. Res felt as if her peer should have been restrainted for her bx because staff prompted her several times.&quot; Res believed she would have been restrained if it were her. &quot;Staff explained to resident that physical interventions are a last resort and made her aware of individualized treatment. Staff also reminded resident that she has only been in 1 physical intervention since she has been here and that it was a last resort.&quot;" u="1"/>
        <s v="Resident was in inappropriate pictures and this was why her mp3 player was taken away." u="1"/>
        <s v="&quot;Resident was frustrated with a staff member because of a consequence. He said staff were keeping him awake at night but he was actually refusing to go to bed and wasn't sleepy.&quot;" u="1"/>
        <s v="&quot;The resident admitted to lying because he was seeking attention negatively and did not get the attention.&quot;" u="1"/>
        <s v="&quot;The resident was cold in her room. She didn't ask for a blanket and she didn't ask staff if the thermostat could be adjusted.&quot;" u="1"/>
        <s v="No request for investigation." u="1"/>
        <s v="RM looked into situation and believed that there was a misperception on resident's behalf." u="1"/>
        <s v="Resident admitted, &quot;I wrote this for nothing.&quot;" u="1"/>
        <s v="&quot;The resident continues to disclose personal information to her peers and they use it against her. The issue was addressed by staff at the time of the incidents but since no protocols were issued she was not happy.&quot;" u="1"/>
        <s v="&quot;AC repaired - should be OK now.&quot;" u="1"/>
        <s v="&quot;All meals meet the standard nutritional requirements.&quot;" u="1"/>
        <s v="Resident's &quot;room will be changed after the discharge of another resident on 3/24/15&quot;" u="1"/>
        <s v="Resident &quot;Was not being completely honest. Staff informed him if he was not able to make decisions to ensure his safety, they would interview. He perceived this comment that staff was going to restrain him.&quot;" u="1"/>
        <s v="&quot;Staff denied yelling and having an attitude.&quot;" u="1"/>
        <s v="&quot;That the resident was not complying with the directives at that time. They were in class and that wasn't the time to speak with the RM.&quot;" u="1"/>
        <s v="&quot;RM informed resident that she would address staff, also discussed perception.&quot;" u="1"/>
        <s v="&quot;Resident was upset about something that happened in the dayroom. She asked to process with [implicated staff], who redirected her to process with the staff in her dayroom due to her handling other behaviors that was going on, on the milieu. Because implicated staff couldn't talk to her then or give her any 'attention,' she felt like she was being rude and nasty from her 'perception'.&quot; " u="1"/>
        <s v="Resident &quot;did not complete work and was not eligible to go to computer lab, per school policy.&quot;" u="1"/>
        <s v="&quot;Treatment team decided that [resident] should stay upstairs during school hours due to what he admitted to doing.&quot;" u="1"/>
        <s v="&quot;Peers have since mediated issues, separated in dayrooms, line order, etc…. Also explained treatment is individualized.&quot;" u="1"/>
        <s v="Complaint passed along to nursing." u="1"/>
        <s v="&quot;Supervisor spoke with resident and stated that we have a smaller unit and that's the only options from the therapist.&quot;" u="1"/>
        <s v="&quot;Resident informed staff that she was being dishonest.&quot;" u="1"/>
        <s v="Teacher yelled at resident and was rude to him when he wanted to complete his work early. She threatened to give him a zero as a grade for no reason. " u="1"/>
        <s v="&quot;Could only receive meds at a certain time, Implicated staff did not say anything, it was a pool staff who told (could not remember names).&quot;" u="1"/>
        <s v="&quot;Dietary staff are trained to issue required portion size for all residents by utilizing standard utensils to assure the proper portion size is given.&quot;" u="1"/>
        <s v="Teacher &quot;has appropriately placed him in Ten Marks and provided extra reading and curricular materials to resident.&quot;" u="1"/>
        <s v="&quot;Residents are not allowed to watch unapproved channels due to the graphic nature and content of the shows. As a precautionary, entire networks are blocked as these networks allow inappropriate commercials, etc. &quot;" u="1"/>
        <s v="&quot;Resident was placed on safety due to her displaying self-injurious behaviors by scratching her arm to make it bleed. I explained that staff is here to help her and not to be rude or disrespect her and if she feels that staff is treating her unfairly in any type of way feel free to come and talk to me (Team Supervisor).&quot;" u="1"/>
        <s v="&quot;Resident is on AWOL and needs to understand that staff try to accommodate resident's needs.&quot;" u="1"/>
        <s v="TS determined this complaint to be true." u="1"/>
        <s v="TS addressed issues of perceived favoritism. " u="1"/>
        <s v="Resident wanted to go to her room to sleep during programming. Staff were trying to keep her in programming." u="1"/>
        <s v="&quot;Resident stated him and the staff member were horseplaying and no harm was intended. Supervision with staff member will be done.&quot;" u="1"/>
        <s v="PD spoke with resident &quot;about discharge plans and her decision to go somewhere else besides home. Told her we would keep her up to date on what is happening with her discharge planning.&quot;" u="1"/>
        <s v="&quot;It was determined that [resident] was dishonest. [He] was addressed for having contraband in his bedroom. Out of frustration, [he] gave staff everything in his room. He never asked for his items back on TP. On SP, [he] asked for his personals but staff did not nkow what he was talking about. Staff empowered him to file a complaint.&quot;" u="1"/>
        <s v="TS expressed that there was a struggle with providing residents with things that they need while ensuring that residents are safe enough to transport. This can interfere with outside time. TS would reconsider other scheduling alternatives." u="1"/>
        <s v="AC was repaired." u="1"/>
        <s v="&quot;Staff spoke with resident and stated to him that the unit was out of control and until the behaviors calm down that it will be safe for everyone to come out.&quot;" u="1"/>
        <s v="&quot;There was a resident on the unit that was making problems with her peers that didn't allow for staff to make all of the scheduled phone calls on that day. She was able to make her phone call on 1/14/15 with the TS.&quot;" u="1"/>
        <s v="Staff were not consistent with rules and resident was not supposed to play cards in his room." u="1"/>
        <s v="Resident is struggling with behaviors and is held for last so that staff can provide her with more attention to address behaviors as they arise." u="1"/>
        <s v="&quot;Staff was redirecting [resident] for his inappropriate behaviors. He was making sexual comments about people being gay. Staff made the comment that it's okay to be gay.&quot;" u="1"/>
        <s v="&quot;The res wanted to speak to a particular staff and she was processing with another resident. She felt like the staff should have stopped talking to that resident and talked to her.&quot;" u="1"/>
        <s v="Attached statements indicated that the two named staff each &quot;lightly tapped on the bed with my foot.&quot; One staff said that she stopped doing it after resident said she did not like it. Both expressed struggling with trying to get resident out of bed in the mornings and attempted different ways to rouse her, but were not intending to be malicious." u="1"/>
        <s v="RM wrote implicated staff &quot;was rude, tone could have been less abrasive (perceived by resident). Also she was whispering about me. RM to do supervision with staff.&quot;" u="1"/>
        <s v="&quot;RM looked in showers, no issues noted. Explained to others to keep showers clean.&quot;" u="1"/>
        <s v="&quot;Ex&quot; (was all that investigating supervisor wrote)" u="1"/>
        <s v="&quot;RM to debrief with TS to discuss resident perception.&quot;" u="1"/>
        <s v="As per TS, &quot;Staff did tell residents that they would not be able to go outside because they were already 20 minutes behind schedule due to residents not being quiet to line up for RT time and not following staff directives.&quot;" u="1"/>
        <s v="&quot;She processed with resident about this issue already and batteries were replaced.&quot; " u="1"/>
        <s v="&quot;Res was upset and asked for a PRN. Implicated staff told her to go to her room and take a time-out and use her coping skills before she would be able to get a PRN. She felt like he refused her treatment because he didn't give her the PRN.&quot;" u="1"/>
        <s v="Two witnesses attested that implicated staff did call him by that word. " u="1"/>
        <s v="Resident was discharged before DPPO could look into issue." u="1"/>
        <s v="When DPPO addressed resident's concerns, &quot;Resident was told that the TCM &amp; case manager were notified of change and were instructed to go over diet changes with the resident. Since she was not aware of the change, dietary will now include supervisor on email list to ensure. Residents are notified prior to changes being made.&quot;" u="1"/>
        <s v="&quot;TL should have given residents personals based on individual behaviors.&quot;" u="1"/>
        <s v="RM wrote, &quot;Issue discussed with RM &amp; TS, spoke with staff and clarified incident.&quot;" u="1"/>
        <s v="Implicated staff &quot;did suggest/tell resident her intentions to extend her precaution. She is our primary clinical staff and a member of treatment team. However, restriction was not extended nor was the suggestion made by implicated staff to extend her.&quot;" u="1"/>
        <s v="As per RM, &quot;There are no cameras inside the classroom. Two weeks ago, the milieu radios were not working and staff were communicating with other staff [via personal cell phones] to ensure resident safety. This complaint will be used in group supervision to indicate staff the reason for line of sight supervision.&quot;" u="1"/>
        <s v="Resident wrote his admission that &quot;I am on high obs and cannot have my legos. I can only have a deck of cards and coloring supplies.&quot;" u="1"/>
        <s v="The Executive Director gave this grievance to the Director of Rec Therapy, who reported that she had given enough supplies to the unit but that they could not be found on the unit. The conclusion was that staff either misplaced the supplies through terrible organization so that multiple individuals searching everywhere on the unit could not find them, or the supplies were stolen. A staff member on Trans 1 said that she was told by her supervisor that the DRT had let them know she had to wait for the shipment of shampoo to come in before providing more.  Additionally, DRT reported that &quot;2nd shift was the staff that told us we could only wash AA hair on Tuesdays &amp; Fridays. Staff told her (DRT) did not give them shampoo.&quot;" u="1"/>
        <s v="As per RM, &quot;Staff were following plan. RM met with resident and re-explained planned and progression to get off plan.&quot;" u="1"/>
        <s v="Restraint logs showed that resident engaged in a series of threatening and aggressive behaviors towards herself and others but refused nursing assessments 3x for each of the two escorts in which she was placed, meaning it was impossible to tell if she was harmed during escort. Camera footage did not show the presence of any other peers during resident's onslaught of aggressive and disruptive behavior." u="1"/>
        <s v="&quot;Resident is saying that due to a lot of residents being in the hallway during AM routine it is not fair that she has to wait to go to the restroom when the hallways are clear. Staff clears the hallway for safety issues to minimize the traffic of the residents.&quot;" u="1"/>
        <s v="&quot;She was in her room because of on-going noncompliance with staff directives.&quot;" u="1"/>
        <s v="TS &quot;will review in supervision to remind staff that we should talk low so the resident can have a quiet place to sleep.&quot;" u="1"/>
        <s v="&quot;The resident was asked to leave because he refused to partcipate in the group.&quot;" u="1"/>
        <s v="LRA watched video feed on 7/5/15 from 7pm to 10pm: No male entered a resident's room on that night. She also watched video feed before and after the hour of 8pm on 7/4/15 and 7/6/15 and did not see a male enter a resident's room without being spotted. " u="1"/>
        <s v="&quot;This is a maintenance issue that has been reported many, many times. The water temperature cannot be controlled as it is turned on with a light switch.&quot;" u="1"/>
        <s v="Based on multiple witnesses, resident was not truthful in his statement. He was placed on high obs due to extreme behaviors. Multiple witnesses reported that implicated staff was always professional toward resident and never cursed." u="1"/>
        <s v="&quot;Due to change in policy, snacks should not be given to residents due to weight gain (see attached policy.)&quot; as per Residential Manager's initials. No policy attached.  Staff ate in front of hungry resident." u="1"/>
        <s v="&quot;RM debriefed with resident and discussed utilizing internal/self-soothing skills, as tangible coping skills may not always be available. Also discussed better means to communicate needs/wants to staff (express in an appropriate manner).&quot;" u="1"/>
        <s v="&quot;The resident's items were removed from his room due to him eating the items.&quot;" u="1"/>
        <s v="Staff member did not read resident's letter. It was left on TS's desk to give to RM." u="1"/>
        <s v="&quot;The resident was told due to their behaviors they wouldn't be getting personals that night. The resident continued to ask for items out of his personal box because he was bored. Staff explained to him that he could get something to cope with from the control station. The resident was confused with what's a coping item and personal item.&quot;" u="1"/>
        <s v="There was no evidence that promise was made. Resident had exhibited disruptive behavior which resulted in his being removed from the classroom." u="1"/>
        <s v="&quot;Issue was discussed in community group. Housekeeping came up and thoroughly cleaned the unit top to bottom, especially the shower rooms and bathrooms.&quot;" u="1"/>
        <s v="Resident admitted in writing that &quot;I was not escorted.&quot; TS followed that he &quot;was not escorted at all this day. He was disruptive in the cafeteria and was asked to come out with his tray. He chose to dump his tray.&quot;" u="1"/>
        <s v="&quot;Cleaned 7/7/15 as per S. Williams&quot;" u="1"/>
        <s v="&quot;At no time did [implicated staff] yell at any resident during morning hygiene. Resident is very slow and finds fault in the smallest of directions.&quot;" u="1"/>
        <s v="&quot;RM spoke with individual's therapist to address issues. If continued, team will make necessary adjustments.&quot;" u="1"/>
        <s v="The resident was not aware of what was actually going on." u="1"/>
        <s v="&quot;The dayroom was placed on quiet time due to a restraint having occurred on the unit. The resident took the opportunity to pass gas to get laughter from her peers.&quot;" u="1"/>
        <s v="As per TL, Resident &quot;was very non-compliant on this day. She continued to walk out of area.&quot; TL continued to write about how resident misbehaved until adding she &quot;was never refused a time out. She was just so non-compliant and disrespectful.&quot; " u="1"/>
        <s v="Resident admitted that this did not happen." u="1"/>
        <s v="&quot;Discussed issues in dayroom. States there are 'ups and downs' with peers. Discussed dayroom changes that that peer she's concerned about has felt better. Other resident asked resident to file a grievance on her behalf.&quot;" u="1"/>
        <s v="Resident &quot;did lose a lego piece in heater but was not accused of doing it on purpose.&quot;" u="1"/>
        <s v="Resident &quot;did lost a lego piece in heater but was not accused of doing it on purpose.&quot;" u="1"/>
        <s v="&quot;The resident was on quiet time and the fact that staff could talk was not appealing to her.&quot;" u="1"/>
        <s v="3rd Shift Supervisor reported that shift rotation was occurring at this time and another staff was not available due to checking laundry; To meet supervision policy requirements, named staff member stood at the ward room door briefly &quot;but did not look inside the one [resident] was in when I walked down and took his place.&quot; " u="1"/>
        <s v="&quot;Resident stated 3rd shift left on zone and 1st told her to remain on zone. When questioned about behaviors, she stated she was a little non-compliant but able to go to dayroom on 2nd.&quot;" u="1"/>
        <s v="RM took role of Lead Investigator shortly after incident was reported to her. Per witness statements, implicated staff was observed calling resident &quot;ugly&quot; and a &quot;fat bitch.&quot; Resident swung at staff member, at which point staff member fought back without the use of NVCI blocking techniques. Video showed that even after the two were pulled apart, implicated staff continued to assail resident. Video also showed that implicated staff's hair was pulled off. Implicated staff claimed she was going to press charges and immediately resigned. " u="1"/>
        <s v="&quot;Resident stated that everything is fine now because he and staff talked it out.&quot;" u="1"/>
        <s v="An additional staff has been added when overtime scheduling permits. However, during hygiene time the resident &quot;provokes and instigates peers to be unruly, creating an unsafe environment.&quot;" u="1"/>
        <s v="&quot;Resident was given options to go to the comfort room, to the zone, or control station. Resident refused all reasonable options.&quot;" u="1"/>
        <s v="&quot;Resident admitted to lying to therapists and interviewee. Admitted to telling '3 lies.' The head-shaking was due to, or in response to, argumentative and uncooperative bx. It was a prompt for him to behave.&quot;" u="1"/>
        <s v="TS unable to determine truthfulness of claim." u="1"/>
        <s v="TS was asked to address perception of favoritism." u="1"/>
        <s v="Hall wrote that resident &quot;wrote 3 grievances due to the same incident&quot; but did not provide additional information other than resident's misbehavior." u="1"/>
        <s v="&quot;The resident broke loose from the restraint and threw a punch at [implicated staff]. [Implicated staff] made the statement that 'he almost punched me.' The resident said that '[implicated staff] never threatened to punch me.' " u="1"/>
        <s v="&quot;Explained to resident that it is imperative that there is no movement during med pass due to the safety of the residents.&quot;" u="1"/>
        <s v="Resident &quot;says that she was not really being provoked. She was having a tough morning.&quot;" u="1"/>
        <s v="TS notified." u="1"/>
        <s v="As per PD, &quot;Problem is resolved - states that she got writing utensils back. Does not want further action taken at this time.&quot;" u="1"/>
        <s v="&quot;Staff denies stating this. Stated he requested for peers to display compliant behaviors, as they were being disruptive during dispersing of trays. After time passed, staff took cart downstairs and food was discarded.&quot; This resident &quot;received her tray at 1842 PM.&quot;" u="1"/>
        <s v="There were no witnesses to report on whether implicated staff physically touched resident or not. However, implicated staff did enter resident's room per camera &quot;Triad Hall View 6&quot; at 9:31:52 PM and stayed for 12 seconds. " u="1"/>
        <s v="Resident admitted &quot;I made it up.&quot;" u="1"/>
        <s v="TS explained that the resident was the one who often asked for the radio and played it at night. " u="1"/>
        <s v="&quot;Multiple staff stated that [implicated staff] initiated the restraint due to the resident banging his head on the wall. The resident isn't in a chair when the restraint was initiated. The restraint wasn't on camera so I can only go by staff and resident statements.&quot;" u="1"/>
        <s v="Supervisor and DPPO have already been made aware. " u="1"/>
        <s v="&quot;Resident was on the zone per her modified behavior plan. Concerns were addressed yet resident constantly asked for things and required attention.&quot;" u="1"/>
        <s v="&quot;Meal was not refused as punishment. Meals are served in 'specified areas'. Residents are expected to eat in these areas. Issue is being re-reviewed by residential manager.&quot;" u="1"/>
        <s v="As per RM, &quot;Ms. Hall discussed with resident. Explained that meals are served in cafeteria, better decision making, etc…&quot;" u="1"/>
        <s v="&quot;Resident got mad at staff and wanted to get her in trouble, so he told a lie - not realizing the repurcussions.&quot;" u="1"/>
        <s v="Resident admitted that going onto his gmail was inappropriate." u="1"/>
        <s v="&quot;RM explained that staff are there to assist but will discuss with them to allow items discussed to be placed on minutes.&quot;" u="1"/>
        <s v="As per TS, &quot;Resident was agitated and wanted a shower. Staff asked resident to wait until staff get off break before she get her shower. Resident felt like staff was yelling at her, but she also stated that she was crying so she probably didn't hear him.&quot;" u="1"/>
        <s v="It was unsafe for the staff member to offer a time-out at that time." u="1"/>
        <s v="Finding was substantiated." u="1"/>
        <s v="&quot;Resident asked for a time-out in her room due to it being noisey in the dayroom. Staff explained to resident that she can't take the time-out outside of dayroom due to no staff on the zone. When the TL placed a staff on the zone about 10 mins later, the resident was able to go to her room for a time-out.&quot;" u="1"/>
        <s v="TS notified for safety." u="1"/>
        <s v="&quot;Teacher and Tx Team are trying to encourage resident to attend class rather than staying on unit by not sending up work.&quot;" u="1"/>
        <s v="After speaking to the LRA, the resident went to named staff member to gloat that she told on him. He continued attempting to maintain a therapeutic relationship with her and explain his circumstances at the time. " u="1"/>
        <s v="As per Residential Manager, &quot;Grievance not completed prior to discharge.&quot;" u="1"/>
        <s v="&quot;The resident ran from the field to staff who was seated on the front porch.&quot;" u="1"/>
        <s v="As per TS, &quot;Resident was upset…and asked to process with [named staff]. [Named staff] explained to the resident that she was completing her documentation for the end of the shift and referred her to another staff, who processed with her about 10 minutes and then the resident received a time-out in her room for the remainder of the shift.&quot;" u="1"/>
        <s v="&quot;Not disputing resident's claim. Staff conducted themselves per SOP. Meals are served in designated area with new push to eat all meals in the cafeteria. Residents must be where meals are served to get trays. Fruit, juice, etc., may be substituted for these residents that remain out of area.&quot;" u="1"/>
        <s v="&quot;Contact was made between resident and TS. Problem was solved.&quot;" u="1"/>
        <s v="&quot;In reviewing video surveillance, named staff member did not give resident water...  Resident was encouraged to get water before she went to her room.&quot;" u="1"/>
        <s v="&quot;The resident will be allowed to transport at the back of the line.&quot;" u="1"/>
        <s v="&quot;Resident reported that she did not tell the truth about this situation.&quot;" u="1"/>
        <s v="&quot;Staff kept asking resident to get out of doorway and resident was being non-compliant. Resident got mad at staff and said he was writing a grievance because his rights were being violated.&quot; Multiple witness testimonies revealed that resident was not truthful." u="1"/>
        <s v="Resident and therapist both saw the situation differently." u="1"/>
        <s v="Resident was discharged on 5/15/15, so supervisor did not look into issue." u="1"/>
        <s v="Attached staff statement detailed resident's negative behavior but did not address whether or not staff was rude." u="1"/>
        <s v="&quot;Follow-up w/ all med techs to ensure residents are clear from cart while peers are at cart receiving medication. Per resident, peer was just standing there talking to staff.&quot;" u="1"/>
        <s v="Issue communicated to TS." u="1"/>
        <s v="&quot;Resident stated she only wrote grievance because she was upset.&quot;" u="1"/>
        <s v="&quot;It is expected that in class students will follow directions to complete work.&quot;" u="1"/>
        <s v="&quot;Resident and staff felt it was unprofessional to get into body space. Staff did not kick at resident but they were playing around.&quot;" u="1"/>
        <s v="&quot;It was explained that if you refuse to actively program, meals would not be brought to you, as meals are served in the cafeteria (unless on protocol/illness). Alternative to be given/offered (per treatment team decision).&quot;" u="1"/>
        <s v="Marked as True, but changes were made to accommodate better cleaning." u="1"/>
        <s v="As per TS, &quot;Due to treatment team decision, resident is not allowed to have any outdoor rec time until further notice due to the multiple risks that he poses to self &amp; others. He has been given alternative recreation activities.&quot;" u="1"/>
        <s v="RM did not look into issue because the resident was discharged shortly after making the complaint." u="1"/>
        <s v="&quot;Resident was given the opportunity to return to class but continued to display excessively non-compliant behaviors.&quot;" u="1"/>
        <s v="Items are often removed for safety reasons, but residents were made aware of the need to put things away before falling asleep." u="1"/>
        <s v="&quot;Teacher does not allow students to take notes and save to computer per Education and IT policy. Teacher does allow students to take notes on paper and will show students how to use note function in OdysseyWare.&quot;" u="1"/>
        <s v="&quot;Resident made the statement toward staff.&quot;" u="1"/>
        <s v="&quot;I was mad with staff because I couldn't get my mp3 player. I was given a coping skill.&quot;" u="1"/>
        <s v="&quot;Staff spoke with resident before discharge and all pieces were found.&quot;" u="1"/>
        <s v="&quot;Staff attempted to help her at some point when she was given Phillips. She is currently prescribed Miralax.&quot;" u="1"/>
        <s v="&quot;Resident stated that he was just angry at that moment at everything and wants to deny the grievance at this point.&quot;" u="1"/>
        <s v="Resident wrote, &quot;She had the obligation to assume that I could have been flashing because I had my leg in the air. She was not wrong in assuming because I've had past behavior of flashing.&quot;" u="1"/>
        <s v="&quot;After talking with staff and resident, they both admit to being a misunderstanding regarding situation.&quot;" u="1"/>
        <s v="Resident &quot;denied being verbally or physically abused by named staff. He agreed that staff spoke to him in a calm, polite manner when he was being redirected to turn around and that staff explained to him what the consequences would be for non-compliance. Res reported that he felt his inteliigence was insulted because staff did not speak to him in a way that he understood... It appears to have been a misunderstanding between resident and staff.&quot;" u="1"/>
        <s v="&quot;Talking with resident, staff did respond but not ina  manner expected by resident. By resident's own admission, staff did ask her if she was ok, and made reference to her abnormal psychiatric state. Resident stated she needs more 1 on 1 attention from staff.&quot;" u="1"/>
      </sharedItems>
    </cacheField>
    <cacheField name="Findings/ Ruling" numFmtId="49">
      <sharedItems containsNonDate="0" containsBlank="1" count="13">
        <m/>
        <s v="5 Other: This was a complaint that we will use to improve programming" u="1"/>
        <s v="1.1 Unsubstantiated due to deliberately false report" u="1"/>
        <s v="5 Other: This was a suggestion or complaint that we will use to improve programming" u="1"/>
        <s v="2.1 Substantiated; Rights Violation" u="1"/>
        <s v="2.2 Substantiated; Policy Violation" u="1"/>
        <s v="1.2 Unsubstantiated; there was a misunderstanding" u="1"/>
        <s v="3 Inconclusive" u="1"/>
        <s v="2.4 Substantiated; Miscellaneous/ Other" u="1"/>
        <s v="4 Pending" u="1"/>
        <s v="2.4 Miscellaneous; Other" u="1"/>
        <s v="2.3 Substantiated; Anti-Therapeutic/ Unprofessional " u="1"/>
        <s v="5 This was a complaint based on lack of evidence or perception; No findings were determined." u="1"/>
      </sharedItems>
    </cacheField>
    <cacheField name="Matching Code for Findings" numFmtId="49">
      <sharedItems containsNonDate="0" containsString="0" containsBlank="1"/>
    </cacheField>
    <cacheField name="Outcome" numFmtId="0">
      <sharedItems containsNonDate="0" containsBlank="1" count="274" longText="1">
        <m/>
        <s v="RM said he would follow up with implicated staff to ensure that proper defensive reaction occurs when protecting self from residents. Given to Elliot Branch to debrief with resident on 4/20/15." u="1"/>
        <s v="Issue was reviewed with resident" u="1"/>
        <s v="House-cleaning to focus on showers and restroom. Staff to monitor between uses." u="1"/>
        <s v="Issue communicated to TS." u="1"/>
        <s v="&quot;A mediation was held between the staff and resident.&quot;" u="1"/>
        <s v="TS reviewed issue with resident. Staff was moved to work in a different dayroom." u="1"/>
        <s v="Room change made on 3/23/15. Issue reviewed with resident." u="1"/>
        <s v="Report turned over to manager and HR to enact disciplinary measures." u="1"/>
        <s v="&quot;Staff was given supervision on tone &amp; demeanor.&quot;" u="1"/>
        <s v="&quot;Will keep resident up to date on discharge plans.&quot;" u="1"/>
        <s v="Residential Manager &amp; Team Supervisor had resident sign memo which blanketed 8 grievances. RM &amp; TS assured resident that they would meet weekly with resident to address concerns. LRA and therapist followed up with resident; resident expressed on-going concerns, but she was asked to address them in the weekly meetings as requested by RM &amp; TS. " u="1"/>
        <s v="Issue was reviewed with staff in supervision. " u="1"/>
        <s v="Issue reviewed with resident." u="1"/>
        <s v="Issue reviewed with resident. " u="1"/>
        <s v="Issue was reviewed with resident. " u="1"/>
        <s v="Issue was reviewed with resident." u="1"/>
        <s v="Personnel action taken. Med tech required to re-take med tech training." u="1"/>
        <s v="RM processed with resident about this issue." u="1"/>
        <s v="Programming changes have been made." u="1"/>
        <s v="PD reviewed issue with resident." u="1"/>
        <s v="Issue was reviewed with resident. DPPO was notified." u="1"/>
        <s v="Complaint passed along to DPPO as an FYI." u="1"/>
        <s v="Grievance was returned on 6/16/15. There was nothing done." u="1"/>
        <s v="RM reviewed issue with staff and with resident." u="1"/>
        <s v="TS ensured that behavioral plan was made clear to resident by re-explaining it to her. " u="1"/>
        <s v="RM reviewed issue with staff in supervision (verbally) as well as with resident." u="1"/>
        <s v="Resident was told how her inability to go to the office was likely a result of her own behavior." u="1"/>
        <s v="Issue was again reviewed with resident and with staff in supervision." u="1"/>
        <s v="Issue was reviewed with staff and with resident. " u="1"/>
        <s v="TS did not follow up with resident debriefing before her discharge and notified LRA on 4/13/15." u="1"/>
        <s v="Issue was reviewed with staff in supervision and resident." u="1"/>
        <s v="Personnel Action Taken; Employee was terminated." u="1"/>
        <s v="Personnel Action Taken" u="1"/>
        <s v="Given to Ms. Peay on 1/15/15 for debriefing" u="1"/>
        <s v="Awaiting resident signature/ debriefing" u="1"/>
        <s v="TS had meeting with implicated staff and resident to re-establish therapeutic rapport. Resident wrote he understood that it was a misunderstanding in which staff attempted to maintain resident safety." u="1"/>
        <s v="Issue reviewed with resident and room changed on 3/24/15." u="1"/>
        <s v="Given to TS Peay to debrief with resident on 5/18/15" u="1"/>
        <s v="TS reviewed with staff in supervision and with resident." u="1"/>
        <s v="&quot;RM explained we are on list for repainting.&quot;" u="1"/>
        <s v="Unknown if true or false; Marked as true because it was not investigated or debriefed with resident as of 5/18/15, which contributes to anti-therapeutic action." u="1"/>
        <s v="Nursing supervisor reviewed issue with resident." u="1"/>
        <s v="Issue was reviewed with staff in supervision. Schedule and programming changes have been made." u="1"/>
        <s v="Employee was terminated for this and other infractions." u="1"/>
        <s v="Issue was debriefed with resident." u="1"/>
        <s v="Issue was discussed with resident." u="1"/>
        <s v="Issue was reviewed  with resident." u="1"/>
        <s v="Dietary Coordinator reviewed issue with resident." u="1"/>
        <s v="Named staff member was terminated for this and other infractions." u="1"/>
        <s v="Staff continues to assist resident with dealing with anger and making prosocial choices. Given to Mr. Dixon to debrief 5/18/15" u="1"/>
        <s v="RM reviewed issue with resident." u="1"/>
        <s v="Resident reviewed issue with staff in supervision and debriefed with resident." u="1"/>
        <s v="Therapist reassured resident that they would schedule a CFT very soon to continue solidifying discharge plans. He explained to resident about how treatment team members continued to act on his best behalf. " u="1"/>
        <s v="The teacher &quot;is reading all assignments out loud and has enrolled resident in a reading remieation program.&quot; Issue was reviewed with resident and staff." u="1"/>
        <s v="Complaint passed along to nursing." u="1"/>
        <s v="Issue was reviewed with residents." u="1"/>
        <s v="Issued discussed with resident verbally" u="1"/>
        <s v="TS debriefed with resident." u="1"/>
        <s v="Investigation summary: Resident first started showing signs of aggression on the education wing toward Implicated Staff through posturing and aggressive body language. Implicated Staff reportedly only told him to &quot;have a seat&quot; and &quot;back up.&quot; He called Witness 1 to help escort Resident to his room to calm down. Witness 1 noted that Resident entered the elevator with a balled-up fist. Although Resident claimed that Implicated Staff threatened to hurt him when there were no cameras around while on the education wing, Witness 1 stated that resident said, &quot;there aren't any cameras&quot; as the elevator doors closed and he reportedly was the one to attempt assault on Implicated Staff. Cameras, multiple witness testimonies, and resident's own statements refute resident's claim. Finding is unsubstantiated on both counts. " u="1"/>
        <s v="TS reviewed with resident." u="1"/>
        <s v="Order was written by NP on 4/3/15. Nursing Mgr reviewed issue with resident." u="1"/>
        <s v="Barvette Gaither to debrief." u="1"/>
        <s v="Issue was debriefed with resident. " u="1"/>
        <s v="Issue was revieweed with resident. " u="1"/>
        <s v="RM said he would follow up with implicated staff to ensure that proper defensive reaction occurs when protecting self from residents." u="1"/>
        <s v="Issue was reviewed with staff in supervision." u="1"/>
        <s v="D.E. reviewed issue with staff and with resident. " u="1"/>
        <s v="No debriefing/ signature since this was not a complaint against an adult." u="1"/>
        <s v="Issue was reviewed in community group. " u="1"/>
        <s v="Issue was reviewed with residents and in community group." u="1"/>
        <s v="Issue was reviewed with resident and TL." u="1"/>
        <s v="Please see findings for response." u="1"/>
        <s v="&quot;RM &amp; TS to brainstorm ways to continue calls after behaviors lessen.&quot; Issue was reviewed with staff in supervision and with resident." u="1"/>
        <s v="." u="1"/>
        <s v="TS explained clothes-washing issues to resident." u="1"/>
        <s v="LRA explained dietary procedures to resident and forwarded complaint to DPPO." u="1"/>
        <s v="Issue was reviewed with staff and resident. Programming changes have been made." u="1"/>
        <s v="3rd shift TS reviewed this report with the resident, who agreed that the TL was correct." u="1"/>
        <s v="Issue was reviewed with staff and resident. Programming changes were made." u="1"/>
        <s v="&quot;Dayroom changes have been made. Cameras will be viewed.&quot; Issue reviewed with staff and resident." u="1"/>
        <s v="Information passed along to therapist to discuss with resident." u="1"/>
        <s v="Supervisors Hall and Green have reviewed with staff the correct plan to use. " u="1"/>
        <s v="Unknown  " u="1"/>
        <s v="A team met to address this issue and it was agreed that a standard and nutritional no-frills meal would be assembled for residents who refused programming. Restrictions on clothing closet access were also lifted to accommodate a wider array of residents with clothing problems." u="1"/>
        <s v="Immediately following altercation, a therapeutic staff member processed incident with resident witnesses. RM and TS remained on unit to ensure they were able to rest that night. Implicated staff has been separated from the organization. Ms. Gaither called OHAN the morning of 7/16/15 and spoke with intake worker." u="1"/>
        <s v="TS discussed issue with DPPO Callahan. " u="1"/>
        <s v="Debriefing with resident." u="1"/>
        <s v="&quot;Chiller sensor was fixed&quot; on the same day." u="1"/>
        <s v="Resident was discharged on 4/18/15 and supervisor therefore did not investigate claims." u="1"/>
        <s v="Issue initially discussed with resident. TS initially scored this as a 1.1 False and that resident was being dishonest, but appeal team decided that the resident should not have been yelled at, nor accused of being dishonest. E.D. advocated for coaching of staff." u="1"/>
        <s v="Issues were reviewed with staff in supervision and with resident." u="1"/>
        <s v="Issue was reviewed with staff in supervision. Marked as &quot;other&quot; by TS." u="1"/>
        <s v="&quot;Management has changed the programming schedule to include a block of time for cleaning. Staff has been encouraging the residents to clean.&quot;" u="1"/>
        <s v="LRA to follow up with resident. " u="1"/>
        <s v="Issue was reviewed with resident. PD also got the same grievance and submitted duplicate - her report was that resident stated she received proper medical attention after submitting grievance." u="1"/>
        <s v="Supervisor or Manager will monitor situation to ensure safety and quality of care. RM followed up with resident." u="1"/>
        <s v="DPPO explained dietary changes to resident." u="1"/>
        <s v="Shower was fixed. Issue reviewed with resident. " u="1"/>
        <s v="Resident was debriefed." u="1"/>
        <s v="Supervisor or Manager will monitor situation to ensure safety and quality of care. . " u="1"/>
        <s v="RM Gaither instructed TS Peay to complete supervision with 3rd shift staff, &quot;referencing inappropriate comments about staff/residents, excessive noice on the milieu, etc.&quot;" u="1"/>
        <s v="Resident asked for appeal based on the fact that she was unaware of several updates to the new plan." u="1"/>
        <s v="Resident was able to process about her concern." u="1"/>
        <s v="Supervisor had resident sign a blank grievance form. This issue has been forwarded to the Residential Manager." u="1"/>
        <s v="DRT continued to support education of proper shampoo use on unit and asked resident to write another grievance is the problem continues so that she can maintain awareness of issue." u="1"/>
        <s v="TS followed up with resident despite the fact that he did not request it. " u="1"/>
        <s v="RM did not look into issue because the resident was discharged shortly after making the complaint." u="1"/>
        <s v="Investigation completed by dietician" u="1"/>
        <s v="Resident was provided with items when it was safe to return them." u="1"/>
        <s v="Supervisor or Manager will monitor situation to ensure safety and quality of care. " u="1"/>
        <s v="TS followed up with resident." u="1"/>
        <s v="&quot;Will speak with teacher regarding tone.&quot;" u="1"/>
        <s v="Given to Curtis Barnes to debrief with resident on 3/12/15." u="1"/>
        <s v="Given to Barvette for debriefing" u="1"/>
        <s v="TS reviewed issue with resident and staff." u="1"/>
        <s v="Resident has Bible. Issue reviewed with resident." u="1"/>
        <s v="Supervisor or Manager will monitor situation to ensure safety and quality of care.  with resident." u="1"/>
        <s v="Please see findings. " u="1"/>
        <s v="Reviewed in community group." u="1"/>
        <s v="Debriefing. Concern reported to Executive Director." u="1"/>
        <s v="LRA asked resident to consider how unnecessary grievances affect others." u="1"/>
        <s v="N/A" u="1"/>
        <s v="Resident discharged before follow-up." u="1"/>
        <s v="TS met with staff in supervision about being consistent with rules. He reinforced them with resident and explained them." u="1"/>
        <s v="Therapist did see resident in properly allotted amount of time, just not as often as resident would have liked. Schedule was changed to see resident 2x per week." u="1"/>
        <s v="Implicated staff was terminated. LRA and RM agreed that approaching the resident for debriefing would do harm: Resident was not aware of investigation and the &quot;reward&quot; of having authority figures &quot;get in trouble&quot; for his negative behaviors should not occur." u="1"/>
        <s v="DPPO reviewed with resident, RM, and TL." u="1"/>
        <s v="Ervin given debriefing" u="1"/>
        <s v="Resident discharged before TS able to follow up." u="1"/>
        <s v="Resident was discharged on 4/18/15 and supervisor/ director therefore did not investigate claims. Director signed an attached note that resident was invited to treatment team to discuss her grievances as related to her behavior." u="1"/>
        <s v="Curtis Barnes debriefed and explained findings to resident." u="1"/>
        <s v="&quot;It was explained to resident that other resident information is not his privilege.&quot;" u="1"/>
        <s v="Issue was reviewed with resident. Residents will be able to type notes with proper program. " u="1"/>
        <s v="It was explained to resident that he isn't always aware of behind the scene things. He wrote, &quot;I should have talked to staff about what happened instead of just writing the grievance because they don't always tell us everything.&quot;" u="1"/>
        <s v="Unable to follow up due to resident discharge." u="1"/>
        <s v="Issue was reviewed with staff." u="1"/>
        <s v="TS will &quot;Coordinate with HR/Staffing to eliminate multiple light duty staff on one program.&quot;" u="1"/>
        <s v="Given to Dennis Ervin for debriefing" u="1"/>
        <s v="&quot;Resident will be assessed for this issue in the clinic.&quot;" u="1"/>
        <s v="&quot;Staff spoke with resident and stated that it was a 'Code Red' so they coule not go out.&quot;" u="1"/>
        <s v="Personnel action taken. Named staff was terminated." u="1"/>
        <s v="Issue was reviewed with resident. TS noted it was written prematurely." u="1"/>
        <s v="&quot;Cleaned 7/7/15 as per S. Williams&quot;" u="1"/>
        <s v="&quot;Supervisor and resident processed this and came up with a solution.&quot;" u="1"/>
        <s v="TS to monitor situation." u="1"/>
        <s v="Debriefing. " u="1"/>
        <s v="Unknown what action taken on behalf of management. At this time (4/28/15), resident and original reporter have reported bullying and safety concerns related to incident, which have been reported to Trans 1 team and HR. " u="1"/>
        <s v="Issue reviewed with resident" u="1"/>
        <s v="Supervisor to review issue with staff to ensure appropriate care and professionalism." u="1"/>
        <s v="&quot;'Hunger Games' has been banned. Staff have been made aware to keep an eye out for this game.&quot;" u="1"/>
        <s v="Supervisor or Manager will monitor situation to ensure safety and quality of care. . Concern reported to Executive Director." u="1"/>
        <s v="&quot;I explained [to residents] that the things that the staff were saying had been dealt with&quot; and pointed out how one of the residents in the situation had been debriefed &quot;and knew it was over.&quot;" u="1"/>
        <s v="Schedule/menu changes made." u="1"/>
        <s v="TS Hall completed supervision with 3rd shift staff, &quot;referencing inappropriate comments about staff/residents, excessive noice on the milieu, etc.&quot;" u="1"/>
        <s v="RM spoke with pool supervisor on 4/9/15. Issue was reviewed with staff and with resident." u="1"/>
        <s v="RM reviewed issue with staff in supervision and with resident." u="1"/>
        <s v="RM looked into concern and reviewed issue with resident." u="1"/>
        <s v="Dayroom changes made. Issue reviewed with resident and staff." u="1"/>
        <s v="Concern was handed to Team Supervisor to take into account for the purpose of assisting resident and his peers on the milieu." u="1"/>
        <s v="RM reviewed issue with resident. " u="1"/>
        <s v="Given to Dennis Ervin, TS, for debriefing on 5/18/15." u="1"/>
        <s v="RM reviewed issue with resident. No other follow-up actions checked." u="1"/>
        <s v="When resident returned plate to dietary, the staff corrected situation by providing resident with a peanut butter &amp; jelly meal and an apology. Staff received a verbal warning to check temps of food before distributing.&quot;" u="1"/>
        <s v="Debriefing" u="1"/>
        <s v="&quot;Staff processed with resident regarding muffins for breakfast. Staff discussed with resident of maybe using the flavor of muffins as incentive for positive behaviors. Staff also covered using muffins as an incentive during community group.&quot;" u="1"/>
        <s v="Resident was therapeutically confronted about his behavior." u="1"/>
        <s v="&quot;Staff spoke with resident before discharge and all pieces were found.&quot;" u="1"/>
        <s v="Issue was reviewed with staff and resident. &quot;Resident has received med change to assist with sleeping. If problem persists with personnel, further action will be taken.&quot;" u="1"/>
        <s v="Maintenance fixed it." u="1"/>
        <s v="TS debriefed with resident. Resident tore up the grievances. TS turned the shredded documents as evidence." u="1"/>
        <s v="Issue was reviewed with staff in supervision and with resident to assist with request in a therapeutic manner." u="1"/>
        <s v="&quot;Resident no longer wants to change therapists.&quot; Therapeutic content was changed." u="1"/>
        <s v="&quot;Resident was seen in clinic and this issue was addressed.&quot;" u="1"/>
        <s v="Issue debriefed with resident." u="1"/>
        <s v="RM attempted to review with resident. Resident refused to discuss or sign." u="1"/>
        <s v="TS did not review issue with resident, even though she circled that she did. LRA followed up with resident." u="1"/>
        <s v="RM debriefed with resident." u="1"/>
        <s v="Issue was discussed with TS and with resident. " u="1"/>
        <s v="Community Meeting was called." u="1"/>
        <s v="Issue was reviewed with staff in supervision and with resident." u="1"/>
        <s v="Given to TS to review and monitor situation." u="1"/>
        <s v="Issue was reviewed with resident and with staff." u="1"/>
        <s v="RM &quot;Discussed with resident about finding what happened instead of assuming.&quot;" u="1"/>
        <s v="Information was forwarded to edu dept because LRA mistakenly gave it to TS instead of Director of Edu. The D.E. agreed with finding and pursued follow-up with teacher." u="1"/>
        <s v="Issue was reviewed with staff in supervision, with resident, and with community group." u="1"/>
        <s v="Issue was reviewed with staff and resident." u="1"/>
        <s v="RM reviewed issue with staff in supervision." u="1"/>
        <s v="TS reviewed issue with staff and with resident." u="1"/>
        <s v="Given to Dennis Ervin, TS, for debriefing on 5/18/15. RM &quot;will do supervision with all involved to document debriefing with staff and appropriate procedures.&quot;" u="1"/>
        <s v="PD followed up with resident, who expressed satisfaction in the follow-up" u="1"/>
        <s v="Personnel action was taken for implicated staff's entering the room with no spotters: Supervisor issued a written warning for company policy and procedure violation." u="1"/>
        <s v="Director of Ed refused issue with resident." u="1"/>
        <s v="TS reviewed with staff in supervision. " u="1"/>
        <s v="&quot;During the debriefing, resident admitted not being a morning person and strongly disliking being prompted. I explained to her that prompting and being yelled at are not the same thing.&quot;" u="1"/>
        <s v="RM Gaither debriefed with resident." u="1"/>
        <s v="Personnel action taken." u="1"/>
        <s v="Issue was reviewed with resident and unknown personnel action taken." u="1"/>
        <s v="&quot;Processed/ Debriefed with resident.&quot;" u="1"/>
        <s v="&quot;Supervisor has staffed with all the staff and explained that the approved list are the only channels they could watch.&quot;" u="1"/>
        <s v="Recommendation 1 is to explain to resident how staff's appropriate comments on his functioning are intended to help him. Recommendation 2 is to coach staff on continuing to refine therapeutic language use and related skills. " u="1"/>
        <s v="RM will provide coaching on proper restraint techniques in future situations." u="1"/>
        <s v="&quot; I spoke with resident and explained process.&quot;" u="1"/>
        <s v="Given to Team Supervisor to debrief with resident." u="1"/>
        <s v="&quot;Explained to resident to respectfully make wishes/requests known. Encouraged staff to engage in respectful manner to adhere to reasonable requests of residents.&quot;" u="1"/>
        <s v="Issue was reviewed with staff in supervision &amp; resident. " u="1"/>
        <s v="Unknown is staff did not explain issues to resident or if resident had unreasonable expectations." u="1"/>
        <s v="&quot;Lead rec therapist to design a CAP and review weekly with unit leadership and residents to ensure supplies given are being effectively used.&quot;" u="1"/>
        <s v="Information passed along to supervisor." u="1"/>
        <s v="TS enforced that the radio would not be played at all at night in order to ensure resident's sleep." u="1"/>
        <s v="Issue was reviewed with staff in supervision and with resident. TS had coded it as 2.4 (Other/Misc), but throwing away resident's personal objects (even if he was throwing them) is a rights violation. LRA coded it as a 2.3 instead." u="1"/>
        <s v="Resident was placed on protocol for his safety. TS processed with resident to help him understand (as he put in his own writing) that the box was taken away for his own safety." u="1"/>
        <s v="&quot;No changes made. This is policy and was explained to the resident.&quot;" u="1"/>
        <s v="Issues were reviewed with resident." u="1"/>
        <s v="Issue was reviewed with staff in supervision and with resident. Personnel action taken." u="1"/>
        <s v="Resident wrote admission of his behavior." u="1"/>
        <s v="Issue was reviewed with resident and RM &quot;encouraged TL to utilize teachers/others as needed&quot; for transport." u="1"/>
        <s v="LRA unable to follow up with resident due to discharge. " u="1"/>
        <s v="Resident was discharged on 5/15/15, so supervisor did not look into issue." u="1"/>
        <s v="Issue was reviewed with resident. TS initially coded it as &quot;3&quot;, but appeal team (E.D. specifically) wrote that issue should be addressed with employee and s/he should be coached. Therefore, finding presumably a 2.3 instead." u="1"/>
        <s v="Given to TS Ladsen to debrief. Recommendation 1 is to explain to resident how staff's appropriate comments on his functioning are intended to help him. Recommendation 2 is to coach staff on continuing to refine therapeutic language use and related skills. " u="1"/>
        <s v="The PD was ultimately the one who debriefed with resident." u="1"/>
        <s v="TS reviewed issue with resident." u="1"/>
        <s v="Resident appealed due to lack of explanation." u="1"/>
        <s v="&quot;All unit staff have been reminded not to use Residentnames.&quot;" u="1"/>
        <s v="Monitoring" u="1"/>
        <s v="RM followed up with resident." u="1"/>
        <s v="&quot;RM to complete supervision with staff and speak peer to peer.&quot;" u="1"/>
        <s v="Given to Cristina D'Erizans to debrief on 5/11/15. " u="1"/>
        <s v="Team was made aware of issue so that any necessary changes could be made." u="1"/>
        <s v="Issue was reviewed with resident. Staff apologized in his statement." u="1"/>
        <s v="Issue was reviewed with resident. &quot;Spoke with staff, esp. TL and STL, to ensure that at some point I am aware that a resident requests me so I can come even if my shift is over.&quot;" u="1"/>
        <s v="TS did not review issue with resident, even though she circled that she did. LRA followed up with resident. TS initially marked this as &quot;1.1&quot; to indicate that resident lied, but appeal team did not feel as though there was enough evidence to mark it as false. &quot;3&quot; was therefore chosen instead. Appeal team took exception to resident being accused of being dishonest when there was not enough evidence to prove so. " u="1"/>
        <s v="TS debriefed with resident, but res didn't check whether he &quot;approved&quot; or &quot;appealed.&quot; When LRA followed up with resident to find out which, res claimed that TS never explained results and he therefore appealed." u="1"/>
        <s v=" " u="1"/>
        <s v="Personnel action was taken for implicated staff's entering the room with no spotters." u="1"/>
        <s v="Issue was reviwed with staff in supervision." u="1"/>
        <s v="&quot;No religious music/loud music will be played on program.&quot;" u="1"/>
        <s v="&quot;RM stated she would pull resident weekly to process with her.&quot;" u="1"/>
        <s v=" Unable to follow up due to resident being awol and not returning." u="1"/>
        <s v="Issue reviewed with resident and with staff." u="1"/>
        <s v="&quot;Will review with staff in supervision. No disciplinary action will be given to staff.&quot;" u="1"/>
        <s v="&quot; Explained to resident who understands. Asked if he had a fan and he said yes.&quot;" u="1"/>
        <s v="DPPO reviewed issue with resident." u="1"/>
        <s v="CM/Therapist will continue to show placements efforts via discharge log." u="1"/>
        <s v="&quot;All parties have been made of the fact that resident is targeting implicated staff member.&quot;" u="1"/>
        <s v="&quot;Processed intisively with resident.&quot; - TS" u="1"/>
        <s v="Issue was reviewed in supervision with staff, with resident, and in community groups." u="1"/>
        <s v="PD followed up and returned paperwork on 6/8/15" u="1"/>
        <s v="Issue was reviewed with staff in supervision and/or resident" u="1"/>
        <s v="LRA received blank grievance paperwork + statements back on 6/8/15. Resident had been discharged by this point, as RM had placed &amp; initialed a sticky note with &quot;Discharged&quot; on it. Nothing was written on the &quot;findings&quot; form. " u="1"/>
        <s v="Issue was reviewed with student and with teacher." u="1"/>
        <s v="Marked as a rights violation due to restriction of outside time being used as punishment. TS followed up with staff in supervision." u="1"/>
        <s v="RM reviewed issue with staff in supervision and with resident. RM &quot;Also sent email to DPPO to address temperature.&quot;" u="1"/>
        <s v="Issue was reviewed with resident and with staff in supervision." u="1"/>
        <s v="Unknown" u="1"/>
        <s v="Supervisor reviewed issue with staff to ensure appropriate care and professionalism." u="1"/>
        <s v="Issue was discussed with resident and staff in supervision." u="1"/>
        <s v="Her complaint is being turned over to her therapist for her to use as she deems suitable. Therapist can turn it back in as grievance if she feels as though it should be treated as one." u="1"/>
        <s v="&quot;All unit staff have been reminded not to use nicknames.&quot;" u="1"/>
        <s v="LRA notified residential team of this decision. LRA reminded resident that he could write a complaint at any time if he felt as though he was treated unsafely or unfairly. His concern would be taken seriously." u="1"/>
        <s v="Issue was reviewed with staff in supervision and with resident. TS had coded it as 2.4 (Other/Misc), but throwing away resident's personal objects (even if he was throwing them) is a potential rights violation (“Right to keep and use persona possessions with individual storage for private use”). LRA coded it as a 2.3 instead." u="1"/>
        <s v="&quot;Changed to block schedule -&gt; 2 core classes instead of 4. Changed math curriculum. Had conference with teacher.&quot;" u="1"/>
        <s v="3rd Shift TS held &quot;supervision with all staff named and not named&quot; to reinforce that no one should knock on the bed frame of a sleeping resident.&quot;" u="1"/>
        <s v="Resident discharged before LRA could follow-up." u="1"/>
        <s v="Issue was reviewed with both residents involved." u="1"/>
        <s v="Resident was discharged before debriefing could be done." u="1"/>
        <s v="Issue was reviewed with staff and resident by RM." u="1"/>
        <s v="Please see &quot;evidence.&quot; Issue was reviewed with staff in supervision and with resident." u="1"/>
        <s v="Transformations guidelines and consequences were updated by RM." u="1"/>
        <s v="No follow-up indicated." u="1"/>
        <s v="Residents have a right to daily outside time unless deemed unsafe.  " u="1"/>
        <s v="Issue was reviewed with staff and with resident. Changes were made but not specified." u="1"/>
        <s v="Issue reviewed with staff and resident. " u="1"/>
      </sharedItems>
    </cacheField>
    <cacheField name="Supplemental Info" numFmtId="0">
      <sharedItems containsNonDate="0" containsString="0" containsBlank="1"/>
    </cacheField>
    <cacheField name="Has Debriefing Occurred?" numFmtId="0">
      <sharedItems containsNonDate="0" containsBlank="1" count="6">
        <m/>
        <s v="No" u="1"/>
        <s v="Yes, through grievance process" u="1"/>
        <s v="Pending" u="1"/>
        <s v="No, as per resident request" u="1"/>
        <s v="Unable due to resident discharge" u="1"/>
      </sharedItems>
    </cacheField>
    <cacheField name="Date of Debriefing" numFmtId="14">
      <sharedItems containsNonDate="0" containsString="0" containsBlank="1"/>
    </cacheField>
    <cacheField name="Accept or Appeal?" numFmtId="0">
      <sharedItems containsNonDate="0" containsBlank="1" count="6">
        <m/>
        <s v="N/A" u="1"/>
        <s v="Appeal" u="1"/>
        <s v="Accept" u="1"/>
        <s v="Waiting on debriefing" u="1"/>
        <s v="Refused to sign" u="1"/>
      </sharedItems>
    </cacheField>
    <cacheField name="Debriefing Notes" numFmtId="0">
      <sharedItems containsNonDate="0" containsString="0" containsBlank="1"/>
    </cacheField>
    <cacheField name="External Report made?" numFmtId="0">
      <sharedItems containsNonDate="0" containsString="0" containsBlank="1"/>
    </cacheField>
    <cacheField name="External Report Agency" numFmtId="0">
      <sharedItems containsNonDate="0" containsString="0" containsBlank="1"/>
    </cacheField>
    <cacheField name="Date of External Report (if applicable)" numFmtId="14">
      <sharedItems containsNonDate="0" containsString="0" containsBlank="1"/>
    </cacheField>
    <cacheField name="Results of External Report" numFmtId="0">
      <sharedItems containsNonDate="0" containsString="0" containsBlank="1"/>
    </cacheField>
    <cacheField name="Trending" numFmtId="0">
      <sharedItems containsNonDate="0" containsString="0" containsBlank="1"/>
    </cacheField>
    <cacheField name="Notes" numFmtId="0">
      <sharedItems containsNonDate="0" containsString="0" containsBlank="1"/>
    </cacheField>
    <cacheField name="Month Receive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x v="0"/>
    <x v="0"/>
    <m/>
    <m/>
    <m/>
    <x v="0"/>
    <m/>
    <m/>
    <m/>
    <m/>
    <m/>
    <x v="0"/>
    <m/>
    <m/>
    <x v="0"/>
    <x v="0"/>
    <x v="0"/>
    <x v="0"/>
    <x v="0"/>
    <x v="0"/>
    <x v="0"/>
    <m/>
    <x v="0"/>
    <m/>
    <x v="0"/>
    <m/>
    <x v="0"/>
    <m/>
    <m/>
    <m/>
    <m/>
    <m/>
    <m/>
    <m/>
    <m/>
  </r>
  <r>
    <x v="1"/>
    <x v="0"/>
    <x v="0"/>
    <m/>
    <m/>
    <m/>
    <x v="1"/>
    <m/>
    <m/>
    <m/>
    <m/>
    <m/>
    <x v="0"/>
    <m/>
    <m/>
    <x v="0"/>
    <x v="0"/>
    <x v="0"/>
    <x v="0"/>
    <x v="0"/>
    <x v="0"/>
    <x v="0"/>
    <m/>
    <x v="0"/>
    <m/>
    <x v="0"/>
    <m/>
    <x v="0"/>
    <m/>
    <m/>
    <m/>
    <m/>
    <m/>
    <m/>
    <m/>
    <m/>
  </r>
  <r>
    <x v="2"/>
    <x v="0"/>
    <x v="0"/>
    <m/>
    <m/>
    <m/>
    <x v="1"/>
    <m/>
    <m/>
    <m/>
    <m/>
    <m/>
    <x v="0"/>
    <m/>
    <m/>
    <x v="0"/>
    <x v="0"/>
    <x v="0"/>
    <x v="0"/>
    <x v="0"/>
    <x v="0"/>
    <x v="0"/>
    <m/>
    <x v="0"/>
    <m/>
    <x v="0"/>
    <m/>
    <x v="0"/>
    <m/>
    <m/>
    <m/>
    <m/>
    <m/>
    <m/>
    <m/>
    <m/>
  </r>
  <r>
    <x v="3"/>
    <x v="0"/>
    <x v="0"/>
    <m/>
    <m/>
    <m/>
    <x v="1"/>
    <m/>
    <m/>
    <m/>
    <m/>
    <m/>
    <x v="0"/>
    <m/>
    <m/>
    <x v="0"/>
    <x v="0"/>
    <x v="0"/>
    <x v="0"/>
    <x v="0"/>
    <x v="0"/>
    <x v="0"/>
    <m/>
    <x v="0"/>
    <m/>
    <x v="0"/>
    <m/>
    <x v="0"/>
    <m/>
    <m/>
    <m/>
    <m/>
    <m/>
    <m/>
    <m/>
    <m/>
  </r>
  <r>
    <x v="4"/>
    <x v="0"/>
    <x v="0"/>
    <m/>
    <m/>
    <m/>
    <x v="1"/>
    <m/>
    <m/>
    <m/>
    <m/>
    <m/>
    <x v="0"/>
    <m/>
    <m/>
    <x v="0"/>
    <x v="0"/>
    <x v="0"/>
    <x v="0"/>
    <x v="0"/>
    <x v="0"/>
    <x v="0"/>
    <m/>
    <x v="0"/>
    <m/>
    <x v="0"/>
    <m/>
    <x v="0"/>
    <m/>
    <m/>
    <m/>
    <m/>
    <m/>
    <m/>
    <m/>
    <m/>
  </r>
  <r>
    <x v="4"/>
    <x v="0"/>
    <x v="0"/>
    <m/>
    <m/>
    <m/>
    <x v="1"/>
    <m/>
    <m/>
    <m/>
    <m/>
    <m/>
    <x v="0"/>
    <m/>
    <m/>
    <x v="0"/>
    <x v="0"/>
    <x v="0"/>
    <x v="0"/>
    <x v="0"/>
    <x v="0"/>
    <x v="0"/>
    <m/>
    <x v="0"/>
    <m/>
    <x v="0"/>
    <m/>
    <x v="0"/>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1100-000000000000}" name="PivotTable2" cacheId="18" applyNumberFormats="0" applyBorderFormats="0" applyFontFormats="0" applyPatternFormats="0" applyAlignmentFormats="0" applyWidthHeightFormats="1" dataCaption="Values" updatedVersion="8" minRefreshableVersion="3" itemPrintTitles="1" createdVersion="4" indent="0" outline="1" outlineData="1">
  <location ref="A5:A38" firstHeaderRow="1" firstDataRow="1" firstDataCol="1" rowPageCount="1" colPageCount="1"/>
  <pivotFields count="36">
    <pivotField axis="axisRow" showAll="0" insertBlankRow="1">
      <items count="833">
        <item m="1" x="346"/>
        <item m="1" x="710"/>
        <item m="1" x="238"/>
        <item m="1" x="169"/>
        <item m="1" x="242"/>
        <item x="2"/>
        <item x="3"/>
        <item m="1" x="670"/>
        <item m="1" x="646"/>
        <item m="1" x="244"/>
        <item m="1" x="794"/>
        <item m="1" x="596"/>
        <item m="1" x="582"/>
        <item m="1" x="569"/>
        <item m="1" x="553"/>
        <item m="1" x="538"/>
        <item m="1" x="527"/>
        <item m="1" x="513"/>
        <item m="1" x="493"/>
        <item m="1" x="480"/>
        <item m="1" x="66"/>
        <item m="1" x="467"/>
        <item m="1" x="49"/>
        <item m="1" x="451"/>
        <item m="1" x="37"/>
        <item m="1" x="437"/>
        <item m="1" x="501"/>
        <item m="1" x="248"/>
        <item m="1" x="84"/>
        <item m="1" x="656"/>
        <item m="1" x="11"/>
        <item m="1" x="411"/>
        <item m="1" x="822"/>
        <item m="1" x="57"/>
        <item m="1" x="631"/>
        <item m="1" x="807"/>
        <item m="1" x="385"/>
        <item m="1" x="790"/>
        <item m="1" x="371"/>
        <item m="1" x="446"/>
        <item m="1" x="229"/>
        <item m="1" x="776"/>
        <item m="1" x="165"/>
        <item m="1" x="356"/>
        <item m="1" x="571"/>
        <item m="1" x="761"/>
        <item m="1" x="150"/>
        <item m="1" x="339"/>
        <item m="1" x="554"/>
        <item m="1" x="747"/>
        <item m="1" x="136"/>
        <item m="1" x="323"/>
        <item m="1" x="539"/>
        <item m="1" x="735"/>
        <item m="1" x="121"/>
        <item m="1" x="309"/>
        <item m="1" x="528"/>
        <item m="1" x="723"/>
        <item m="1" x="799"/>
        <item m="1" x="587"/>
        <item m="1" x="454"/>
        <item m="1" x="299"/>
        <item m="1" x="514"/>
        <item m="1" x="590"/>
        <item m="1" x="362"/>
        <item m="1" x="94"/>
        <item m="1" x="288"/>
        <item m="1" x="494"/>
        <item m="1" x="697"/>
        <item m="1" x="79"/>
        <item m="1" x="276"/>
        <item m="1" x="481"/>
        <item m="1" x="685"/>
        <item m="1" x="67"/>
        <item m="1" x="264"/>
        <item m="1" x="364"/>
        <item m="1" x="468"/>
        <item m="1" x="47"/>
        <item m="1" x="440"/>
        <item m="1" x="671"/>
        <item m="1" x="768"/>
        <item m="1" x="50"/>
        <item m="1" x="158"/>
        <item x="4"/>
        <item m="1" x="251"/>
        <item m="1" x="349"/>
        <item m="1" x="452"/>
        <item m="1" x="563"/>
        <item m="1" x="660"/>
        <item m="1" x="754"/>
        <item m="1" x="38"/>
        <item m="1" x="144"/>
        <item m="1" x="545"/>
        <item m="1" x="118"/>
        <item m="1" x="333"/>
        <item m="1" x="438"/>
        <item m="1" x="548"/>
        <item m="1" x="647"/>
        <item m="1" x="742"/>
        <item m="1" x="24"/>
        <item m="1" x="423"/>
        <item m="1" x="826"/>
        <item m="1" x="224"/>
        <item m="1" x="319"/>
        <item m="1" x="425"/>
        <item m="1" x="8"/>
        <item m="1" x="403"/>
        <item m="1" x="706"/>
        <item m="1" x="115"/>
        <item m="1" x="507"/>
        <item m="1" x="730"/>
        <item m="1" x="12"/>
        <item m="1" x="116"/>
        <item m="1" x="213"/>
        <item m="1" x="306"/>
        <item m="1" x="412"/>
        <item m="1" x="523"/>
        <item m="1" x="100"/>
        <item m="1" x="491"/>
        <item m="1" x="718"/>
        <item m="1" x="823"/>
        <item m="1" x="103"/>
        <item m="1" x="204"/>
        <item m="1" x="609"/>
        <item m="1" x="185"/>
        <item m="1" x="475"/>
        <item m="1" x="774"/>
        <item m="1" x="400"/>
        <item m="1" x="504"/>
        <item m="1" x="611"/>
        <item m="1" x="705"/>
        <item m="1" x="658"/>
        <item m="1" x="227"/>
        <item m="1" x="808"/>
        <item m="1" x="88"/>
        <item m="1" x="194"/>
        <item m="1" x="285"/>
        <item m="1" x="386"/>
        <item m="1" x="787"/>
        <item m="1" x="360"/>
        <item m="1" x="598"/>
        <item m="1" x="693"/>
        <item m="1" x="791"/>
        <item m="1" x="74"/>
        <item m="1" x="181"/>
        <item m="1" x="270"/>
        <item m="1" x="372"/>
        <item m="1" x="772"/>
        <item m="1" x="345"/>
        <item m="1" x="653"/>
        <item m="1" x="583"/>
        <item m="1" x="680"/>
        <item m="1" x="56"/>
        <item m="1" x="448"/>
        <item m="1" x="254"/>
        <item m="1" x="655"/>
        <item m="1" x="61"/>
        <item m="1" x="167"/>
        <item m="1" x="354"/>
        <item m="1" x="516"/>
        <item m="1" x="257"/>
        <item m="1" x="457"/>
        <item m="1" x="616"/>
        <item m="1" x="358"/>
        <item m="1" x="408"/>
        <item m="1" x="461"/>
        <item m="1" x="520"/>
        <item m="1" x="573"/>
        <item m="1" x="620"/>
        <item m="1" x="815"/>
        <item m="1" x="147"/>
        <item m="1" x="715"/>
        <item m="1" x="763"/>
        <item m="1" x="818"/>
        <item m="1" x="200"/>
        <item m="1" x="336"/>
        <item m="1" x="98"/>
        <item m="1" x="152"/>
        <item m="1" x="202"/>
        <item m="1" x="245"/>
        <item m="1" x="292"/>
        <item m="1" x="341"/>
        <item m="1" x="397"/>
        <item m="1" x="443"/>
        <item m="1" x="499"/>
        <item m="1" x="557"/>
        <item m="1" x="607"/>
        <item m="1" x="652"/>
        <item m="1" x="701"/>
        <item m="1" x="749"/>
        <item m="1" x="134"/>
        <item m="1" x="279"/>
        <item m="1" x="428"/>
        <item m="1" x="30"/>
        <item m="1" x="230"/>
        <item m="1" x="378"/>
        <item m="1" x="138"/>
        <item m="1" x="190"/>
        <item m="1" x="232"/>
        <item m="1" x="281"/>
        <item m="1" x="325"/>
        <item m="1" x="380"/>
        <item m="1" x="431"/>
        <item m="1" x="484"/>
        <item m="1" x="687"/>
        <item m="1" x="16"/>
        <item m="1" x="174"/>
        <item m="1" x="734"/>
        <item m="1" x="69"/>
        <item m="1" x="639"/>
        <item m="1" x="689"/>
        <item m="1" x="70"/>
        <item m="1" x="217"/>
        <item m="1" x="785"/>
        <item m="1" x="18"/>
        <item m="1" x="72"/>
        <item m="1" x="123"/>
        <item m="1" x="178"/>
        <item m="1" x="219"/>
        <item m="1" x="267"/>
        <item m="1" x="310"/>
        <item m="1" x="366"/>
        <item m="1" x="417"/>
        <item m="1" x="470"/>
        <item m="1" x="529"/>
        <item m="1" x="722"/>
        <item m="1" x="52"/>
        <item m="1" x="627"/>
        <item m="1" x="675"/>
        <item m="1" x="724"/>
        <item m="1" x="770"/>
        <item m="1" x="829"/>
        <item m="1" x="54"/>
        <item m="1" x="107"/>
        <item m="1" x="162"/>
        <item m="1" x="351"/>
        <item m="1" x="510"/>
        <item m="1" x="253"/>
        <item m="1" x="300"/>
        <item m="1" x="352"/>
        <item m="1" x="404"/>
        <item m="1" x="455"/>
        <item m="1" x="515"/>
        <item m="1" x="566"/>
        <item m="1" x="615"/>
        <item m="1" x="663"/>
        <item m="1" x="711"/>
        <item m="1" x="93"/>
        <item m="1" x="239"/>
        <item m="1" x="389"/>
        <item m="1" x="812"/>
        <item m="1" x="40"/>
        <item m="1" x="240"/>
        <item m="1" x="392"/>
        <item m="1" x="549"/>
        <item m="1" x="783"/>
        <item m="1" x="120"/>
        <item m="1" x="146"/>
        <item m="1" x="198"/>
        <item m="1" x="241"/>
        <item m="1" x="289"/>
        <item m="1" x="335"/>
        <item m="1" x="393"/>
        <item m="1" x="603"/>
        <item m="1" x="744"/>
        <item m="1" x="77"/>
        <item m="1" x="495"/>
        <item m="1" x="551"/>
        <item m="1" x="604"/>
        <item m="1" x="649"/>
        <item m="1" x="698"/>
        <item m="1" x="745"/>
        <item m="1" x="797"/>
        <item m="1" x="26"/>
        <item m="1" x="80"/>
        <item m="1" x="131"/>
        <item m="1" x="188"/>
        <item m="1" x="228"/>
        <item m="1" x="277"/>
        <item m="1" x="322"/>
        <item m="1" x="377"/>
        <item m="1" x="429"/>
        <item m="1" x="482"/>
        <item m="1" x="537"/>
        <item m="1" x="589"/>
        <item m="1" x="636"/>
        <item m="1" x="686"/>
        <item m="1" x="733"/>
        <item m="1" x="782"/>
        <item m="1" x="15"/>
        <item m="1" x="68"/>
        <item m="1" x="119"/>
        <item m="1" x="175"/>
        <item m="1" x="216"/>
        <item m="1" x="265"/>
        <item m="1" x="308"/>
        <item m="1" x="365"/>
        <item m="1" x="415"/>
        <item m="1" x="469"/>
        <item m="1" x="526"/>
        <item m="1" x="578"/>
        <item m="1" x="626"/>
        <item m="1" x="672"/>
        <item m="1" x="721"/>
        <item m="1" x="769"/>
        <item m="1" x="827"/>
        <item m="1" x="51"/>
        <item m="1" x="78"/>
        <item m="1" x="106"/>
        <item m="1" x="130"/>
        <item m="1" x="159"/>
        <item m="1" x="187"/>
        <item m="1" x="206"/>
        <item m="1" x="226"/>
        <item m="1" x="252"/>
        <item m="1" x="275"/>
        <item m="1" x="298"/>
        <item m="1" x="321"/>
        <item m="1" x="350"/>
        <item m="1" x="793"/>
        <item m="1" x="508"/>
        <item m="1" x="376"/>
        <item m="1" x="23"/>
        <item m="1" x="562"/>
        <item m="1" x="427"/>
        <item m="1" x="453"/>
        <item m="1" x="479"/>
        <item m="1" x="509"/>
        <item m="1" x="536"/>
        <item m="1" x="564"/>
        <item m="1" x="588"/>
        <item m="1" x="614"/>
        <item m="1" x="635"/>
        <item m="1" x="661"/>
        <item m="1" x="295"/>
        <item m="1" x="13"/>
        <item m="1" x="316"/>
        <item m="1" x="36"/>
        <item m="1" x="732"/>
        <item m="1" x="755"/>
        <item m="1" x="781"/>
        <item m="1" x="811"/>
        <item m="1" x="14"/>
        <item m="1" x="39"/>
        <item m="1" x="65"/>
        <item m="1" x="92"/>
        <item m="1" x="559"/>
        <item m="1" x="262"/>
        <item m="1" x="796"/>
        <item m="1" x="145"/>
        <item m="1" x="173"/>
        <item m="1" x="197"/>
        <item m="1" x="215"/>
        <item m="1" x="237"/>
        <item m="1" x="263"/>
        <item m="1" x="728"/>
        <item m="1" x="436"/>
        <item m="1" x="307"/>
        <item m="1" x="334"/>
        <item m="1" x="363"/>
        <item m="1" x="390"/>
        <item m="1" x="414"/>
        <item m="1" x="439"/>
        <item m="1" x="466"/>
        <item m="1" x="492"/>
        <item m="1" x="525"/>
        <item m="1" x="550"/>
        <item m="1" x="577"/>
        <item m="1" x="601"/>
        <item m="1" x="625"/>
        <item m="1" x="648"/>
        <item m="1" x="669"/>
        <item m="1" x="696"/>
        <item m="1" x="720"/>
        <item m="1" x="743"/>
        <item m="1" x="767"/>
        <item m="1" x="409"/>
        <item m="1" x="128"/>
        <item m="1" x="825"/>
        <item m="1" x="25"/>
        <item m="1" x="48"/>
        <item m="1" x="521"/>
        <item m="1" x="223"/>
        <item m="1" x="756"/>
        <item m="1" x="373"/>
        <item m="1" x="91"/>
        <item m="1" x="105"/>
        <item m="1" x="129"/>
        <item m="1" x="157"/>
        <item m="1" x="622"/>
        <item m="1" x="318"/>
        <item m="1" x="643"/>
        <item m="1" x="225"/>
        <item m="1" x="250"/>
        <item m="1" x="274"/>
        <item m="1" x="297"/>
        <item m="1" x="320"/>
        <item m="1" x="348"/>
        <item m="1" x="375"/>
        <item m="1" x="402"/>
        <item m="1" x="426"/>
        <item m="1" x="450"/>
        <item m="1" x="478"/>
        <item m="1" x="506"/>
        <item m="1" x="154"/>
        <item m="1" x="683"/>
        <item m="1" x="391"/>
        <item m="1" x="9"/>
        <item m="1" x="547"/>
        <item m="1" x="561"/>
        <item m="1" x="586"/>
        <item m="1" x="613"/>
        <item m="1" x="634"/>
        <item m="1" x="659"/>
        <item m="1" x="684"/>
        <item m="1" x="708"/>
        <item m="1" x="731"/>
        <item m="1" x="753"/>
        <item m="1" x="780"/>
        <item m="1" x="810"/>
        <item m="1" x="445"/>
        <item m="1" x="171"/>
        <item m="1" x="35"/>
        <item m="1" x="64"/>
        <item m="1" x="90"/>
        <item m="1" x="117"/>
        <item m="1" x="143"/>
        <item m="1" x="172"/>
        <item m="1" x="196"/>
        <item m="1" x="214"/>
        <item m="1" x="236"/>
        <item m="1" x="261"/>
        <item m="1" x="287"/>
        <item m="1" x="751"/>
        <item m="1" x="464"/>
        <item m="1" x="186"/>
        <item m="1" x="332"/>
        <item m="1" x="361"/>
        <item m="1" x="388"/>
        <item m="1" x="413"/>
        <item m="1" x="435"/>
        <item m="1" x="465"/>
        <item m="1" x="490"/>
        <item m="1" x="524"/>
        <item m="1" x="546"/>
        <item m="1" x="576"/>
        <item m="1" x="600"/>
        <item m="1" x="624"/>
        <item m="1" x="645"/>
        <item m="1" x="668"/>
        <item m="1" x="695"/>
        <item m="1" x="719"/>
        <item m="1" x="741"/>
        <item m="1" x="766"/>
        <item m="1" x="795"/>
        <item m="1" x="824"/>
        <item m="1" x="459"/>
        <item m="1" x="183"/>
        <item m="1" x="709"/>
        <item m="1" x="313"/>
        <item m="1" x="46"/>
        <item m="1" x="76"/>
        <item m="1" x="104"/>
        <item m="1" x="127"/>
        <item m="1" x="156"/>
        <item m="1" x="184"/>
        <item m="1" x="205"/>
        <item m="1" x="222"/>
        <item m="1" x="249"/>
        <item m="1" x="273"/>
        <item m="1" x="296"/>
        <item m="1" x="317"/>
        <item m="1" x="347"/>
        <item m="1" x="374"/>
        <item m="1" x="401"/>
        <item m="1" x="424"/>
        <item m="1" x="449"/>
        <item m="1" x="477"/>
        <item m="1" x="505"/>
        <item m="1" x="535"/>
        <item m="1" x="560"/>
        <item m="1" x="585"/>
        <item m="1" x="612"/>
        <item m="1" x="633"/>
        <item m="1" x="657"/>
        <item m="1" x="682"/>
        <item m="1" x="707"/>
        <item m="1" x="729"/>
        <item m="1" x="368"/>
        <item m="1" x="87"/>
        <item m="1" x="779"/>
        <item m="1" x="809"/>
        <item m="1" x="10"/>
        <item m="1" x="34"/>
        <item m="1" x="63"/>
        <item m="1" x="89"/>
        <item m="1" x="555"/>
        <item m="1" x="259"/>
        <item m="1" x="142"/>
        <item m="1" x="170"/>
        <item m="1" x="195"/>
        <item m="1" x="212"/>
        <item m="1" x="234"/>
        <item m="1" x="260"/>
        <item m="1" x="286"/>
        <item m="1" x="305"/>
        <item m="1" x="331"/>
        <item m="1" x="359"/>
        <item m="1" x="387"/>
        <item m="1" x="410"/>
        <item m="1" x="434"/>
        <item m="1" x="463"/>
        <item m="1" x="489"/>
        <item m="1" x="522"/>
        <item m="1" x="544"/>
        <item m="1" x="575"/>
        <item m="1" x="599"/>
        <item m="1" x="623"/>
        <item m="1" x="644"/>
        <item m="1" x="280"/>
        <item m="1" x="820"/>
        <item m="1" x="694"/>
        <item m="1" x="717"/>
        <item m="1" x="740"/>
        <item m="1" x="765"/>
        <item m="1" x="792"/>
        <item m="1" x="821"/>
        <item m="1" x="22"/>
        <item m="1" x="45"/>
        <item m="1" x="75"/>
        <item m="1" x="102"/>
        <item m="1" x="126"/>
        <item m="1" x="155"/>
        <item m="1" x="182"/>
        <item m="1" x="637"/>
        <item m="1" x="343"/>
        <item m="1" x="221"/>
        <item m="1" x="247"/>
        <item m="1" x="271"/>
        <item m="1" x="294"/>
        <item m="1" x="315"/>
        <item m="1" x="344"/>
        <item m="1" x="813"/>
        <item m="1" x="533"/>
        <item m="1" x="235"/>
        <item m="1" x="677"/>
        <item m="1" x="399"/>
        <item m="1" x="422"/>
        <item m="1" x="447"/>
        <item m="1" x="476"/>
        <item m="1" x="503"/>
        <item m="1" x="534"/>
        <item m="1" x="176"/>
        <item m="1" x="703"/>
        <item m="1" x="584"/>
        <item m="1" x="610"/>
        <item m="1" x="632"/>
        <item m="1" x="654"/>
        <item m="1" x="681"/>
        <item m="1" x="704"/>
        <item m="1" x="337"/>
        <item m="1" x="60"/>
        <item m="1" x="752"/>
        <item m="1" x="394"/>
        <item m="1" x="111"/>
        <item m="1" x="806"/>
        <item m="1" x="7"/>
        <item m="1" x="33"/>
        <item m="1" x="62"/>
        <item m="1" x="86"/>
        <item m="1" x="114"/>
        <item m="1" x="141"/>
        <item m="1" x="168"/>
        <item m="1" x="193"/>
        <item m="1" x="211"/>
        <item m="1" x="674"/>
        <item m="1" x="382"/>
        <item m="1" x="258"/>
        <item m="1" x="284"/>
        <item m="1" x="304"/>
        <item m="1" x="330"/>
        <item m="1" x="798"/>
        <item m="1" x="519"/>
        <item m="1" x="828"/>
        <item m="1" x="541"/>
        <item m="1" x="27"/>
        <item m="1" x="570"/>
        <item m="1" x="272"/>
        <item m="1" x="53"/>
        <item m="1" x="593"/>
        <item m="1" x="462"/>
        <item m="1" x="487"/>
        <item m="1" x="133"/>
        <item m="1" x="666"/>
        <item m="1" x="543"/>
        <item m="1" x="574"/>
        <item m="1" x="595"/>
        <item m="1" x="621"/>
        <item m="1" x="642"/>
        <item m="1" x="667"/>
        <item m="1" x="692"/>
        <item m="1" x="716"/>
        <item m="1" x="739"/>
        <item m="1" x="764"/>
        <item m="1" x="777"/>
        <item m="1" x="789"/>
        <item m="1" x="804"/>
        <item m="1" x="819"/>
        <item m="1" x="6"/>
        <item m="1" x="21"/>
        <item m="1" x="32"/>
        <item m="1" x="44"/>
        <item m="1" x="314"/>
        <item m="1" x="496"/>
        <item m="1" x="758"/>
        <item m="1" x="73"/>
        <item m="1" x="85"/>
        <item m="1" x="99"/>
        <item m="1" x="112"/>
        <item m="1" x="125"/>
        <item m="1" x="140"/>
        <item m="1" x="153"/>
        <item m="1" x="166"/>
        <item m="1" x="180"/>
        <item m="1" x="192"/>
        <item m="1" x="203"/>
        <item m="1" x="210"/>
        <item m="1" x="488"/>
        <item m="1" x="662"/>
        <item m="1" x="502"/>
        <item m="1" x="673"/>
        <item m="1" x="246"/>
        <item m="1" x="256"/>
        <item m="1" x="269"/>
        <item m="1" x="283"/>
        <item m="1" x="293"/>
        <item m="1" x="303"/>
        <item m="1" x="597"/>
        <item m="1" x="757"/>
        <item m="1" x="207"/>
        <item m="1" x="472"/>
        <item m="1" x="328"/>
        <item m="1" x="342"/>
        <item m="1" x="357"/>
        <item m="1" x="370"/>
        <item m="1" x="384"/>
        <item m="1" x="398"/>
        <item m="1" x="407"/>
        <item m="1" x="421"/>
        <item m="1" x="433"/>
        <item m="1" x="444"/>
        <item m="1" x="460"/>
        <item m="1" x="474"/>
        <item m="1" x="486"/>
        <item m="1" x="500"/>
        <item m="1" x="778"/>
        <item m="1" x="132"/>
        <item m="1" x="532"/>
        <item m="1" x="542"/>
        <item m="1" x="805"/>
        <item m="1" x="161"/>
        <item m="1" x="558"/>
        <item m="1" x="572"/>
        <item m="1" x="581"/>
        <item m="1" x="594"/>
        <item m="1" x="608"/>
        <item m="1" x="619"/>
        <item m="1" x="630"/>
        <item m="1" x="641"/>
        <item m="1" x="101"/>
        <item m="1" x="266"/>
        <item m="1" x="113"/>
        <item m="1" x="278"/>
        <item m="1" x="679"/>
        <item m="1" x="691"/>
        <item m="1" x="702"/>
        <item m="1" x="714"/>
        <item m="1" x="727"/>
        <item m="1" x="738"/>
        <item m="1" x="750"/>
        <item m="1" x="762"/>
        <item m="1" x="775"/>
        <item m="1" x="788"/>
        <item m="1" x="802"/>
        <item m="1" x="817"/>
        <item m="1" x="5"/>
        <item m="1" x="20"/>
        <item m="1" x="31"/>
        <item m="1" x="43"/>
        <item m="1" x="59"/>
        <item m="1" x="329"/>
        <item m="1" x="512"/>
        <item m="1" x="83"/>
        <item m="1" x="97"/>
        <item m="1" x="110"/>
        <item m="1" x="124"/>
        <item m="1" x="139"/>
        <item m="1" x="151"/>
        <item m="1" x="164"/>
        <item m="1" x="179"/>
        <item m="1" x="191"/>
        <item m="1" x="201"/>
        <item m="1" x="209"/>
        <item m="1" x="220"/>
        <item m="1" x="233"/>
        <item m="1" x="243"/>
        <item m="1" x="255"/>
        <item m="1" x="268"/>
        <item m="1" x="282"/>
        <item m="1" x="291"/>
        <item m="1" x="302"/>
        <item m="1" x="312"/>
        <item m="1" x="326"/>
        <item m="1" x="340"/>
        <item m="1" x="355"/>
        <item m="1" x="369"/>
        <item m="1" x="381"/>
        <item m="1" x="396"/>
        <item m="1" x="406"/>
        <item m="1" x="420"/>
        <item m="1" x="432"/>
        <item m="1" x="442"/>
        <item m="1" x="458"/>
        <item m="1" x="473"/>
        <item m="1" x="485"/>
        <item m="1" x="498"/>
        <item m="1" x="518"/>
        <item m="1" x="531"/>
        <item m="1" x="803"/>
        <item m="1" x="160"/>
        <item m="1" x="416"/>
        <item m="1" x="556"/>
        <item m="1" x="568"/>
        <item m="1" x="580"/>
        <item m="1" x="592"/>
        <item m="1" x="606"/>
        <item m="1" x="618"/>
        <item m="1" x="629"/>
        <item m="1" x="640"/>
        <item m="1" x="651"/>
        <item m="1" x="665"/>
        <item m="1" x="678"/>
        <item m="1" x="690"/>
        <item m="1" x="700"/>
        <item m="1" x="713"/>
        <item m="1" x="726"/>
        <item m="1" x="737"/>
        <item m="1" x="748"/>
        <item m="1" x="760"/>
        <item m="1" x="773"/>
        <item m="1" x="786"/>
        <item m="1" x="801"/>
        <item m="1" x="816"/>
        <item m="1" x="831"/>
        <item m="1" x="19"/>
        <item m="1" x="29"/>
        <item m="1" x="42"/>
        <item m="1" x="58"/>
        <item m="1" x="327"/>
        <item m="1" x="511"/>
        <item m="1" x="82"/>
        <item m="1" x="96"/>
        <item m="1" x="109"/>
        <item m="1" x="383"/>
        <item m="1" x="565"/>
        <item m="1" x="137"/>
        <item m="1" x="149"/>
        <item m="1" x="163"/>
        <item m="1" x="290"/>
        <item m="1" x="301"/>
        <item m="1" x="311"/>
        <item m="1" x="324"/>
        <item m="1" x="338"/>
        <item m="1" x="353"/>
        <item m="1" x="367"/>
        <item m="1" x="379"/>
        <item m="1" x="395"/>
        <item m="1" x="405"/>
        <item m="1" x="418"/>
        <item m="1" x="430"/>
        <item m="1" x="441"/>
        <item m="1" x="456"/>
        <item m="1" x="471"/>
        <item m="1" x="483"/>
        <item m="1" x="497"/>
        <item m="1" x="517"/>
        <item m="1" x="530"/>
        <item m="1" x="540"/>
        <item m="1" x="552"/>
        <item m="1" x="567"/>
        <item m="1" x="579"/>
        <item m="1" x="591"/>
        <item m="1" x="605"/>
        <item m="1" x="617"/>
        <item m="1" x="628"/>
        <item m="1" x="638"/>
        <item m="1" x="650"/>
        <item m="1" x="664"/>
        <item m="1" x="676"/>
        <item m="1" x="688"/>
        <item m="1" x="699"/>
        <item m="1" x="712"/>
        <item m="1" x="725"/>
        <item m="1" x="736"/>
        <item m="1" x="746"/>
        <item m="1" x="759"/>
        <item m="1" x="771"/>
        <item m="1" x="784"/>
        <item m="1" x="800"/>
        <item m="1" x="814"/>
        <item m="1" x="830"/>
        <item m="1" x="17"/>
        <item m="1" x="28"/>
        <item m="1" x="41"/>
        <item m="1" x="55"/>
        <item m="1" x="71"/>
        <item m="1" x="81"/>
        <item m="1" x="95"/>
        <item m="1" x="108"/>
        <item m="1" x="122"/>
        <item m="1" x="135"/>
        <item m="1" x="148"/>
        <item m="1" x="419"/>
        <item m="1" x="602"/>
        <item m="1" x="177"/>
        <item m="1" x="189"/>
        <item m="1" x="199"/>
        <item m="1" x="208"/>
        <item m="1" x="218"/>
        <item m="1" x="231"/>
        <item x="0"/>
        <item x="1"/>
        <item t="default"/>
      </items>
    </pivotField>
    <pivotField axis="axisRow" showAll="0" insertBlankRow="1">
      <items count="113">
        <item m="1" x="53"/>
        <item m="1" x="30"/>
        <item m="1" x="59"/>
        <item m="1" x="56"/>
        <item m="1" x="27"/>
        <item m="1" x="2"/>
        <item m="1" x="54"/>
        <item m="1" x="108"/>
        <item m="1" x="106"/>
        <item x="0"/>
        <item m="1" x="49"/>
        <item m="1" x="21"/>
        <item m="1" x="103"/>
        <item m="1" x="25"/>
        <item m="1" x="104"/>
        <item m="1" x="51"/>
        <item m="1" x="22"/>
        <item m="1" x="78"/>
        <item m="1" x="47"/>
        <item m="1" x="76"/>
        <item m="1" x="45"/>
        <item m="1" x="18"/>
        <item m="1" x="100"/>
        <item m="1" x="73"/>
        <item m="1" x="98"/>
        <item m="1" x="40"/>
        <item m="1" x="13"/>
        <item m="1" x="95"/>
        <item m="1" x="43"/>
        <item m="1" x="16"/>
        <item m="1" x="99"/>
        <item m="1" x="72"/>
        <item m="1" x="69"/>
        <item m="1" x="38"/>
        <item m="1" x="67"/>
        <item m="1" x="93"/>
        <item m="1" x="66"/>
        <item m="1" x="35"/>
        <item m="1" x="11"/>
        <item m="1" x="8"/>
        <item m="1" x="88"/>
        <item m="1" x="61"/>
        <item m="1" x="92"/>
        <item m="1" x="91"/>
        <item m="1" x="65"/>
        <item m="1" x="34"/>
        <item m="1" x="62"/>
        <item m="1" x="31"/>
        <item m="1" x="6"/>
        <item m="1" x="87"/>
        <item m="1" x="60"/>
        <item m="1" x="84"/>
        <item m="1" x="57"/>
        <item m="1" x="3"/>
        <item m="1" x="83"/>
        <item m="1" x="111"/>
        <item m="1" x="82"/>
        <item m="1" x="55"/>
        <item m="1" x="109"/>
        <item m="1" x="107"/>
        <item m="1" x="80"/>
        <item m="1" x="50"/>
        <item m="1" x="1"/>
        <item m="1" x="26"/>
        <item m="1" x="110"/>
        <item m="1" x="81"/>
        <item m="1" x="24"/>
        <item m="1" x="52"/>
        <item m="1" x="23"/>
        <item m="1" x="105"/>
        <item m="1" x="79"/>
        <item m="1" x="48"/>
        <item m="1" x="77"/>
        <item m="1" x="46"/>
        <item m="1" x="19"/>
        <item m="1" x="101"/>
        <item m="1" x="74"/>
        <item m="1" x="71"/>
        <item m="1" x="41"/>
        <item m="1" x="14"/>
        <item m="1" x="96"/>
        <item m="1" x="20"/>
        <item m="1" x="102"/>
        <item m="1" x="75"/>
        <item m="1" x="44"/>
        <item m="1" x="17"/>
        <item m="1" x="42"/>
        <item m="1" x="15"/>
        <item m="1" x="97"/>
        <item m="1" x="70"/>
        <item m="1" x="39"/>
        <item m="1" x="68"/>
        <item m="1" x="37"/>
        <item m="1" x="12"/>
        <item m="1" x="94"/>
        <item m="1" x="90"/>
        <item m="1" x="64"/>
        <item m="1" x="33"/>
        <item m="1" x="9"/>
        <item m="1" x="89"/>
        <item m="1" x="5"/>
        <item m="1" x="86"/>
        <item m="1" x="36"/>
        <item m="1" x="10"/>
        <item m="1" x="63"/>
        <item m="1" x="32"/>
        <item m="1" x="7"/>
        <item m="1" x="29"/>
        <item m="1" x="4"/>
        <item m="1" x="85"/>
        <item m="1" x="58"/>
        <item m="1" x="28"/>
        <item t="default"/>
      </items>
    </pivotField>
    <pivotField showAll="0" insertBlankRow="1"/>
    <pivotField showAll="0" insertBlankRow="1"/>
    <pivotField showAll="0" insertBlankRow="1"/>
    <pivotField showAll="0" insertBlankRow="1"/>
    <pivotField axis="axisRow" showAll="0" insertBlankRow="1">
      <items count="172">
        <item m="1" x="16"/>
        <item m="1" x="135"/>
        <item m="1" x="126"/>
        <item m="1" x="84"/>
        <item m="1" x="5"/>
        <item m="1" x="123"/>
        <item m="1" x="120"/>
        <item m="1" x="94"/>
        <item m="1" x="168"/>
        <item m="1" x="13"/>
        <item m="1" x="107"/>
        <item m="1" x="23"/>
        <item m="1" x="59"/>
        <item m="1" x="117"/>
        <item m="1" x="110"/>
        <item m="1" x="129"/>
        <item m="1" x="92"/>
        <item m="1" x="30"/>
        <item m="1" x="42"/>
        <item m="1" x="127"/>
        <item m="1" x="60"/>
        <item m="1" x="153"/>
        <item m="1" x="145"/>
        <item m="1" x="128"/>
        <item m="1" x="143"/>
        <item m="1" x="67"/>
        <item m="1" x="35"/>
        <item m="1" x="28"/>
        <item m="1" x="122"/>
        <item m="1" x="66"/>
        <item m="1" x="108"/>
        <item m="1" x="144"/>
        <item m="1" x="36"/>
        <item m="1" x="25"/>
        <item m="1" x="132"/>
        <item m="1" x="118"/>
        <item m="1" x="31"/>
        <item m="1" x="2"/>
        <item x="1"/>
        <item m="1" x="74"/>
        <item m="1" x="76"/>
        <item m="1" x="37"/>
        <item m="1" x="130"/>
        <item m="1" x="63"/>
        <item m="1" x="151"/>
        <item m="1" x="164"/>
        <item m="1" x="21"/>
        <item m="1" x="162"/>
        <item m="1" x="62"/>
        <item m="1" x="97"/>
        <item m="1" x="75"/>
        <item m="1" x="169"/>
        <item m="1" x="39"/>
        <item m="1" x="9"/>
        <item m="1" x="44"/>
        <item m="1" x="65"/>
        <item m="1" x="49"/>
        <item m="1" x="33"/>
        <item m="1" x="27"/>
        <item m="1" x="14"/>
        <item m="1" x="90"/>
        <item m="1" x="72"/>
        <item m="1" x="170"/>
        <item m="1" x="125"/>
        <item m="1" x="68"/>
        <item m="1" x="112"/>
        <item m="1" x="57"/>
        <item m="1" x="141"/>
        <item m="1" x="166"/>
        <item m="1" x="32"/>
        <item m="1" x="152"/>
        <item m="1" x="138"/>
        <item m="1" x="104"/>
        <item m="1" x="87"/>
        <item m="1" x="116"/>
        <item m="1" x="157"/>
        <item m="1" x="77"/>
        <item m="1" x="8"/>
        <item m="1" x="64"/>
        <item m="1" x="71"/>
        <item m="1" x="6"/>
        <item m="1" x="150"/>
        <item m="1" x="115"/>
        <item m="1" x="105"/>
        <item m="1" x="58"/>
        <item m="1" x="109"/>
        <item m="1" x="45"/>
        <item m="1" x="148"/>
        <item m="1" x="91"/>
        <item m="1" x="159"/>
        <item m="1" x="131"/>
        <item m="1" x="98"/>
        <item m="1" x="134"/>
        <item m="1" x="70"/>
        <item m="1" x="41"/>
        <item m="1" x="7"/>
        <item m="1" x="15"/>
        <item m="1" x="78"/>
        <item m="1" x="69"/>
        <item m="1" x="167"/>
        <item m="1" x="142"/>
        <item m="1" x="46"/>
        <item m="1" x="81"/>
        <item m="1" x="10"/>
        <item m="1" x="106"/>
        <item m="1" x="12"/>
        <item m="1" x="47"/>
        <item m="1" x="29"/>
        <item m="1" x="100"/>
        <item m="1" x="54"/>
        <item m="1" x="4"/>
        <item m="1" x="124"/>
        <item m="1" x="11"/>
        <item m="1" x="20"/>
        <item m="1" x="103"/>
        <item m="1" x="53"/>
        <item m="1" x="154"/>
        <item m="1" x="56"/>
        <item m="1" x="19"/>
        <item m="1" x="89"/>
        <item m="1" x="50"/>
        <item m="1" x="26"/>
        <item m="1" x="17"/>
        <item m="1" x="40"/>
        <item m="1" x="121"/>
        <item m="1" x="88"/>
        <item m="1" x="3"/>
        <item m="1" x="22"/>
        <item m="1" x="95"/>
        <item m="1" x="160"/>
        <item m="1" x="18"/>
        <item m="1" x="113"/>
        <item m="1" x="86"/>
        <item m="1" x="165"/>
        <item m="1" x="133"/>
        <item m="1" x="102"/>
        <item m="1" x="96"/>
        <item m="1" x="139"/>
        <item m="1" x="99"/>
        <item m="1" x="82"/>
        <item m="1" x="93"/>
        <item m="1" x="38"/>
        <item m="1" x="34"/>
        <item m="1" x="155"/>
        <item m="1" x="52"/>
        <item m="1" x="163"/>
        <item m="1" x="48"/>
        <item m="1" x="43"/>
        <item m="1" x="136"/>
        <item m="1" x="101"/>
        <item m="1" x="161"/>
        <item m="1" x="85"/>
        <item m="1" x="119"/>
        <item m="1" x="55"/>
        <item m="1" x="73"/>
        <item m="1" x="111"/>
        <item m="1" x="140"/>
        <item m="1" x="156"/>
        <item m="1" x="51"/>
        <item m="1" x="83"/>
        <item m="1" x="80"/>
        <item m="1" x="24"/>
        <item m="1" x="146"/>
        <item m="1" x="79"/>
        <item m="1" x="114"/>
        <item m="1" x="147"/>
        <item m="1" x="158"/>
        <item m="1" x="149"/>
        <item m="1" x="137"/>
        <item m="1" x="61"/>
        <item x="0"/>
        <item t="default"/>
      </items>
    </pivotField>
    <pivotField showAll="0" insertBlankRow="1"/>
    <pivotField showAll="0" insertBlankRow="1"/>
    <pivotField showAll="0" insertBlankRow="1"/>
    <pivotField showAll="0" insertBlankRow="1"/>
    <pivotField showAll="0" insertBlankRow="1"/>
    <pivotField axis="axisRow" showAll="0" insertBlankRow="1">
      <items count="10">
        <item m="1" x="5"/>
        <item m="1" x="4"/>
        <item m="1" x="8"/>
        <item m="1" x="6"/>
        <item m="1" x="7"/>
        <item m="1" x="1"/>
        <item m="1" x="2"/>
        <item x="0"/>
        <item m="1" x="3"/>
        <item t="default"/>
      </items>
      <extLst>
        <ext xmlns:x14="http://schemas.microsoft.com/office/spreadsheetml/2009/9/main" uri="{2946ED86-A175-432a-8AC1-64E0C546D7DE}">
          <x14:pivotField fillDownLabels="1"/>
        </ext>
      </extLst>
    </pivotField>
    <pivotField showAll="0" insertBlankRow="1"/>
    <pivotField showAll="0" insertBlankRow="1"/>
    <pivotField axis="axisRow" showAll="0" insertBlankRow="1">
      <items count="879">
        <item m="1" x="334"/>
        <item m="1" x="156"/>
        <item m="1" x="272"/>
        <item m="1" x="511"/>
        <item m="1" x="190"/>
        <item m="1" x="582"/>
        <item m="1" x="248"/>
        <item m="1" x="120"/>
        <item m="1" x="691"/>
        <item m="1" x="812"/>
        <item m="1" x="27"/>
        <item m="1" x="707"/>
        <item m="1" x="717"/>
        <item m="1" x="557"/>
        <item m="1" x="200"/>
        <item m="1" x="303"/>
        <item m="1" x="704"/>
        <item m="1" x="472"/>
        <item m="1" x="725"/>
        <item m="1" x="526"/>
        <item m="1" x="836"/>
        <item m="1" x="793"/>
        <item m="1" x="561"/>
        <item m="1" x="649"/>
        <item m="1" x="602"/>
        <item m="1" x="70"/>
        <item m="1" x="207"/>
        <item m="1" x="543"/>
        <item m="1" x="361"/>
        <item m="1" x="150"/>
        <item m="1" x="751"/>
        <item m="1" x="124"/>
        <item m="1" x="274"/>
        <item m="1" x="876"/>
        <item m="1" x="290"/>
        <item m="1" x="570"/>
        <item m="1" x="38"/>
        <item m="1" x="383"/>
        <item m="1" x="104"/>
        <item m="1" x="171"/>
        <item m="1" x="131"/>
        <item m="1" x="115"/>
        <item m="1" x="819"/>
        <item m="1" x="871"/>
        <item m="1" x="796"/>
        <item m="1" x="693"/>
        <item m="1" x="703"/>
        <item m="1" x="746"/>
        <item m="1" x="581"/>
        <item m="1" x="201"/>
        <item m="1" x="545"/>
        <item m="1" x="489"/>
        <item m="1" x="240"/>
        <item m="1" x="669"/>
        <item m="1" x="282"/>
        <item m="1" x="840"/>
        <item m="1" x="54"/>
        <item m="1" x="230"/>
        <item m="1" x="350"/>
        <item m="1" x="762"/>
        <item m="1" x="13"/>
        <item m="1" x="609"/>
        <item m="1" x="432"/>
        <item m="1" x="28"/>
        <item m="1" x="729"/>
        <item m="1" x="410"/>
        <item m="1" x="183"/>
        <item m="1" x="22"/>
        <item m="1" x="666"/>
        <item m="1" x="791"/>
        <item m="1" x="238"/>
        <item m="1" x="706"/>
        <item m="1" x="348"/>
        <item m="1" x="299"/>
        <item m="1" x="412"/>
        <item m="1" x="504"/>
        <item m="1" x="123"/>
        <item m="1" x="774"/>
        <item m="1" x="427"/>
        <item m="1" x="787"/>
        <item m="1" x="268"/>
        <item x="0"/>
        <item m="1" x="828"/>
        <item m="1" x="688"/>
        <item m="1" x="549"/>
        <item m="1" x="467"/>
        <item m="1" x="148"/>
        <item m="1" x="577"/>
        <item m="1" x="857"/>
        <item m="1" x="826"/>
        <item m="1" x="665"/>
        <item m="1" x="283"/>
        <item m="1" x="792"/>
        <item m="1" x="393"/>
        <item m="1" x="514"/>
        <item m="1" x="742"/>
        <item m="1" x="263"/>
        <item m="1" x="448"/>
        <item m="1" x="455"/>
        <item m="1" x="508"/>
        <item m="1" x="329"/>
        <item m="1" x="335"/>
        <item m="1" x="181"/>
        <item m="1" x="309"/>
        <item m="1" x="816"/>
        <item m="1" x="858"/>
        <item m="1" x="861"/>
        <item m="1" x="555"/>
        <item m="1" x="184"/>
        <item m="1" x="654"/>
        <item m="1" x="391"/>
        <item m="1" x="33"/>
        <item m="1" x="416"/>
        <item m="1" x="548"/>
        <item m="1" x="735"/>
        <item m="1" x="542"/>
        <item m="1" x="223"/>
        <item m="1" x="232"/>
        <item m="1" x="486"/>
        <item m="1" x="675"/>
        <item m="1" x="31"/>
        <item m="1" x="430"/>
        <item m="1" x="494"/>
        <item m="1" x="59"/>
        <item m="1" x="87"/>
        <item m="1" x="369"/>
        <item m="1" x="92"/>
        <item m="1" x="351"/>
        <item m="1" x="498"/>
        <item m="1" x="239"/>
        <item m="1" x="442"/>
        <item m="1" x="320"/>
        <item m="1" x="215"/>
        <item m="1" x="487"/>
        <item m="1" x="141"/>
        <item m="1" x="352"/>
        <item m="1" x="203"/>
        <item m="1" x="552"/>
        <item m="1" x="187"/>
        <item m="1" x="11"/>
        <item m="1" x="777"/>
        <item m="1" x="863"/>
        <item m="1" x="280"/>
        <item m="1" x="281"/>
        <item m="1" x="620"/>
        <item m="1" x="58"/>
        <item m="1" x="683"/>
        <item m="1" x="235"/>
        <item m="1" x="496"/>
        <item m="1" x="110"/>
        <item m="1" x="835"/>
        <item m="1" x="624"/>
        <item m="1" x="306"/>
        <item m="1" x="261"/>
        <item m="1" x="267"/>
        <item m="1" x="733"/>
        <item m="1" x="758"/>
        <item m="1" x="869"/>
        <item m="1" x="68"/>
        <item m="1" x="834"/>
        <item m="1" x="850"/>
        <item m="1" x="672"/>
        <item m="1" x="660"/>
        <item m="1" x="598"/>
        <item m="1" x="837"/>
        <item m="1" x="332"/>
        <item m="1" x="516"/>
        <item m="1" x="677"/>
        <item m="1" x="321"/>
        <item m="1" x="671"/>
        <item m="1" x="357"/>
        <item m="1" x="362"/>
        <item m="1" x="533"/>
        <item m="1" x="395"/>
        <item m="1" x="365"/>
        <item m="1" x="135"/>
        <item m="1" x="396"/>
        <item m="1" x="118"/>
        <item m="1" x="142"/>
        <item m="1" x="112"/>
        <item m="1" x="182"/>
        <item m="1" x="6"/>
        <item m="1" x="709"/>
        <item m="1" x="718"/>
        <item m="1" x="474"/>
        <item m="1" x="525"/>
        <item m="1" x="761"/>
        <item m="1" x="179"/>
        <item m="1" x="874"/>
        <item m="1" x="493"/>
        <item m="1" x="711"/>
        <item m="1" x="228"/>
        <item m="1" x="57"/>
        <item m="1" x="388"/>
        <item m="1" x="661"/>
        <item m="1" x="716"/>
        <item m="1" x="801"/>
        <item m="1" x="91"/>
        <item m="1" x="284"/>
        <item m="1" x="451"/>
        <item m="1" x="116"/>
        <item m="1" x="4"/>
        <item m="1" x="14"/>
        <item m="1" x="195"/>
        <item m="1" x="540"/>
        <item m="1" x="65"/>
        <item m="1" x="126"/>
        <item m="1" x="521"/>
        <item m="1" x="243"/>
        <item m="1" x="293"/>
        <item m="1" x="822"/>
        <item m="1" x="818"/>
        <item m="1" x="485"/>
        <item m="1" x="36"/>
        <item m="1" x="153"/>
        <item m="1" x="465"/>
        <item m="1" x="358"/>
        <item m="1" x="143"/>
        <item m="1" x="374"/>
        <item m="1" x="129"/>
        <item m="1" x="523"/>
        <item m="1" x="107"/>
        <item m="1" x="394"/>
        <item m="1" x="314"/>
        <item m="1" x="529"/>
        <item m="1" x="875"/>
        <item m="1" x="100"/>
        <item m="1" x="140"/>
        <item m="1" x="29"/>
        <item m="1" x="597"/>
        <item m="1" x="380"/>
        <item m="1" x="381"/>
        <item m="1" x="495"/>
        <item m="1" x="76"/>
        <item m="1" x="865"/>
        <item m="1" x="60"/>
        <item m="1" x="220"/>
        <item m="1" x="613"/>
        <item m="1" x="524"/>
        <item m="1" x="770"/>
        <item m="1" x="457"/>
        <item m="1" x="689"/>
        <item m="1" x="877"/>
        <item m="1" x="106"/>
        <item m="1" x="645"/>
        <item m="1" x="101"/>
        <item m="1" x="386"/>
        <item m="1" x="226"/>
        <item m="1" x="234"/>
        <item m="1" x="539"/>
        <item m="1" x="638"/>
        <item m="1" x="74"/>
        <item m="1" x="701"/>
        <item m="1" x="506"/>
        <item m="1" x="527"/>
        <item m="1" x="323"/>
        <item m="1" x="246"/>
        <item m="1" x="304"/>
        <item m="1" x="710"/>
        <item m="1" x="422"/>
        <item m="1" x="662"/>
        <item m="1" x="347"/>
        <item m="1" x="288"/>
        <item m="1" x="385"/>
        <item m="1" x="492"/>
        <item m="1" x="829"/>
        <item m="1" x="278"/>
        <item m="1" x="528"/>
        <item m="1" x="133"/>
        <item m="1" x="803"/>
        <item m="1" x="273"/>
        <item m="1" x="360"/>
        <item m="1" x="814"/>
        <item m="1" x="409"/>
        <item m="1" x="625"/>
        <item m="1" x="810"/>
        <item m="1" x="368"/>
        <item m="1" x="734"/>
        <item m="1" x="831"/>
        <item m="1" x="744"/>
        <item m="1" x="318"/>
        <item m="1" x="61"/>
        <item m="1" x="379"/>
        <item m="1" x="188"/>
        <item m="1" x="136"/>
        <item m="1" x="315"/>
        <item m="1" x="644"/>
        <item m="1" x="52"/>
        <item m="1" x="308"/>
        <item m="1" x="66"/>
        <item m="1" x="541"/>
        <item m="1" x="604"/>
        <item m="1" x="637"/>
        <item m="1" x="782"/>
        <item m="1" x="736"/>
        <item m="1" x="271"/>
        <item m="1" x="191"/>
        <item m="1" x="567"/>
        <item m="1" x="482"/>
        <item m="1" x="754"/>
        <item m="1" x="43"/>
        <item m="1" x="562"/>
        <item m="1" x="424"/>
        <item m="1" x="367"/>
        <item m="1" x="872"/>
        <item m="1" x="319"/>
        <item m="1" x="158"/>
        <item m="1" x="437"/>
        <item m="1" x="173"/>
        <item m="1" x="229"/>
        <item m="1" x="46"/>
        <item m="1" x="345"/>
        <item m="1" x="137"/>
        <item m="1" x="269"/>
        <item m="1" x="108"/>
        <item m="1" x="122"/>
        <item m="1" x="583"/>
        <item m="1" x="418"/>
        <item m="1" x="614"/>
        <item m="1" x="569"/>
        <item m="1" x="99"/>
        <item m="1" x="769"/>
        <item m="1" x="121"/>
        <item m="1" x="679"/>
        <item m="1" x="113"/>
        <item m="1" x="830"/>
        <item m="1" x="590"/>
        <item m="1" x="471"/>
        <item m="1" x="626"/>
        <item m="1" x="760"/>
        <item m="1" x="83"/>
        <item m="1" x="747"/>
        <item m="1" x="134"/>
        <item m="1" x="8"/>
        <item m="1" x="824"/>
        <item m="1" x="51"/>
        <item m="1" x="807"/>
        <item m="1" x="851"/>
        <item m="1" x="623"/>
        <item m="1" x="853"/>
        <item m="1" x="681"/>
        <item m="1" x="241"/>
        <item m="1" x="600"/>
        <item m="1" x="32"/>
        <item m="1" x="515"/>
        <item m="1" x="247"/>
        <item m="1" x="559"/>
        <item m="1" x="270"/>
        <item m="1" x="398"/>
        <item m="1" x="30"/>
        <item m="1" x="389"/>
        <item m="1" x="868"/>
        <item m="1" x="97"/>
        <item m="1" x="682"/>
        <item m="1" x="795"/>
        <item m="1" x="64"/>
        <item m="1" x="277"/>
        <item m="1" x="833"/>
        <item m="1" x="584"/>
        <item m="1" x="694"/>
        <item m="1" x="353"/>
        <item m="1" x="400"/>
        <item m="1" x="276"/>
        <item m="1" x="245"/>
        <item m="1" x="16"/>
        <item m="1" x="387"/>
        <item m="1" x="460"/>
        <item m="1" x="130"/>
        <item m="1" x="730"/>
        <item m="1" x="438"/>
        <item m="1" x="767"/>
        <item m="1" x="788"/>
        <item m="1" x="773"/>
        <item m="1" x="631"/>
        <item m="1" x="199"/>
        <item m="1" x="216"/>
        <item m="1" x="154"/>
        <item m="1" x="289"/>
        <item m="1" x="346"/>
        <item m="1" x="331"/>
        <item m="1" x="287"/>
        <item m="1" x="279"/>
        <item m="1" x="636"/>
        <item m="1" x="806"/>
        <item m="1" x="781"/>
        <item m="1" x="256"/>
        <item m="1" x="161"/>
        <item m="1" x="809"/>
        <item m="1" x="726"/>
        <item m="1" x="768"/>
        <item m="1" x="145"/>
        <item m="1" x="20"/>
        <item m="1" x="236"/>
        <item m="1" x="307"/>
        <item m="1" x="72"/>
        <item m="1" x="700"/>
        <item m="1" x="456"/>
        <item m="1" x="128"/>
        <item m="1" x="7"/>
        <item m="1" x="454"/>
        <item m="1" x="648"/>
        <item m="1" x="186"/>
        <item m="1" x="265"/>
        <item m="1" x="443"/>
        <item m="1" x="301"/>
        <item m="1" x="384"/>
        <item m="1" x="168"/>
        <item m="1" x="846"/>
        <item m="1" x="530"/>
        <item m="1" x="39"/>
        <item m="1" x="98"/>
        <item m="1" x="294"/>
        <item m="1" x="292"/>
        <item m="1" x="337"/>
        <item m="1" x="237"/>
        <item m="1" x="257"/>
        <item m="1" x="339"/>
        <item m="1" x="611"/>
        <item m="1" x="536"/>
        <item m="1" x="817"/>
        <item m="1" x="50"/>
        <item m="1" x="324"/>
        <item m="1" x="513"/>
        <item m="1" x="41"/>
        <item m="1" x="678"/>
        <item m="1" x="794"/>
        <item m="1" x="512"/>
        <item m="1" x="473"/>
        <item m="1" x="605"/>
        <item m="1" x="785"/>
        <item m="1" x="839"/>
        <item m="1" x="685"/>
        <item m="1" x="642"/>
        <item m="1" x="371"/>
        <item m="1" x="193"/>
        <item m="1" x="327"/>
        <item m="1" x="643"/>
        <item m="1" x="433"/>
        <item m="1" x="664"/>
        <item m="1" x="663"/>
        <item m="1" x="449"/>
        <item m="1" x="431"/>
        <item m="1" x="595"/>
        <item m="1" x="646"/>
        <item m="1" x="855"/>
        <item m="1" x="439"/>
        <item m="1" x="338"/>
        <item m="1" x="630"/>
        <item m="1" x="845"/>
        <item m="1" x="192"/>
        <item m="1" x="198"/>
        <item m="1" x="325"/>
        <item m="1" x="205"/>
        <item m="1" x="743"/>
        <item m="1" x="509"/>
        <item m="1" x="763"/>
        <item m="1" x="376"/>
        <item m="1" x="702"/>
        <item m="1" x="340"/>
        <item m="1" x="159"/>
        <item m="1" x="738"/>
        <item m="1" x="650"/>
        <item m="1" x="266"/>
        <item m="1" x="217"/>
        <item m="1" x="622"/>
        <item m="1" x="621"/>
        <item m="1" x="750"/>
        <item m="1" x="864"/>
        <item m="1" x="222"/>
        <item m="1" x="298"/>
        <item m="1" x="111"/>
        <item m="1" x="300"/>
        <item m="1" x="19"/>
        <item m="1" x="349"/>
        <item m="1" x="196"/>
        <item m="1" x="867"/>
        <item m="1" x="25"/>
        <item m="1" x="484"/>
        <item m="1" x="628"/>
        <item m="1" x="444"/>
        <item m="1" x="659"/>
        <item m="1" x="3"/>
        <item m="1" x="580"/>
        <item m="1" x="618"/>
        <item m="1" x="766"/>
        <item m="1" x="176"/>
        <item m="1" x="658"/>
        <item m="1" x="461"/>
        <item m="1" x="866"/>
        <item m="1" x="798"/>
        <item m="1" x="202"/>
        <item m="1" x="313"/>
        <item m="1" x="627"/>
        <item m="1" x="426"/>
        <item m="1" x="429"/>
        <item m="1" x="547"/>
        <item m="1" x="634"/>
        <item m="1" x="505"/>
        <item m="1" x="147"/>
        <item m="1" x="146"/>
        <item m="1" x="470"/>
        <item m="1" x="103"/>
        <item m="1" x="77"/>
        <item m="1" x="799"/>
        <item m="1" x="44"/>
        <item m="1" x="166"/>
        <item m="1" x="157"/>
        <item m="1" x="326"/>
        <item m="1" x="62"/>
        <item m="1" x="670"/>
        <item m="1" x="81"/>
        <item m="1" x="218"/>
        <item m="1" x="445"/>
        <item m="1" x="458"/>
        <item m="1" x="499"/>
        <item m="1" x="165"/>
        <item m="1" x="697"/>
        <item m="1" x="534"/>
        <item m="1" x="780"/>
        <item m="1" x="558"/>
        <item m="1" x="93"/>
        <item m="1" x="522"/>
        <item m="1" x="692"/>
        <item m="1" x="185"/>
        <item m="1" x="102"/>
        <item m="1" x="40"/>
        <item m="1" x="155"/>
        <item m="1" x="714"/>
        <item m="1" x="862"/>
        <item m="1" x="615"/>
        <item m="1" x="501"/>
        <item m="1" x="821"/>
        <item m="1" x="653"/>
        <item m="1" x="575"/>
        <item m="1" x="579"/>
        <item m="1" x="720"/>
        <item m="1" x="119"/>
        <item m="1" x="759"/>
        <item m="1" x="356"/>
        <item m="1" x="740"/>
        <item m="1" x="378"/>
        <item m="1" x="10"/>
        <item m="1" x="550"/>
        <item m="1" x="491"/>
        <item m="1" x="606"/>
        <item m="1" x="507"/>
        <item m="1" x="194"/>
        <item m="1" x="633"/>
        <item m="1" x="651"/>
        <item m="1" x="377"/>
        <item m="1" x="397"/>
        <item m="1" x="520"/>
        <item m="1" x="214"/>
        <item m="1" x="610"/>
        <item m="1" x="48"/>
        <item m="1" x="468"/>
        <item m="1" x="510"/>
        <item m="1" x="330"/>
        <item m="1" x="832"/>
        <item m="1" x="178"/>
        <item m="1" x="808"/>
        <item m="1" x="5"/>
        <item m="1" x="56"/>
        <item m="1" x="170"/>
        <item m="1" x="488"/>
        <item m="1" x="695"/>
        <item m="1" x="856"/>
        <item m="1" x="578"/>
        <item m="1" x="641"/>
        <item m="1" x="790"/>
        <item m="1" x="258"/>
        <item m="1" x="538"/>
        <item m="1" x="434"/>
        <item m="1" x="676"/>
        <item m="1" x="12"/>
        <item m="1" x="259"/>
        <item m="1" x="344"/>
        <item m="1" x="673"/>
        <item m="1" x="640"/>
        <item m="1" x="565"/>
        <item m="1" x="355"/>
        <item m="1" x="370"/>
        <item m="1" x="310"/>
        <item m="1" x="585"/>
        <item m="1" x="719"/>
        <item m="1" x="657"/>
        <item m="1" x="778"/>
        <item m="1" x="616"/>
        <item m="1" x="421"/>
        <item m="1" x="382"/>
        <item m="1" x="752"/>
        <item m="1" x="169"/>
        <item m="1" x="45"/>
        <item m="1" x="756"/>
        <item m="1" x="873"/>
        <item m="1" x="841"/>
        <item m="1" x="502"/>
        <item m="1" x="568"/>
        <item m="1" x="745"/>
        <item m="1" x="753"/>
        <item m="1" x="560"/>
        <item m="1" x="436"/>
        <item m="1" x="149"/>
        <item m="1" x="125"/>
        <item m="1" x="1"/>
        <item m="1" x="466"/>
        <item m="1" x="848"/>
        <item m="1" x="553"/>
        <item m="1" x="450"/>
        <item m="1" x="302"/>
        <item m="1" x="518"/>
        <item m="1" x="519"/>
        <item m="1" x="18"/>
        <item m="1" x="712"/>
        <item m="1" x="592"/>
        <item m="1" x="776"/>
        <item m="1" x="84"/>
        <item m="1" x="407"/>
        <item m="1" x="291"/>
        <item m="1" x="452"/>
        <item m="1" x="563"/>
        <item m="1" x="564"/>
        <item m="1" x="535"/>
        <item m="1" x="254"/>
        <item m="1" x="95"/>
        <item m="1" x="573"/>
        <item m="1" x="373"/>
        <item m="1" x="151"/>
        <item m="1" x="789"/>
        <item m="1" x="639"/>
        <item m="1" x="765"/>
        <item m="1" x="80"/>
        <item m="1" x="79"/>
        <item m="1" x="37"/>
        <item m="1" x="713"/>
        <item m="1" x="167"/>
        <item m="1" x="253"/>
        <item m="1" x="667"/>
        <item m="1" x="164"/>
        <item m="1" x="197"/>
        <item m="1" x="870"/>
        <item m="1" x="152"/>
        <item m="1" x="497"/>
        <item m="1" x="42"/>
        <item m="1" x="375"/>
        <item m="1" x="342"/>
        <item m="1" x="423"/>
        <item m="1" x="417"/>
        <item m="1" x="354"/>
        <item m="1" x="221"/>
        <item m="1" x="544"/>
        <item m="1" x="105"/>
        <item m="1" x="419"/>
        <item m="1" x="295"/>
        <item m="1" x="723"/>
        <item m="1" x="343"/>
        <item m="1" x="213"/>
        <item m="1" x="180"/>
        <item m="1" x="784"/>
        <item m="1" x="800"/>
        <item m="1" x="132"/>
        <item m="1" x="401"/>
        <item m="1" x="459"/>
        <item m="1" x="286"/>
        <item m="1" x="574"/>
        <item m="1" x="341"/>
        <item m="1" x="755"/>
        <item m="1" x="316"/>
        <item m="1" x="63"/>
        <item m="1" x="69"/>
        <item m="1" x="503"/>
        <item m="1" x="757"/>
        <item m="1" x="206"/>
        <item m="1" x="336"/>
        <item m="1" x="603"/>
        <item m="1" x="537"/>
        <item m="1" x="748"/>
        <item m="1" x="596"/>
        <item m="1" x="686"/>
        <item m="1" x="49"/>
        <item m="1" x="732"/>
        <item m="1" x="55"/>
        <item m="1" x="635"/>
        <item m="1" x="211"/>
        <item m="1" x="842"/>
        <item m="1" x="859"/>
        <item m="1" x="684"/>
        <item m="1" x="447"/>
        <item m="1" x="477"/>
        <item m="1" x="699"/>
        <item m="1" x="617"/>
        <item m="1" x="26"/>
        <item m="1" x="17"/>
        <item m="1" x="333"/>
        <item m="1" x="411"/>
        <item m="1" x="175"/>
        <item m="1" x="500"/>
        <item m="1" x="392"/>
        <item m="1" x="21"/>
        <item m="1" x="328"/>
        <item m="1" x="594"/>
        <item m="1" x="208"/>
        <item m="1" x="475"/>
        <item m="1" x="588"/>
        <item m="1" x="619"/>
        <item m="1" x="364"/>
        <item m="1" x="843"/>
        <item m="1" x="764"/>
        <item m="1" x="478"/>
        <item m="1" x="632"/>
        <item m="1" x="722"/>
        <item m="1" x="815"/>
        <item m="1" x="244"/>
        <item m="1" x="162"/>
        <item m="1" x="680"/>
        <item m="1" x="399"/>
        <item m="1" x="749"/>
        <item m="1" x="204"/>
        <item m="1" x="811"/>
        <item m="1" x="231"/>
        <item m="1" x="233"/>
        <item m="1" x="629"/>
        <item m="1" x="464"/>
        <item m="1" x="820"/>
        <item m="1" x="317"/>
        <item m="1" x="705"/>
        <item m="1" x="696"/>
        <item m="1" x="210"/>
        <item m="1" x="721"/>
        <item m="1" x="249"/>
        <item m="1" x="587"/>
        <item m="1" x="428"/>
        <item m="1" x="109"/>
        <item m="1" x="804"/>
        <item m="1" x="322"/>
        <item m="1" x="163"/>
        <item m="1" x="35"/>
        <item m="1" x="255"/>
        <item m="1" x="82"/>
        <item m="1" x="305"/>
        <item m="1" x="724"/>
        <item m="1" x="224"/>
        <item m="1" x="576"/>
        <item m="1" x="144"/>
        <item m="1" x="408"/>
        <item m="1" x="708"/>
        <item m="1" x="674"/>
        <item m="1" x="209"/>
        <item m="1" x="225"/>
        <item m="1" x="160"/>
        <item m="1" x="490"/>
        <item m="1" x="53"/>
        <item m="1" x="172"/>
        <item m="1" x="2"/>
        <item m="1" x="24"/>
        <item m="1" x="453"/>
        <item m="1" x="463"/>
        <item m="1" x="86"/>
        <item m="1" x="127"/>
        <item m="1" x="656"/>
        <item m="1" x="775"/>
        <item m="1" x="139"/>
        <item m="1" x="771"/>
        <item m="1" x="275"/>
        <item m="1" x="402"/>
        <item m="1" x="813"/>
        <item m="1" x="251"/>
        <item m="1" x="75"/>
        <item m="1" x="174"/>
        <item m="1" x="546"/>
        <item m="1" x="479"/>
        <item m="1" x="403"/>
        <item m="1" x="415"/>
        <item m="1" x="779"/>
        <item m="1" x="480"/>
        <item m="1" x="446"/>
        <item m="1" x="405"/>
        <item m="1" x="242"/>
        <item m="1" x="406"/>
        <item m="1" x="67"/>
        <item m="1" x="531"/>
        <item m="1" x="441"/>
        <item m="1" x="802"/>
        <item m="1" x="47"/>
        <item m="1" x="647"/>
        <item m="1" x="117"/>
        <item m="1" x="612"/>
        <item m="1" x="404"/>
        <item m="1" x="481"/>
        <item m="1" x="690"/>
        <item m="1" x="797"/>
        <item m="1" x="586"/>
        <item m="1" x="260"/>
        <item m="1" x="572"/>
        <item m="1" x="138"/>
        <item m="1" x="78"/>
        <item m="1" x="363"/>
        <item m="1" x="312"/>
        <item m="1" x="591"/>
        <item m="1" x="838"/>
        <item m="1" x="227"/>
        <item m="1" x="311"/>
        <item m="1" x="844"/>
        <item m="1" x="89"/>
        <item m="1" x="372"/>
        <item m="1" x="23"/>
        <item m="1" x="823"/>
        <item m="1" x="483"/>
        <item m="1" x="860"/>
        <item m="1" x="425"/>
        <item m="1" x="825"/>
        <item m="1" x="737"/>
        <item m="1" x="783"/>
        <item m="1" x="827"/>
        <item m="1" x="462"/>
        <item m="1" x="849"/>
        <item m="1" x="687"/>
        <item m="1" x="601"/>
        <item m="1" x="727"/>
        <item m="1" x="668"/>
        <item m="1" x="94"/>
        <item m="1" x="599"/>
        <item m="1" x="420"/>
        <item m="1" x="366"/>
        <item m="1" x="34"/>
        <item m="1" x="9"/>
        <item m="1" x="96"/>
        <item m="1" x="296"/>
        <item m="1" x="854"/>
        <item m="1" x="517"/>
        <item m="1" x="440"/>
        <item m="1" x="805"/>
        <item m="1" x="607"/>
        <item m="1" x="297"/>
        <item m="1" x="698"/>
        <item m="1" x="252"/>
        <item m="1" x="852"/>
        <item m="1" x="90"/>
        <item m="1" x="264"/>
        <item m="1" x="728"/>
        <item m="1" x="390"/>
        <item m="1" x="556"/>
        <item m="1" x="250"/>
        <item m="1" x="772"/>
        <item m="1" x="847"/>
        <item m="1" x="608"/>
        <item m="1" x="413"/>
        <item m="1" x="476"/>
        <item m="1" x="551"/>
        <item m="1" x="589"/>
        <item m="1" x="88"/>
        <item m="1" x="566"/>
        <item m="1" x="655"/>
        <item m="1" x="414"/>
        <item m="1" x="571"/>
        <item m="1" x="73"/>
        <item m="1" x="435"/>
        <item m="1" x="15"/>
        <item m="1" x="114"/>
        <item m="1" x="85"/>
        <item m="1" x="212"/>
        <item m="1" x="469"/>
        <item m="1" x="786"/>
        <item m="1" x="652"/>
        <item m="1" x="189"/>
        <item m="1" x="262"/>
        <item m="1" x="731"/>
        <item m="1" x="741"/>
        <item m="1" x="593"/>
        <item m="1" x="71"/>
        <item m="1" x="739"/>
        <item m="1" x="715"/>
        <item m="1" x="532"/>
        <item m="1" x="359"/>
        <item m="1" x="177"/>
        <item m="1" x="554"/>
        <item m="1" x="219"/>
        <item m="1" x="285"/>
        <item t="default"/>
      </items>
    </pivotField>
    <pivotField showAll="0" insertBlankRow="1"/>
    <pivotField axis="axisRow" showAll="0" defaultSubtotal="0">
      <items count="51">
        <item m="1" x="28"/>
        <item m="1" x="19"/>
        <item m="1" x="17"/>
        <item m="1" x="30"/>
        <item m="1" x="9"/>
        <item m="1" x="5"/>
        <item m="1" x="6"/>
        <item m="1" x="20"/>
        <item m="1" x="25"/>
        <item m="1" x="50"/>
        <item m="1" x="29"/>
        <item m="1" x="37"/>
        <item m="1" x="33"/>
        <item m="1" x="8"/>
        <item m="1" x="36"/>
        <item m="1" x="27"/>
        <item m="1" x="10"/>
        <item m="1" x="32"/>
        <item m="1" x="12"/>
        <item m="1" x="13"/>
        <item m="1" x="45"/>
        <item m="1" x="24"/>
        <item m="1" x="48"/>
        <item m="1" x="40"/>
        <item x="0"/>
        <item m="1" x="44"/>
        <item m="1" x="41"/>
        <item m="1" x="11"/>
        <item m="1" x="34"/>
        <item m="1" x="42"/>
        <item m="1" x="7"/>
        <item m="1" x="18"/>
        <item m="1" x="15"/>
        <item m="1" x="35"/>
        <item m="1" x="38"/>
        <item m="1" x="22"/>
        <item m="1" x="21"/>
        <item m="1" x="26"/>
        <item m="1" x="47"/>
        <item m="1" x="2"/>
        <item m="1" x="3"/>
        <item m="1" x="31"/>
        <item m="1" x="23"/>
        <item m="1" x="14"/>
        <item m="1" x="16"/>
        <item m="1" x="49"/>
        <item m="1" x="1"/>
        <item m="1" x="4"/>
        <item m="1" x="39"/>
        <item m="1" x="46"/>
        <item m="1" x="43"/>
      </items>
    </pivotField>
    <pivotField showAll="0" insertBlankRow="1"/>
    <pivotField axis="axisRow" showAll="0" defaultSubtotal="0">
      <items count="76">
        <item m="1" x="37"/>
        <item m="1" x="17"/>
        <item m="1" x="36"/>
        <item m="1" x="1"/>
        <item m="1" x="55"/>
        <item m="1" x="34"/>
        <item m="1" x="33"/>
        <item m="1" x="73"/>
        <item m="1" x="54"/>
        <item m="1" x="72"/>
        <item m="1" x="53"/>
        <item m="1" x="12"/>
        <item m="1" x="69"/>
        <item m="1" x="74"/>
        <item m="1" x="31"/>
        <item m="1" x="70"/>
        <item m="1" x="51"/>
        <item m="1" x="29"/>
        <item x="0"/>
        <item m="1" x="49"/>
        <item m="1" x="28"/>
        <item m="1" x="10"/>
        <item m="1" x="67"/>
        <item m="1" x="47"/>
        <item m="1" x="64"/>
        <item m="1" x="44"/>
        <item m="1" x="23"/>
        <item m="1" x="7"/>
        <item m="1" x="63"/>
        <item m="1" x="26"/>
        <item m="1" x="66"/>
        <item m="1" x="46"/>
        <item m="1" x="24"/>
        <item m="1" x="43"/>
        <item m="1" x="22"/>
        <item m="1" x="6"/>
        <item m="1" x="21"/>
        <item m="1" x="62"/>
        <item m="1" x="41"/>
        <item m="1" x="4"/>
        <item m="1" x="58"/>
        <item m="1" x="38"/>
        <item m="1" x="61"/>
        <item m="1" x="20"/>
        <item m="1" x="39"/>
        <item m="1" x="56"/>
        <item m="1" x="75"/>
        <item m="1" x="2"/>
        <item m="1" x="14"/>
        <item m="1" x="16"/>
        <item m="1" x="32"/>
        <item m="1" x="50"/>
        <item m="1" x="15"/>
        <item m="1" x="13"/>
        <item m="1" x="71"/>
        <item m="1" x="52"/>
        <item m="1" x="30"/>
        <item m="1" x="65"/>
        <item m="1" x="45"/>
        <item m="1" x="68"/>
        <item m="1" x="8"/>
        <item m="1" x="11"/>
        <item m="1" x="25"/>
        <item m="1" x="27"/>
        <item m="1" x="48"/>
        <item m="1" x="42"/>
        <item m="1" x="9"/>
        <item m="1" x="60"/>
        <item m="1" x="3"/>
        <item m="1" x="59"/>
        <item m="1" x="5"/>
        <item m="1" x="18"/>
        <item m="1" x="19"/>
        <item m="1" x="40"/>
        <item m="1" x="35"/>
        <item m="1" x="57"/>
      </items>
    </pivotField>
    <pivotField showAll="0" insertBlankRow="1"/>
    <pivotField axis="axisPage" showAll="0" insertBlankRow="1">
      <items count="14">
        <item m="1" x="2"/>
        <item m="1" x="6"/>
        <item m="1" x="4"/>
        <item m="1" x="10"/>
        <item m="1" x="7"/>
        <item m="1" x="9"/>
        <item m="1" x="12"/>
        <item x="0"/>
        <item m="1" x="8"/>
        <item m="1" x="11"/>
        <item m="1" x="5"/>
        <item m="1" x="1"/>
        <item m="1" x="3"/>
        <item t="default"/>
      </items>
      <extLst>
        <ext xmlns:x14="http://schemas.microsoft.com/office/spreadsheetml/2009/9/main" uri="{2946ED86-A175-432a-8AC1-64E0C546D7DE}">
          <x14:pivotField fillDownLabels="1"/>
        </ext>
      </extLst>
    </pivotField>
    <pivotField showAll="0" insertBlankRow="1"/>
    <pivotField showAll="0" insertBlankRow="1"/>
    <pivotField showAll="0" insertBlankRow="1"/>
    <pivotField showAll="0" insertBlankRow="1"/>
    <pivotField showAll="0" insertBlankRow="1"/>
    <pivotField showAll="0" insertBlankRow="1"/>
    <pivotField showAll="0" insertBlankRow="1"/>
    <pivotField showAll="0" insertBlankRow="1"/>
    <pivotField showAll="0" insertBlankRow="1"/>
    <pivotField showAll="0" insertBlankRow="1"/>
    <pivotField showAll="0" insertBlankRow="1"/>
    <pivotField showAll="0" insertBlankRow="1"/>
    <pivotField showAll="0" insertBlankRow="1"/>
    <pivotField showAll="0" insertBlankRow="1"/>
  </pivotFields>
  <rowFields count="7">
    <field x="12"/>
    <field x="1"/>
    <field x="0"/>
    <field x="6"/>
    <field x="15"/>
    <field x="17"/>
    <field x="19"/>
  </rowFields>
  <rowItems count="33">
    <i>
      <x v="7"/>
    </i>
    <i r="1">
      <x v="9"/>
    </i>
    <i r="2">
      <x v="5"/>
    </i>
    <i r="3">
      <x v="38"/>
    </i>
    <i r="4">
      <x v="81"/>
    </i>
    <i r="5">
      <x v="24"/>
    </i>
    <i r="6">
      <x v="18"/>
    </i>
    <i t="blank" r="4">
      <x v="81"/>
    </i>
    <i r="2">
      <x v="6"/>
    </i>
    <i r="3">
      <x v="38"/>
    </i>
    <i r="4">
      <x v="81"/>
    </i>
    <i r="5">
      <x v="24"/>
    </i>
    <i r="6">
      <x v="18"/>
    </i>
    <i t="blank" r="4">
      <x v="81"/>
    </i>
    <i r="2">
      <x v="83"/>
    </i>
    <i r="3">
      <x v="38"/>
    </i>
    <i r="4">
      <x v="81"/>
    </i>
    <i r="5">
      <x v="24"/>
    </i>
    <i r="6">
      <x v="18"/>
    </i>
    <i t="blank" r="4">
      <x v="81"/>
    </i>
    <i r="2">
      <x v="830"/>
    </i>
    <i r="3">
      <x v="170"/>
    </i>
    <i r="4">
      <x v="81"/>
    </i>
    <i r="5">
      <x v="24"/>
    </i>
    <i r="6">
      <x v="18"/>
    </i>
    <i t="blank" r="4">
      <x v="81"/>
    </i>
    <i r="2">
      <x v="831"/>
    </i>
    <i r="3">
      <x v="38"/>
    </i>
    <i r="4">
      <x v="81"/>
    </i>
    <i r="5">
      <x v="24"/>
    </i>
    <i r="6">
      <x v="18"/>
    </i>
    <i t="blank" r="4">
      <x v="81"/>
    </i>
    <i t="grand">
      <x/>
    </i>
  </rowItems>
  <colItems count="1">
    <i/>
  </colItems>
  <pageFields count="1">
    <pageField fld="21" item="7" hier="-1"/>
  </pageFields>
  <formats count="3">
    <format dxfId="13">
      <pivotArea type="all" dataOnly="0" outline="0" fieldPosition="0"/>
    </format>
    <format dxfId="12">
      <pivotArea type="all" dataOnly="0" outline="0" fieldPosition="0"/>
    </format>
    <format dxfId="11">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ivotTable2" cacheId="18" applyNumberFormats="0" applyBorderFormats="0" applyFontFormats="0" applyPatternFormats="0" applyAlignmentFormats="0" applyWidthHeightFormats="1" dataCaption="Values" missingCaption=" " updatedVersion="8" minRefreshableVersion="3" useAutoFormatting="1" rowGrandTotals="0" colGrandTotals="0" itemPrintTitles="1" mergeItem="1" createdVersion="4" indent="0" outline="1" outlineData="1" multipleFieldFilters="0" rowHeaderCaption="Case by Case Basis">
  <location ref="A3:A14" firstHeaderRow="1" firstDataRow="1" firstDataCol="1" rowPageCount="1" colPageCount="1"/>
  <pivotFields count="36">
    <pivotField axis="axisRow" showAll="0" insertBlankRow="1" sortType="ascending" defaultSubtotal="0">
      <items count="832">
        <item x="0"/>
        <item m="1" x="346"/>
        <item m="1" x="710"/>
        <item m="1" x="238"/>
        <item x="1"/>
        <item m="1" x="169"/>
        <item m="1" x="242"/>
        <item x="2"/>
        <item x="3"/>
        <item m="1" x="670"/>
        <item m="1" x="646"/>
        <item m="1" x="244"/>
        <item m="1" x="794"/>
        <item m="1" x="596"/>
        <item m="1" x="582"/>
        <item m="1" x="569"/>
        <item m="1" x="553"/>
        <item m="1" x="538"/>
        <item m="1" x="527"/>
        <item m="1" x="513"/>
        <item m="1" x="493"/>
        <item m="1" x="480"/>
        <item m="1" x="66"/>
        <item m="1" x="467"/>
        <item m="1" x="49"/>
        <item m="1" x="451"/>
        <item m="1" x="37"/>
        <item m="1" x="437"/>
        <item m="1" x="501"/>
        <item m="1" x="248"/>
        <item m="1" x="84"/>
        <item m="1" x="656"/>
        <item m="1" x="11"/>
        <item m="1" x="411"/>
        <item m="1" x="822"/>
        <item m="1" x="57"/>
        <item m="1" x="631"/>
        <item m="1" x="807"/>
        <item m="1" x="385"/>
        <item m="1" x="790"/>
        <item m="1" x="371"/>
        <item m="1" x="446"/>
        <item m="1" x="229"/>
        <item m="1" x="776"/>
        <item m="1" x="165"/>
        <item m="1" x="356"/>
        <item m="1" x="571"/>
        <item m="1" x="761"/>
        <item m="1" x="150"/>
        <item m="1" x="339"/>
        <item m="1" x="554"/>
        <item m="1" x="747"/>
        <item m="1" x="136"/>
        <item m="1" x="323"/>
        <item m="1" x="539"/>
        <item m="1" x="735"/>
        <item m="1" x="121"/>
        <item m="1" x="309"/>
        <item m="1" x="528"/>
        <item m="1" x="723"/>
        <item m="1" x="799"/>
        <item m="1" x="587"/>
        <item m="1" x="454"/>
        <item m="1" x="299"/>
        <item m="1" x="514"/>
        <item m="1" x="590"/>
        <item m="1" x="362"/>
        <item m="1" x="94"/>
        <item m="1" x="288"/>
        <item m="1" x="494"/>
        <item m="1" x="697"/>
        <item m="1" x="79"/>
        <item m="1" x="276"/>
        <item m="1" x="481"/>
        <item m="1" x="685"/>
        <item m="1" x="67"/>
        <item m="1" x="264"/>
        <item m="1" x="364"/>
        <item m="1" x="468"/>
        <item m="1" x="47"/>
        <item m="1" x="440"/>
        <item m="1" x="671"/>
        <item m="1" x="768"/>
        <item m="1" x="50"/>
        <item m="1" x="158"/>
        <item m="1" x="251"/>
        <item m="1" x="349"/>
        <item m="1" x="658"/>
        <item m="1" x="227"/>
        <item m="1" x="452"/>
        <item m="1" x="563"/>
        <item m="1" x="660"/>
        <item m="1" x="754"/>
        <item m="1" x="38"/>
        <item m="1" x="144"/>
        <item m="1" x="545"/>
        <item m="1" x="118"/>
        <item m="1" x="333"/>
        <item m="1" x="438"/>
        <item m="1" x="548"/>
        <item m="1" x="647"/>
        <item m="1" x="742"/>
        <item m="1" x="24"/>
        <item m="1" x="423"/>
        <item m="1" x="826"/>
        <item m="1" x="224"/>
        <item m="1" x="319"/>
        <item m="1" x="425"/>
        <item m="1" x="8"/>
        <item m="1" x="403"/>
        <item m="1" x="706"/>
        <item m="1" x="115"/>
        <item m="1" x="507"/>
        <item m="1" x="730"/>
        <item m="1" x="12"/>
        <item m="1" x="116"/>
        <item m="1" x="213"/>
        <item m="1" x="306"/>
        <item m="1" x="412"/>
        <item m="1" x="523"/>
        <item m="1" x="100"/>
        <item m="1" x="491"/>
        <item m="1" x="718"/>
        <item m="1" x="823"/>
        <item m="1" x="103"/>
        <item m="1" x="204"/>
        <item m="1" x="609"/>
        <item m="1" x="185"/>
        <item m="1" x="475"/>
        <item m="1" x="774"/>
        <item m="1" x="400"/>
        <item m="1" x="504"/>
        <item m="1" x="611"/>
        <item m="1" x="705"/>
        <item m="1" x="808"/>
        <item m="1" x="88"/>
        <item m="1" x="194"/>
        <item m="1" x="285"/>
        <item m="1" x="386"/>
        <item m="1" x="787"/>
        <item m="1" x="360"/>
        <item m="1" x="598"/>
        <item m="1" x="693"/>
        <item m="1" x="791"/>
        <item m="1" x="74"/>
        <item m="1" x="181"/>
        <item m="1" x="270"/>
        <item m="1" x="372"/>
        <item m="1" x="772"/>
        <item m="1" x="345"/>
        <item m="1" x="653"/>
        <item m="1" x="583"/>
        <item m="1" x="56"/>
        <item m="1" x="448"/>
        <item m="1" x="680"/>
        <item m="1" x="254"/>
        <item m="1" x="655"/>
        <item m="1" x="61"/>
        <item m="1" x="167"/>
        <item m="1" x="354"/>
        <item m="1" x="516"/>
        <item m="1" x="257"/>
        <item m="1" x="457"/>
        <item m="1" x="616"/>
        <item m="1" x="358"/>
        <item m="1" x="408"/>
        <item m="1" x="461"/>
        <item m="1" x="520"/>
        <item m="1" x="573"/>
        <item m="1" x="620"/>
        <item m="1" x="815"/>
        <item m="1" x="147"/>
        <item m="1" x="715"/>
        <item m="1" x="763"/>
        <item m="1" x="818"/>
        <item m="1" x="200"/>
        <item m="1" x="336"/>
        <item m="1" x="98"/>
        <item m="1" x="152"/>
        <item m="1" x="202"/>
        <item m="1" x="245"/>
        <item m="1" x="292"/>
        <item m="1" x="341"/>
        <item m="1" x="397"/>
        <item m="1" x="443"/>
        <item m="1" x="499"/>
        <item m="1" x="557"/>
        <item m="1" x="607"/>
        <item m="1" x="652"/>
        <item m="1" x="701"/>
        <item m="1" x="749"/>
        <item m="1" x="134"/>
        <item m="1" x="279"/>
        <item m="1" x="428"/>
        <item m="1" x="30"/>
        <item m="1" x="230"/>
        <item m="1" x="378"/>
        <item m="1" x="138"/>
        <item m="1" x="190"/>
        <item m="1" x="232"/>
        <item m="1" x="281"/>
        <item m="1" x="325"/>
        <item m="1" x="380"/>
        <item m="1" x="431"/>
        <item m="1" x="484"/>
        <item m="1" x="687"/>
        <item m="1" x="16"/>
        <item m="1" x="174"/>
        <item m="1" x="734"/>
        <item m="1" x="69"/>
        <item m="1" x="639"/>
        <item m="1" x="689"/>
        <item m="1" x="70"/>
        <item m="1" x="217"/>
        <item m="1" x="785"/>
        <item m="1" x="18"/>
        <item m="1" x="72"/>
        <item m="1" x="123"/>
        <item m="1" x="178"/>
        <item m="1" x="219"/>
        <item m="1" x="267"/>
        <item m="1" x="310"/>
        <item m="1" x="366"/>
        <item m="1" x="417"/>
        <item m="1" x="470"/>
        <item m="1" x="529"/>
        <item m="1" x="722"/>
        <item m="1" x="52"/>
        <item m="1" x="627"/>
        <item m="1" x="675"/>
        <item m="1" x="724"/>
        <item m="1" x="770"/>
        <item m="1" x="829"/>
        <item m="1" x="54"/>
        <item m="1" x="107"/>
        <item m="1" x="162"/>
        <item m="1" x="351"/>
        <item m="1" x="510"/>
        <item m="1" x="253"/>
        <item m="1" x="300"/>
        <item m="1" x="352"/>
        <item m="1" x="404"/>
        <item m="1" x="455"/>
        <item m="1" x="515"/>
        <item m="1" x="566"/>
        <item m="1" x="615"/>
        <item m="1" x="663"/>
        <item m="1" x="711"/>
        <item m="1" x="93"/>
        <item m="1" x="239"/>
        <item m="1" x="389"/>
        <item m="1" x="812"/>
        <item m="1" x="40"/>
        <item m="1" x="240"/>
        <item m="1" x="392"/>
        <item m="1" x="549"/>
        <item m="1" x="783"/>
        <item m="1" x="120"/>
        <item m="1" x="146"/>
        <item m="1" x="198"/>
        <item m="1" x="241"/>
        <item m="1" x="289"/>
        <item m="1" x="335"/>
        <item m="1" x="393"/>
        <item m="1" x="603"/>
        <item m="1" x="744"/>
        <item m="1" x="77"/>
        <item m="1" x="495"/>
        <item m="1" x="551"/>
        <item m="1" x="604"/>
        <item m="1" x="649"/>
        <item m="1" x="698"/>
        <item m="1" x="745"/>
        <item m="1" x="797"/>
        <item m="1" x="26"/>
        <item m="1" x="80"/>
        <item m="1" x="131"/>
        <item m="1" x="188"/>
        <item m="1" x="228"/>
        <item m="1" x="277"/>
        <item m="1" x="322"/>
        <item m="1" x="377"/>
        <item m="1" x="429"/>
        <item m="1" x="482"/>
        <item m="1" x="537"/>
        <item m="1" x="589"/>
        <item m="1" x="636"/>
        <item m="1" x="686"/>
        <item m="1" x="733"/>
        <item m="1" x="782"/>
        <item m="1" x="15"/>
        <item m="1" x="68"/>
        <item m="1" x="119"/>
        <item m="1" x="175"/>
        <item m="1" x="216"/>
        <item m="1" x="265"/>
        <item m="1" x="308"/>
        <item m="1" x="365"/>
        <item m="1" x="415"/>
        <item m="1" x="469"/>
        <item m="1" x="526"/>
        <item m="1" x="578"/>
        <item m="1" x="626"/>
        <item m="1" x="672"/>
        <item m="1" x="721"/>
        <item m="1" x="769"/>
        <item m="1" x="827"/>
        <item m="1" x="51"/>
        <item m="1" x="78"/>
        <item m="1" x="106"/>
        <item m="1" x="130"/>
        <item m="1" x="159"/>
        <item m="1" x="187"/>
        <item m="1" x="206"/>
        <item m="1" x="226"/>
        <item m="1" x="252"/>
        <item m="1" x="275"/>
        <item m="1" x="298"/>
        <item m="1" x="321"/>
        <item m="1" x="350"/>
        <item m="1" x="793"/>
        <item m="1" x="508"/>
        <item m="1" x="376"/>
        <item m="1" x="23"/>
        <item m="1" x="562"/>
        <item m="1" x="427"/>
        <item m="1" x="453"/>
        <item m="1" x="479"/>
        <item m="1" x="509"/>
        <item m="1" x="536"/>
        <item m="1" x="564"/>
        <item m="1" x="588"/>
        <item m="1" x="614"/>
        <item m="1" x="635"/>
        <item m="1" x="661"/>
        <item m="1" x="295"/>
        <item m="1" x="13"/>
        <item m="1" x="316"/>
        <item m="1" x="36"/>
        <item m="1" x="732"/>
        <item m="1" x="755"/>
        <item m="1" x="781"/>
        <item m="1" x="811"/>
        <item m="1" x="14"/>
        <item m="1" x="39"/>
        <item m="1" x="65"/>
        <item m="1" x="92"/>
        <item m="1" x="559"/>
        <item m="1" x="262"/>
        <item m="1" x="796"/>
        <item m="1" x="145"/>
        <item m="1" x="173"/>
        <item m="1" x="197"/>
        <item m="1" x="215"/>
        <item m="1" x="237"/>
        <item m="1" x="263"/>
        <item m="1" x="728"/>
        <item m="1" x="436"/>
        <item m="1" x="307"/>
        <item m="1" x="334"/>
        <item m="1" x="363"/>
        <item m="1" x="390"/>
        <item m="1" x="414"/>
        <item m="1" x="439"/>
        <item m="1" x="466"/>
        <item m="1" x="492"/>
        <item m="1" x="525"/>
        <item m="1" x="550"/>
        <item m="1" x="577"/>
        <item m="1" x="601"/>
        <item m="1" x="625"/>
        <item m="1" x="648"/>
        <item m="1" x="669"/>
        <item m="1" x="696"/>
        <item m="1" x="720"/>
        <item m="1" x="743"/>
        <item m="1" x="767"/>
        <item m="1" x="409"/>
        <item m="1" x="128"/>
        <item m="1" x="825"/>
        <item m="1" x="25"/>
        <item m="1" x="48"/>
        <item m="1" x="521"/>
        <item m="1" x="223"/>
        <item m="1" x="756"/>
        <item m="1" x="373"/>
        <item m="1" x="91"/>
        <item m="1" x="105"/>
        <item m="1" x="129"/>
        <item m="1" x="157"/>
        <item m="1" x="622"/>
        <item m="1" x="318"/>
        <item m="1" x="643"/>
        <item m="1" x="225"/>
        <item m="1" x="250"/>
        <item m="1" x="274"/>
        <item m="1" x="297"/>
        <item m="1" x="320"/>
        <item m="1" x="348"/>
        <item m="1" x="375"/>
        <item m="1" x="402"/>
        <item m="1" x="426"/>
        <item m="1" x="450"/>
        <item m="1" x="478"/>
        <item m="1" x="506"/>
        <item m="1" x="154"/>
        <item m="1" x="683"/>
        <item m="1" x="391"/>
        <item m="1" x="9"/>
        <item m="1" x="547"/>
        <item m="1" x="561"/>
        <item m="1" x="586"/>
        <item m="1" x="613"/>
        <item m="1" x="634"/>
        <item m="1" x="659"/>
        <item m="1" x="684"/>
        <item m="1" x="708"/>
        <item m="1" x="731"/>
        <item m="1" x="753"/>
        <item m="1" x="780"/>
        <item m="1" x="810"/>
        <item m="1" x="445"/>
        <item m="1" x="171"/>
        <item m="1" x="35"/>
        <item m="1" x="64"/>
        <item m="1" x="90"/>
        <item m="1" x="117"/>
        <item m="1" x="143"/>
        <item m="1" x="172"/>
        <item m="1" x="196"/>
        <item m="1" x="214"/>
        <item m="1" x="236"/>
        <item m="1" x="261"/>
        <item m="1" x="287"/>
        <item m="1" x="751"/>
        <item m="1" x="464"/>
        <item m="1" x="186"/>
        <item m="1" x="332"/>
        <item m="1" x="361"/>
        <item m="1" x="388"/>
        <item m="1" x="413"/>
        <item m="1" x="435"/>
        <item m="1" x="465"/>
        <item m="1" x="490"/>
        <item m="1" x="524"/>
        <item m="1" x="546"/>
        <item m="1" x="576"/>
        <item m="1" x="600"/>
        <item m="1" x="624"/>
        <item m="1" x="645"/>
        <item m="1" x="668"/>
        <item m="1" x="695"/>
        <item m="1" x="719"/>
        <item m="1" x="741"/>
        <item m="1" x="766"/>
        <item m="1" x="795"/>
        <item m="1" x="824"/>
        <item m="1" x="459"/>
        <item m="1" x="183"/>
        <item m="1" x="709"/>
        <item m="1" x="313"/>
        <item m="1" x="46"/>
        <item m="1" x="76"/>
        <item m="1" x="104"/>
        <item m="1" x="127"/>
        <item m="1" x="156"/>
        <item m="1" x="184"/>
        <item m="1" x="205"/>
        <item m="1" x="222"/>
        <item m="1" x="249"/>
        <item m="1" x="273"/>
        <item m="1" x="296"/>
        <item m="1" x="317"/>
        <item m="1" x="347"/>
        <item m="1" x="374"/>
        <item m="1" x="401"/>
        <item m="1" x="424"/>
        <item m="1" x="449"/>
        <item m="1" x="477"/>
        <item m="1" x="505"/>
        <item m="1" x="535"/>
        <item m="1" x="560"/>
        <item m="1" x="585"/>
        <item m="1" x="612"/>
        <item m="1" x="633"/>
        <item m="1" x="657"/>
        <item m="1" x="682"/>
        <item m="1" x="707"/>
        <item m="1" x="729"/>
        <item m="1" x="368"/>
        <item m="1" x="87"/>
        <item m="1" x="779"/>
        <item m="1" x="809"/>
        <item m="1" x="10"/>
        <item m="1" x="34"/>
        <item m="1" x="63"/>
        <item m="1" x="89"/>
        <item m="1" x="555"/>
        <item m="1" x="259"/>
        <item m="1" x="142"/>
        <item m="1" x="170"/>
        <item m="1" x="195"/>
        <item m="1" x="212"/>
        <item m="1" x="234"/>
        <item m="1" x="260"/>
        <item m="1" x="286"/>
        <item m="1" x="305"/>
        <item m="1" x="331"/>
        <item m="1" x="359"/>
        <item m="1" x="387"/>
        <item m="1" x="410"/>
        <item m="1" x="434"/>
        <item m="1" x="463"/>
        <item m="1" x="489"/>
        <item m="1" x="522"/>
        <item m="1" x="544"/>
        <item m="1" x="575"/>
        <item m="1" x="599"/>
        <item m="1" x="623"/>
        <item m="1" x="644"/>
        <item m="1" x="280"/>
        <item m="1" x="820"/>
        <item m="1" x="694"/>
        <item m="1" x="717"/>
        <item m="1" x="740"/>
        <item m="1" x="765"/>
        <item m="1" x="792"/>
        <item m="1" x="821"/>
        <item m="1" x="22"/>
        <item m="1" x="45"/>
        <item m="1" x="75"/>
        <item m="1" x="102"/>
        <item m="1" x="126"/>
        <item m="1" x="155"/>
        <item m="1" x="182"/>
        <item m="1" x="637"/>
        <item m="1" x="343"/>
        <item m="1" x="221"/>
        <item m="1" x="247"/>
        <item m="1" x="271"/>
        <item m="1" x="294"/>
        <item m="1" x="315"/>
        <item m="1" x="344"/>
        <item m="1" x="813"/>
        <item m="1" x="533"/>
        <item m="1" x="235"/>
        <item m="1" x="677"/>
        <item m="1" x="399"/>
        <item m="1" x="422"/>
        <item m="1" x="447"/>
        <item m="1" x="476"/>
        <item m="1" x="503"/>
        <item m="1" x="534"/>
        <item m="1" x="176"/>
        <item m="1" x="703"/>
        <item m="1" x="584"/>
        <item m="1" x="610"/>
        <item m="1" x="632"/>
        <item m="1" x="654"/>
        <item m="1" x="681"/>
        <item m="1" x="704"/>
        <item m="1" x="337"/>
        <item m="1" x="60"/>
        <item m="1" x="752"/>
        <item m="1" x="394"/>
        <item m="1" x="111"/>
        <item m="1" x="806"/>
        <item m="1" x="7"/>
        <item m="1" x="33"/>
        <item m="1" x="62"/>
        <item m="1" x="86"/>
        <item m="1" x="114"/>
        <item m="1" x="141"/>
        <item m="1" x="168"/>
        <item m="1" x="193"/>
        <item m="1" x="211"/>
        <item m="1" x="674"/>
        <item m="1" x="382"/>
        <item m="1" x="258"/>
        <item m="1" x="284"/>
        <item m="1" x="304"/>
        <item m="1" x="330"/>
        <item m="1" x="798"/>
        <item m="1" x="519"/>
        <item m="1" x="828"/>
        <item m="1" x="541"/>
        <item m="1" x="27"/>
        <item m="1" x="570"/>
        <item m="1" x="272"/>
        <item m="1" x="53"/>
        <item m="1" x="593"/>
        <item m="1" x="462"/>
        <item m="1" x="487"/>
        <item m="1" x="133"/>
        <item m="1" x="666"/>
        <item m="1" x="543"/>
        <item m="1" x="574"/>
        <item m="1" x="595"/>
        <item m="1" x="621"/>
        <item m="1" x="642"/>
        <item m="1" x="667"/>
        <item m="1" x="692"/>
        <item m="1" x="716"/>
        <item m="1" x="739"/>
        <item m="1" x="764"/>
        <item m="1" x="777"/>
        <item m="1" x="789"/>
        <item m="1" x="804"/>
        <item m="1" x="819"/>
        <item m="1" x="6"/>
        <item m="1" x="21"/>
        <item m="1" x="32"/>
        <item m="1" x="44"/>
        <item m="1" x="314"/>
        <item m="1" x="496"/>
        <item m="1" x="758"/>
        <item m="1" x="73"/>
        <item m="1" x="85"/>
        <item m="1" x="99"/>
        <item m="1" x="112"/>
        <item m="1" x="125"/>
        <item m="1" x="140"/>
        <item m="1" x="153"/>
        <item m="1" x="166"/>
        <item m="1" x="180"/>
        <item m="1" x="192"/>
        <item m="1" x="203"/>
        <item m="1" x="210"/>
        <item m="1" x="488"/>
        <item m="1" x="662"/>
        <item m="1" x="502"/>
        <item m="1" x="673"/>
        <item m="1" x="246"/>
        <item m="1" x="256"/>
        <item m="1" x="269"/>
        <item m="1" x="283"/>
        <item m="1" x="293"/>
        <item m="1" x="303"/>
        <item m="1" x="597"/>
        <item m="1" x="757"/>
        <item m="1" x="207"/>
        <item m="1" x="472"/>
        <item m="1" x="328"/>
        <item m="1" x="342"/>
        <item m="1" x="357"/>
        <item m="1" x="370"/>
        <item m="1" x="384"/>
        <item m="1" x="398"/>
        <item m="1" x="407"/>
        <item m="1" x="421"/>
        <item m="1" x="433"/>
        <item m="1" x="444"/>
        <item m="1" x="460"/>
        <item m="1" x="474"/>
        <item m="1" x="486"/>
        <item m="1" x="500"/>
        <item m="1" x="778"/>
        <item m="1" x="132"/>
        <item m="1" x="532"/>
        <item m="1" x="542"/>
        <item m="1" x="805"/>
        <item m="1" x="161"/>
        <item m="1" x="558"/>
        <item m="1" x="572"/>
        <item m="1" x="581"/>
        <item m="1" x="594"/>
        <item m="1" x="608"/>
        <item m="1" x="619"/>
        <item m="1" x="630"/>
        <item m="1" x="641"/>
        <item m="1" x="101"/>
        <item m="1" x="266"/>
        <item m="1" x="113"/>
        <item m="1" x="278"/>
        <item m="1" x="679"/>
        <item m="1" x="691"/>
        <item m="1" x="702"/>
        <item m="1" x="714"/>
        <item m="1" x="727"/>
        <item m="1" x="738"/>
        <item m="1" x="750"/>
        <item m="1" x="762"/>
        <item m="1" x="775"/>
        <item m="1" x="788"/>
        <item m="1" x="802"/>
        <item m="1" x="817"/>
        <item m="1" x="5"/>
        <item m="1" x="20"/>
        <item m="1" x="31"/>
        <item m="1" x="43"/>
        <item m="1" x="59"/>
        <item m="1" x="329"/>
        <item m="1" x="512"/>
        <item m="1" x="83"/>
        <item m="1" x="97"/>
        <item m="1" x="110"/>
        <item m="1" x="124"/>
        <item m="1" x="139"/>
        <item m="1" x="151"/>
        <item m="1" x="164"/>
        <item m="1" x="179"/>
        <item m="1" x="191"/>
        <item m="1" x="201"/>
        <item m="1" x="209"/>
        <item m="1" x="220"/>
        <item m="1" x="233"/>
        <item m="1" x="243"/>
        <item m="1" x="255"/>
        <item m="1" x="268"/>
        <item m="1" x="282"/>
        <item m="1" x="291"/>
        <item m="1" x="302"/>
        <item m="1" x="312"/>
        <item m="1" x="326"/>
        <item m="1" x="340"/>
        <item m="1" x="355"/>
        <item m="1" x="369"/>
        <item m="1" x="381"/>
        <item m="1" x="396"/>
        <item m="1" x="406"/>
        <item m="1" x="420"/>
        <item m="1" x="432"/>
        <item m="1" x="442"/>
        <item m="1" x="458"/>
        <item m="1" x="473"/>
        <item m="1" x="485"/>
        <item m="1" x="498"/>
        <item m="1" x="518"/>
        <item m="1" x="531"/>
        <item m="1" x="803"/>
        <item m="1" x="160"/>
        <item m="1" x="416"/>
        <item m="1" x="556"/>
        <item m="1" x="568"/>
        <item m="1" x="580"/>
        <item m="1" x="592"/>
        <item m="1" x="606"/>
        <item m="1" x="618"/>
        <item m="1" x="629"/>
        <item m="1" x="640"/>
        <item m="1" x="651"/>
        <item m="1" x="665"/>
        <item m="1" x="678"/>
        <item m="1" x="690"/>
        <item m="1" x="700"/>
        <item m="1" x="713"/>
        <item m="1" x="726"/>
        <item m="1" x="737"/>
        <item m="1" x="748"/>
        <item m="1" x="760"/>
        <item m="1" x="773"/>
        <item m="1" x="786"/>
        <item m="1" x="801"/>
        <item m="1" x="816"/>
        <item m="1" x="831"/>
        <item m="1" x="19"/>
        <item m="1" x="29"/>
        <item m="1" x="42"/>
        <item m="1" x="58"/>
        <item m="1" x="327"/>
        <item m="1" x="511"/>
        <item m="1" x="82"/>
        <item m="1" x="96"/>
        <item m="1" x="109"/>
        <item m="1" x="383"/>
        <item m="1" x="565"/>
        <item m="1" x="137"/>
        <item m="1" x="149"/>
        <item m="1" x="163"/>
        <item m="1" x="290"/>
        <item m="1" x="301"/>
        <item m="1" x="311"/>
        <item m="1" x="324"/>
        <item m="1" x="338"/>
        <item m="1" x="353"/>
        <item m="1" x="367"/>
        <item m="1" x="379"/>
        <item m="1" x="395"/>
        <item m="1" x="405"/>
        <item m="1" x="418"/>
        <item m="1" x="430"/>
        <item m="1" x="441"/>
        <item m="1" x="456"/>
        <item m="1" x="471"/>
        <item m="1" x="483"/>
        <item m="1" x="497"/>
        <item m="1" x="517"/>
        <item m="1" x="530"/>
        <item m="1" x="540"/>
        <item m="1" x="552"/>
        <item m="1" x="567"/>
        <item m="1" x="579"/>
        <item m="1" x="591"/>
        <item m="1" x="605"/>
        <item m="1" x="617"/>
        <item m="1" x="628"/>
        <item m="1" x="638"/>
        <item m="1" x="650"/>
        <item m="1" x="664"/>
        <item m="1" x="676"/>
        <item m="1" x="688"/>
        <item m="1" x="699"/>
        <item m="1" x="712"/>
        <item m="1" x="725"/>
        <item m="1" x="736"/>
        <item m="1" x="746"/>
        <item m="1" x="759"/>
        <item m="1" x="771"/>
        <item m="1" x="784"/>
        <item m="1" x="800"/>
        <item m="1" x="814"/>
        <item m="1" x="830"/>
        <item m="1" x="17"/>
        <item m="1" x="28"/>
        <item m="1" x="41"/>
        <item m="1" x="55"/>
        <item m="1" x="71"/>
        <item m="1" x="81"/>
        <item m="1" x="95"/>
        <item m="1" x="108"/>
        <item m="1" x="122"/>
        <item m="1" x="135"/>
        <item m="1" x="148"/>
        <item m="1" x="419"/>
        <item m="1" x="602"/>
        <item m="1" x="177"/>
        <item m="1" x="189"/>
        <item m="1" x="199"/>
        <item m="1" x="208"/>
        <item m="1" x="218"/>
        <item m="1" x="231"/>
        <item x="4"/>
      </items>
    </pivotField>
    <pivotField showAll="0" insertBlankRow="1"/>
    <pivotField axis="axisRow" showAll="0" insertBlankRow="1">
      <items count="190">
        <item m="1" x="60"/>
        <item m="1" x="13"/>
        <item m="1" x="151"/>
        <item m="1" x="103"/>
        <item m="1" x="55"/>
        <item m="1" x="9"/>
        <item m="1" x="146"/>
        <item m="1" x="99"/>
        <item m="1" x="51"/>
        <item m="1" x="5"/>
        <item m="1" x="142"/>
        <item m="1" x="95"/>
        <item m="1" x="47"/>
        <item m="1" x="2"/>
        <item m="1" x="140"/>
        <item m="1" x="93"/>
        <item m="1" x="45"/>
        <item m="1" x="187"/>
        <item m="1" x="89"/>
        <item m="1" x="41"/>
        <item x="0"/>
        <item m="1" x="134"/>
        <item m="1" x="183"/>
        <item m="1" x="38"/>
        <item m="1" x="86"/>
        <item m="1" x="180"/>
        <item m="1" x="82"/>
        <item m="1" x="132"/>
        <item m="1" x="35"/>
        <item m="1" x="177"/>
        <item m="1" x="129"/>
        <item m="1" x="43"/>
        <item m="1" x="136"/>
        <item m="1" x="91"/>
        <item m="1" x="36"/>
        <item m="1" x="39"/>
        <item m="1" x="84"/>
        <item m="1" x="185"/>
        <item m="1" x="178"/>
        <item m="1" x="130"/>
        <item m="1" x="80"/>
        <item m="1" x="175"/>
        <item m="1" x="127"/>
        <item m="1" x="33"/>
        <item m="1" x="78"/>
        <item m="1" x="30"/>
        <item m="1" x="172"/>
        <item m="1" x="26"/>
        <item m="1" x="123"/>
        <item m="1" x="168"/>
        <item m="1" x="71"/>
        <item m="1" x="119"/>
        <item m="1" x="22"/>
        <item m="1" x="163"/>
        <item m="1" x="115"/>
        <item m="1" x="125"/>
        <item m="1" x="76"/>
        <item m="1" x="28"/>
        <item m="1" x="170"/>
        <item m="1" x="121"/>
        <item m="1" x="166"/>
        <item m="1" x="73"/>
        <item m="1" x="24"/>
        <item m="1" x="117"/>
        <item m="1" x="69"/>
        <item m="1" x="161"/>
        <item m="1" x="113"/>
        <item m="1" x="21"/>
        <item m="1" x="159"/>
        <item m="1" x="164"/>
        <item m="1" x="67"/>
        <item m="1" x="19"/>
        <item m="1" x="64"/>
        <item m="1" x="111"/>
        <item m="1" x="155"/>
        <item m="1" x="107"/>
        <item m="1" x="17"/>
        <item m="1" x="59"/>
        <item m="1" x="12"/>
        <item m="1" x="150"/>
        <item m="1" x="4"/>
        <item m="1" x="54"/>
        <item m="1" x="102"/>
        <item m="1" x="8"/>
        <item m="1" x="145"/>
        <item m="1" x="98"/>
        <item m="1" x="50"/>
        <item m="1" x="157"/>
        <item m="1" x="109"/>
        <item m="1" x="62"/>
        <item m="1" x="153"/>
        <item m="1" x="105"/>
        <item m="1" x="15"/>
        <item m="1" x="57"/>
        <item m="1" x="148"/>
        <item m="1" x="11"/>
        <item m="1" x="52"/>
        <item m="1" x="100"/>
        <item m="1" x="6"/>
        <item m="1" x="143"/>
        <item m="1" x="48"/>
        <item m="1" x="3"/>
        <item m="1" x="96"/>
        <item m="1" x="141"/>
        <item m="1" x="46"/>
        <item m="1" x="94"/>
        <item m="1" x="188"/>
        <item m="1" x="138"/>
        <item m="1" x="184"/>
        <item m="1" x="90"/>
        <item m="1" x="42"/>
        <item m="1" x="87"/>
        <item m="1" x="135"/>
        <item m="1" x="181"/>
        <item m="1" x="133"/>
        <item m="1" x="83"/>
        <item m="1" x="92"/>
        <item m="1" x="1"/>
        <item m="1" x="44"/>
        <item m="1" x="139"/>
        <item m="1" x="186"/>
        <item m="1" x="137"/>
        <item m="1" x="88"/>
        <item m="1" x="182"/>
        <item m="1" x="85"/>
        <item m="1" x="40"/>
        <item m="1" x="37"/>
        <item m="1" x="179"/>
        <item m="1" x="131"/>
        <item m="1" x="81"/>
        <item m="1" x="34"/>
        <item m="1" x="176"/>
        <item m="1" x="128"/>
        <item m="1" x="79"/>
        <item m="1" x="31"/>
        <item m="1" x="75"/>
        <item m="1" x="124"/>
        <item m="1" x="27"/>
        <item m="1" x="169"/>
        <item m="1" x="120"/>
        <item m="1" x="173"/>
        <item m="1" x="72"/>
        <item m="1" x="23"/>
        <item m="1" x="116"/>
        <item m="1" x="165"/>
        <item m="1" x="32"/>
        <item m="1" x="126"/>
        <item m="1" x="174"/>
        <item m="1" x="77"/>
        <item m="1" x="122"/>
        <item m="1" x="29"/>
        <item m="1" x="171"/>
        <item m="1" x="74"/>
        <item m="1" x="25"/>
        <item m="1" x="167"/>
        <item m="1" x="118"/>
        <item m="1" x="70"/>
        <item m="1" x="162"/>
        <item m="1" x="114"/>
        <item m="1" x="68"/>
        <item m="1" x="20"/>
        <item m="1" x="160"/>
        <item m="1" x="65"/>
        <item m="1" x="112"/>
        <item m="1" x="18"/>
        <item m="1" x="156"/>
        <item m="1" x="61"/>
        <item m="1" x="108"/>
        <item m="1" x="14"/>
        <item m="1" x="152"/>
        <item m="1" x="104"/>
        <item m="1" x="56"/>
        <item m="1" x="10"/>
        <item m="1" x="147"/>
        <item m="1" x="63"/>
        <item m="1" x="66"/>
        <item m="1" x="158"/>
        <item m="1" x="110"/>
        <item m="1" x="154"/>
        <item m="1" x="106"/>
        <item m="1" x="16"/>
        <item m="1" x="58"/>
        <item m="1" x="101"/>
        <item m="1" x="149"/>
        <item m="1" x="53"/>
        <item m="1" x="7"/>
        <item m="1" x="144"/>
        <item m="1" x="97"/>
        <item m="1" x="49"/>
        <item t="default"/>
      </items>
    </pivotField>
    <pivotField showAll="0" insertBlankRow="1"/>
    <pivotField showAll="0" insertBlankRow="1"/>
    <pivotField showAll="0" insertBlankRow="1"/>
    <pivotField axis="axisPage" showAll="0" insertBlankRow="1">
      <items count="172">
        <item m="1" x="16"/>
        <item m="1" x="135"/>
        <item m="1" x="126"/>
        <item m="1" x="84"/>
        <item m="1" x="5"/>
        <item m="1" x="123"/>
        <item m="1" x="120"/>
        <item m="1" x="94"/>
        <item m="1" x="168"/>
        <item m="1" x="13"/>
        <item m="1" x="107"/>
        <item m="1" x="23"/>
        <item m="1" x="59"/>
        <item m="1" x="117"/>
        <item m="1" x="110"/>
        <item m="1" x="129"/>
        <item m="1" x="92"/>
        <item m="1" x="30"/>
        <item m="1" x="42"/>
        <item m="1" x="127"/>
        <item m="1" x="60"/>
        <item m="1" x="153"/>
        <item m="1" x="145"/>
        <item m="1" x="128"/>
        <item m="1" x="143"/>
        <item m="1" x="67"/>
        <item m="1" x="28"/>
        <item m="1" x="122"/>
        <item m="1" x="66"/>
        <item m="1" x="108"/>
        <item m="1" x="144"/>
        <item m="1" x="36"/>
        <item m="1" x="25"/>
        <item m="1" x="132"/>
        <item m="1" x="118"/>
        <item m="1" x="2"/>
        <item x="1"/>
        <item m="1" x="31"/>
        <item m="1" x="35"/>
        <item m="1" x="74"/>
        <item m="1" x="76"/>
        <item m="1" x="37"/>
        <item m="1" x="130"/>
        <item m="1" x="63"/>
        <item m="1" x="151"/>
        <item m="1" x="164"/>
        <item m="1" x="21"/>
        <item m="1" x="162"/>
        <item m="1" x="62"/>
        <item m="1" x="97"/>
        <item m="1" x="75"/>
        <item m="1" x="169"/>
        <item m="1" x="39"/>
        <item m="1" x="9"/>
        <item m="1" x="44"/>
        <item m="1" x="65"/>
        <item m="1" x="49"/>
        <item m="1" x="33"/>
        <item m="1" x="27"/>
        <item m="1" x="14"/>
        <item m="1" x="90"/>
        <item m="1" x="72"/>
        <item m="1" x="170"/>
        <item m="1" x="125"/>
        <item m="1" x="68"/>
        <item m="1" x="112"/>
        <item m="1" x="57"/>
        <item m="1" x="141"/>
        <item m="1" x="166"/>
        <item m="1" x="32"/>
        <item m="1" x="152"/>
        <item m="1" x="138"/>
        <item m="1" x="104"/>
        <item m="1" x="87"/>
        <item m="1" x="116"/>
        <item m="1" x="157"/>
        <item m="1" x="77"/>
        <item m="1" x="8"/>
        <item m="1" x="64"/>
        <item m="1" x="71"/>
        <item m="1" x="6"/>
        <item m="1" x="150"/>
        <item m="1" x="115"/>
        <item m="1" x="105"/>
        <item m="1" x="58"/>
        <item m="1" x="109"/>
        <item m="1" x="45"/>
        <item m="1" x="148"/>
        <item m="1" x="91"/>
        <item m="1" x="159"/>
        <item m="1" x="131"/>
        <item m="1" x="98"/>
        <item m="1" x="134"/>
        <item m="1" x="70"/>
        <item m="1" x="41"/>
        <item m="1" x="7"/>
        <item m="1" x="15"/>
        <item m="1" x="78"/>
        <item m="1" x="69"/>
        <item m="1" x="167"/>
        <item m="1" x="142"/>
        <item m="1" x="46"/>
        <item m="1" x="81"/>
        <item m="1" x="10"/>
        <item m="1" x="106"/>
        <item m="1" x="12"/>
        <item m="1" x="47"/>
        <item m="1" x="29"/>
        <item m="1" x="100"/>
        <item m="1" x="54"/>
        <item m="1" x="4"/>
        <item m="1" x="124"/>
        <item m="1" x="11"/>
        <item m="1" x="20"/>
        <item m="1" x="103"/>
        <item m="1" x="53"/>
        <item m="1" x="154"/>
        <item m="1" x="56"/>
        <item m="1" x="19"/>
        <item m="1" x="89"/>
        <item m="1" x="50"/>
        <item m="1" x="26"/>
        <item m="1" x="17"/>
        <item m="1" x="40"/>
        <item m="1" x="121"/>
        <item m="1" x="88"/>
        <item m="1" x="3"/>
        <item m="1" x="22"/>
        <item m="1" x="95"/>
        <item m="1" x="160"/>
        <item m="1" x="18"/>
        <item m="1" x="113"/>
        <item m="1" x="86"/>
        <item m="1" x="165"/>
        <item m="1" x="133"/>
        <item m="1" x="102"/>
        <item m="1" x="96"/>
        <item m="1" x="139"/>
        <item m="1" x="99"/>
        <item m="1" x="82"/>
        <item m="1" x="93"/>
        <item m="1" x="38"/>
        <item m="1" x="34"/>
        <item m="1" x="155"/>
        <item m="1" x="52"/>
        <item m="1" x="163"/>
        <item m="1" x="48"/>
        <item m="1" x="43"/>
        <item m="1" x="136"/>
        <item m="1" x="101"/>
        <item m="1" x="161"/>
        <item m="1" x="85"/>
        <item m="1" x="119"/>
        <item m="1" x="55"/>
        <item m="1" x="73"/>
        <item m="1" x="111"/>
        <item m="1" x="140"/>
        <item m="1" x="156"/>
        <item m="1" x="51"/>
        <item m="1" x="83"/>
        <item m="1" x="80"/>
        <item m="1" x="24"/>
        <item m="1" x="146"/>
        <item m="1" x="79"/>
        <item m="1" x="114"/>
        <item m="1" x="147"/>
        <item m="1" x="158"/>
        <item m="1" x="149"/>
        <item m="1" x="137"/>
        <item m="1" x="61"/>
        <item x="0"/>
        <item t="default"/>
      </items>
    </pivotField>
    <pivotField showAll="0" insertBlankRow="1"/>
    <pivotField showAll="0" insertBlankRow="1"/>
    <pivotField showAll="0" insertBlankRow="1"/>
    <pivotField showAll="0" insertBlankRow="1"/>
    <pivotField showAll="0" insertBlankRow="1"/>
    <pivotField showAll="0" insertBlankRow="1"/>
    <pivotField showAll="0" insertBlankRow="1"/>
    <pivotField showAll="0" insertBlankRow="1"/>
    <pivotField axis="axisRow" showAll="0" insertBlankRow="1">
      <items count="879">
        <item m="1" x="334"/>
        <item m="1" x="156"/>
        <item m="1" x="272"/>
        <item m="1" x="511"/>
        <item m="1" x="190"/>
        <item m="1" x="582"/>
        <item m="1" x="248"/>
        <item m="1" x="120"/>
        <item m="1" x="691"/>
        <item m="1" x="812"/>
        <item m="1" x="27"/>
        <item m="1" x="707"/>
        <item m="1" x="717"/>
        <item m="1" x="557"/>
        <item m="1" x="200"/>
        <item m="1" x="303"/>
        <item m="1" x="704"/>
        <item m="1" x="725"/>
        <item m="1" x="526"/>
        <item m="1" x="836"/>
        <item m="1" x="649"/>
        <item m="1" x="602"/>
        <item m="1" x="70"/>
        <item m="1" x="207"/>
        <item m="1" x="543"/>
        <item m="1" x="361"/>
        <item m="1" x="150"/>
        <item m="1" x="751"/>
        <item m="1" x="124"/>
        <item m="1" x="876"/>
        <item m="1" x="290"/>
        <item m="1" x="570"/>
        <item m="1" x="38"/>
        <item m="1" x="383"/>
        <item m="1" x="171"/>
        <item m="1" x="131"/>
        <item m="1" x="115"/>
        <item m="1" x="819"/>
        <item m="1" x="871"/>
        <item m="1" x="796"/>
        <item m="1" x="693"/>
        <item m="1" x="703"/>
        <item m="1" x="581"/>
        <item m="1" x="201"/>
        <item m="1" x="489"/>
        <item m="1" x="240"/>
        <item m="1" x="669"/>
        <item m="1" x="282"/>
        <item m="1" x="54"/>
        <item m="1" x="230"/>
        <item m="1" x="350"/>
        <item m="1" x="609"/>
        <item m="1" x="432"/>
        <item m="1" x="28"/>
        <item m="1" x="729"/>
        <item m="1" x="410"/>
        <item m="1" x="183"/>
        <item m="1" x="22"/>
        <item m="1" x="666"/>
        <item m="1" x="791"/>
        <item m="1" x="238"/>
        <item m="1" x="706"/>
        <item m="1" x="348"/>
        <item m="1" x="299"/>
        <item m="1" x="412"/>
        <item m="1" x="504"/>
        <item m="1" x="123"/>
        <item m="1" x="774"/>
        <item m="1" x="427"/>
        <item m="1" x="268"/>
        <item x="0"/>
        <item m="1" x="561"/>
        <item m="1" x="472"/>
        <item m="1" x="840"/>
        <item m="1" x="762"/>
        <item m="1" x="793"/>
        <item m="1" x="274"/>
        <item m="1" x="104"/>
        <item m="1" x="13"/>
        <item m="1" x="545"/>
        <item m="1" x="787"/>
        <item m="1" x="746"/>
        <item m="1" x="828"/>
        <item m="1" x="688"/>
        <item m="1" x="549"/>
        <item m="1" x="467"/>
        <item m="1" x="148"/>
        <item m="1" x="577"/>
        <item m="1" x="857"/>
        <item m="1" x="826"/>
        <item m="1" x="665"/>
        <item m="1" x="283"/>
        <item m="1" x="792"/>
        <item m="1" x="393"/>
        <item m="1" x="514"/>
        <item m="1" x="742"/>
        <item m="1" x="263"/>
        <item m="1" x="448"/>
        <item m="1" x="455"/>
        <item m="1" x="508"/>
        <item m="1" x="329"/>
        <item m="1" x="335"/>
        <item m="1" x="181"/>
        <item m="1" x="309"/>
        <item m="1" x="816"/>
        <item m="1" x="858"/>
        <item m="1" x="861"/>
        <item m="1" x="555"/>
        <item m="1" x="184"/>
        <item m="1" x="654"/>
        <item m="1" x="391"/>
        <item m="1" x="33"/>
        <item m="1" x="416"/>
        <item m="1" x="548"/>
        <item m="1" x="735"/>
        <item m="1" x="542"/>
        <item m="1" x="223"/>
        <item m="1" x="232"/>
        <item m="1" x="486"/>
        <item m="1" x="675"/>
        <item m="1" x="31"/>
        <item m="1" x="430"/>
        <item m="1" x="494"/>
        <item m="1" x="59"/>
        <item m="1" x="87"/>
        <item m="1" x="369"/>
        <item m="1" x="92"/>
        <item m="1" x="351"/>
        <item m="1" x="498"/>
        <item m="1" x="239"/>
        <item m="1" x="442"/>
        <item m="1" x="320"/>
        <item m="1" x="215"/>
        <item m="1" x="487"/>
        <item m="1" x="141"/>
        <item m="1" x="352"/>
        <item m="1" x="203"/>
        <item m="1" x="552"/>
        <item m="1" x="187"/>
        <item m="1" x="11"/>
        <item m="1" x="777"/>
        <item m="1" x="863"/>
        <item m="1" x="280"/>
        <item m="1" x="281"/>
        <item m="1" x="620"/>
        <item m="1" x="58"/>
        <item m="1" x="683"/>
        <item m="1" x="235"/>
        <item m="1" x="496"/>
        <item m="1" x="110"/>
        <item m="1" x="835"/>
        <item m="1" x="624"/>
        <item m="1" x="306"/>
        <item m="1" x="261"/>
        <item m="1" x="267"/>
        <item m="1" x="733"/>
        <item m="1" x="758"/>
        <item m="1" x="869"/>
        <item m="1" x="68"/>
        <item m="1" x="834"/>
        <item m="1" x="850"/>
        <item m="1" x="672"/>
        <item m="1" x="660"/>
        <item m="1" x="598"/>
        <item m="1" x="837"/>
        <item m="1" x="332"/>
        <item m="1" x="516"/>
        <item m="1" x="677"/>
        <item m="1" x="321"/>
        <item m="1" x="671"/>
        <item m="1" x="357"/>
        <item m="1" x="362"/>
        <item m="1" x="533"/>
        <item m="1" x="395"/>
        <item m="1" x="365"/>
        <item m="1" x="135"/>
        <item m="1" x="396"/>
        <item m="1" x="118"/>
        <item m="1" x="142"/>
        <item m="1" x="112"/>
        <item m="1" x="182"/>
        <item m="1" x="6"/>
        <item m="1" x="709"/>
        <item m="1" x="718"/>
        <item m="1" x="474"/>
        <item m="1" x="525"/>
        <item m="1" x="761"/>
        <item m="1" x="179"/>
        <item m="1" x="874"/>
        <item m="1" x="493"/>
        <item m="1" x="711"/>
        <item m="1" x="228"/>
        <item m="1" x="57"/>
        <item m="1" x="388"/>
        <item m="1" x="661"/>
        <item m="1" x="716"/>
        <item m="1" x="801"/>
        <item m="1" x="91"/>
        <item m="1" x="284"/>
        <item m="1" x="451"/>
        <item m="1" x="116"/>
        <item m="1" x="4"/>
        <item m="1" x="14"/>
        <item m="1" x="195"/>
        <item m="1" x="540"/>
        <item m="1" x="65"/>
        <item m="1" x="126"/>
        <item m="1" x="521"/>
        <item m="1" x="243"/>
        <item m="1" x="293"/>
        <item m="1" x="822"/>
        <item m="1" x="818"/>
        <item m="1" x="485"/>
        <item m="1" x="36"/>
        <item m="1" x="153"/>
        <item m="1" x="465"/>
        <item m="1" x="358"/>
        <item m="1" x="143"/>
        <item m="1" x="374"/>
        <item m="1" x="129"/>
        <item m="1" x="523"/>
        <item m="1" x="107"/>
        <item m="1" x="394"/>
        <item m="1" x="314"/>
        <item m="1" x="529"/>
        <item m="1" x="875"/>
        <item m="1" x="100"/>
        <item m="1" x="140"/>
        <item m="1" x="29"/>
        <item m="1" x="597"/>
        <item m="1" x="380"/>
        <item m="1" x="381"/>
        <item m="1" x="495"/>
        <item m="1" x="76"/>
        <item m="1" x="865"/>
        <item m="1" x="60"/>
        <item m="1" x="220"/>
        <item m="1" x="613"/>
        <item m="1" x="524"/>
        <item m="1" x="770"/>
        <item m="1" x="457"/>
        <item m="1" x="689"/>
        <item m="1" x="877"/>
        <item m="1" x="106"/>
        <item m="1" x="645"/>
        <item m="1" x="101"/>
        <item m="1" x="386"/>
        <item m="1" x="226"/>
        <item m="1" x="234"/>
        <item m="1" x="539"/>
        <item m="1" x="638"/>
        <item m="1" x="74"/>
        <item m="1" x="701"/>
        <item m="1" x="506"/>
        <item m="1" x="527"/>
        <item m="1" x="323"/>
        <item m="1" x="246"/>
        <item m="1" x="304"/>
        <item m="1" x="710"/>
        <item m="1" x="422"/>
        <item m="1" x="662"/>
        <item m="1" x="347"/>
        <item m="1" x="288"/>
        <item m="1" x="385"/>
        <item m="1" x="492"/>
        <item m="1" x="829"/>
        <item m="1" x="278"/>
        <item m="1" x="528"/>
        <item m="1" x="133"/>
        <item m="1" x="803"/>
        <item m="1" x="273"/>
        <item m="1" x="360"/>
        <item m="1" x="814"/>
        <item m="1" x="409"/>
        <item m="1" x="625"/>
        <item m="1" x="810"/>
        <item m="1" x="368"/>
        <item m="1" x="734"/>
        <item m="1" x="831"/>
        <item m="1" x="744"/>
        <item m="1" x="318"/>
        <item m="1" x="61"/>
        <item m="1" x="379"/>
        <item m="1" x="188"/>
        <item m="1" x="136"/>
        <item m="1" x="315"/>
        <item m="1" x="644"/>
        <item m="1" x="52"/>
        <item m="1" x="308"/>
        <item m="1" x="66"/>
        <item m="1" x="541"/>
        <item m="1" x="604"/>
        <item m="1" x="637"/>
        <item m="1" x="782"/>
        <item m="1" x="736"/>
        <item m="1" x="271"/>
        <item m="1" x="191"/>
        <item m="1" x="567"/>
        <item m="1" x="482"/>
        <item m="1" x="754"/>
        <item m="1" x="43"/>
        <item m="1" x="562"/>
        <item m="1" x="424"/>
        <item m="1" x="367"/>
        <item m="1" x="872"/>
        <item m="1" x="319"/>
        <item m="1" x="158"/>
        <item m="1" x="437"/>
        <item m="1" x="173"/>
        <item m="1" x="229"/>
        <item m="1" x="46"/>
        <item m="1" x="345"/>
        <item m="1" x="137"/>
        <item m="1" x="269"/>
        <item m="1" x="108"/>
        <item m="1" x="122"/>
        <item m="1" x="583"/>
        <item m="1" x="418"/>
        <item m="1" x="614"/>
        <item m="1" x="569"/>
        <item m="1" x="99"/>
        <item m="1" x="769"/>
        <item m="1" x="121"/>
        <item m="1" x="679"/>
        <item m="1" x="113"/>
        <item m="1" x="830"/>
        <item m="1" x="590"/>
        <item m="1" x="471"/>
        <item m="1" x="626"/>
        <item m="1" x="760"/>
        <item m="1" x="83"/>
        <item m="1" x="747"/>
        <item m="1" x="134"/>
        <item m="1" x="8"/>
        <item m="1" x="824"/>
        <item m="1" x="51"/>
        <item m="1" x="807"/>
        <item m="1" x="851"/>
        <item m="1" x="623"/>
        <item m="1" x="853"/>
        <item m="1" x="681"/>
        <item m="1" x="241"/>
        <item m="1" x="600"/>
        <item m="1" x="32"/>
        <item m="1" x="515"/>
        <item m="1" x="247"/>
        <item m="1" x="559"/>
        <item m="1" x="270"/>
        <item m="1" x="398"/>
        <item m="1" x="30"/>
        <item m="1" x="389"/>
        <item m="1" x="868"/>
        <item m="1" x="97"/>
        <item m="1" x="682"/>
        <item m="1" x="795"/>
        <item m="1" x="64"/>
        <item m="1" x="277"/>
        <item m="1" x="833"/>
        <item m="1" x="584"/>
        <item m="1" x="694"/>
        <item m="1" x="353"/>
        <item m="1" x="400"/>
        <item m="1" x="276"/>
        <item m="1" x="245"/>
        <item m="1" x="16"/>
        <item m="1" x="387"/>
        <item m="1" x="460"/>
        <item m="1" x="130"/>
        <item m="1" x="730"/>
        <item m="1" x="438"/>
        <item m="1" x="767"/>
        <item m="1" x="788"/>
        <item m="1" x="773"/>
        <item m="1" x="631"/>
        <item m="1" x="199"/>
        <item m="1" x="216"/>
        <item m="1" x="154"/>
        <item m="1" x="289"/>
        <item m="1" x="346"/>
        <item m="1" x="331"/>
        <item m="1" x="287"/>
        <item m="1" x="279"/>
        <item m="1" x="636"/>
        <item m="1" x="806"/>
        <item m="1" x="781"/>
        <item m="1" x="256"/>
        <item m="1" x="161"/>
        <item m="1" x="809"/>
        <item m="1" x="726"/>
        <item m="1" x="768"/>
        <item m="1" x="145"/>
        <item m="1" x="20"/>
        <item m="1" x="236"/>
        <item m="1" x="307"/>
        <item m="1" x="72"/>
        <item m="1" x="700"/>
        <item m="1" x="456"/>
        <item m="1" x="128"/>
        <item m="1" x="7"/>
        <item m="1" x="454"/>
        <item m="1" x="648"/>
        <item m="1" x="186"/>
        <item m="1" x="265"/>
        <item m="1" x="443"/>
        <item m="1" x="301"/>
        <item m="1" x="384"/>
        <item m="1" x="168"/>
        <item m="1" x="846"/>
        <item m="1" x="530"/>
        <item m="1" x="39"/>
        <item m="1" x="98"/>
        <item m="1" x="294"/>
        <item m="1" x="292"/>
        <item m="1" x="337"/>
        <item m="1" x="237"/>
        <item m="1" x="257"/>
        <item m="1" x="339"/>
        <item m="1" x="611"/>
        <item m="1" x="536"/>
        <item m="1" x="817"/>
        <item m="1" x="50"/>
        <item m="1" x="324"/>
        <item m="1" x="513"/>
        <item m="1" x="41"/>
        <item m="1" x="678"/>
        <item m="1" x="794"/>
        <item m="1" x="512"/>
        <item m="1" x="473"/>
        <item m="1" x="605"/>
        <item m="1" x="785"/>
        <item m="1" x="839"/>
        <item m="1" x="685"/>
        <item m="1" x="642"/>
        <item m="1" x="371"/>
        <item m="1" x="193"/>
        <item m="1" x="327"/>
        <item m="1" x="643"/>
        <item m="1" x="433"/>
        <item m="1" x="664"/>
        <item m="1" x="663"/>
        <item m="1" x="449"/>
        <item m="1" x="431"/>
        <item m="1" x="595"/>
        <item m="1" x="646"/>
        <item m="1" x="855"/>
        <item m="1" x="439"/>
        <item m="1" x="338"/>
        <item m="1" x="630"/>
        <item m="1" x="845"/>
        <item m="1" x="192"/>
        <item m="1" x="198"/>
        <item m="1" x="325"/>
        <item m="1" x="205"/>
        <item m="1" x="743"/>
        <item m="1" x="509"/>
        <item m="1" x="763"/>
        <item m="1" x="376"/>
        <item m="1" x="702"/>
        <item m="1" x="340"/>
        <item m="1" x="159"/>
        <item m="1" x="738"/>
        <item m="1" x="650"/>
        <item m="1" x="266"/>
        <item m="1" x="217"/>
        <item m="1" x="622"/>
        <item m="1" x="621"/>
        <item m="1" x="750"/>
        <item m="1" x="864"/>
        <item m="1" x="222"/>
        <item m="1" x="298"/>
        <item m="1" x="111"/>
        <item m="1" x="300"/>
        <item m="1" x="19"/>
        <item m="1" x="349"/>
        <item m="1" x="196"/>
        <item m="1" x="867"/>
        <item m="1" x="25"/>
        <item m="1" x="484"/>
        <item m="1" x="628"/>
        <item m="1" x="444"/>
        <item m="1" x="659"/>
        <item m="1" x="3"/>
        <item m="1" x="580"/>
        <item m="1" x="618"/>
        <item m="1" x="766"/>
        <item m="1" x="176"/>
        <item m="1" x="658"/>
        <item m="1" x="461"/>
        <item m="1" x="866"/>
        <item m="1" x="798"/>
        <item m="1" x="202"/>
        <item m="1" x="313"/>
        <item m="1" x="627"/>
        <item m="1" x="426"/>
        <item m="1" x="429"/>
        <item m="1" x="547"/>
        <item m="1" x="634"/>
        <item m="1" x="505"/>
        <item m="1" x="147"/>
        <item m="1" x="146"/>
        <item m="1" x="470"/>
        <item m="1" x="103"/>
        <item m="1" x="77"/>
        <item m="1" x="799"/>
        <item m="1" x="44"/>
        <item m="1" x="166"/>
        <item m="1" x="157"/>
        <item m="1" x="326"/>
        <item m="1" x="62"/>
        <item m="1" x="670"/>
        <item m="1" x="81"/>
        <item m="1" x="218"/>
        <item m="1" x="445"/>
        <item m="1" x="458"/>
        <item m="1" x="499"/>
        <item m="1" x="165"/>
        <item m="1" x="697"/>
        <item m="1" x="534"/>
        <item m="1" x="780"/>
        <item m="1" x="558"/>
        <item m="1" x="93"/>
        <item m="1" x="522"/>
        <item m="1" x="692"/>
        <item m="1" x="185"/>
        <item m="1" x="102"/>
        <item m="1" x="40"/>
        <item m="1" x="155"/>
        <item m="1" x="714"/>
        <item m="1" x="862"/>
        <item m="1" x="615"/>
        <item m="1" x="501"/>
        <item m="1" x="821"/>
        <item m="1" x="653"/>
        <item m="1" x="575"/>
        <item m="1" x="579"/>
        <item m="1" x="720"/>
        <item m="1" x="119"/>
        <item m="1" x="759"/>
        <item m="1" x="356"/>
        <item m="1" x="740"/>
        <item m="1" x="378"/>
        <item m="1" x="10"/>
        <item m="1" x="550"/>
        <item m="1" x="491"/>
        <item m="1" x="606"/>
        <item m="1" x="507"/>
        <item m="1" x="194"/>
        <item m="1" x="633"/>
        <item m="1" x="651"/>
        <item m="1" x="377"/>
        <item m="1" x="397"/>
        <item m="1" x="520"/>
        <item m="1" x="214"/>
        <item m="1" x="610"/>
        <item m="1" x="48"/>
        <item m="1" x="468"/>
        <item m="1" x="510"/>
        <item m="1" x="330"/>
        <item m="1" x="832"/>
        <item m="1" x="178"/>
        <item m="1" x="808"/>
        <item m="1" x="5"/>
        <item m="1" x="56"/>
        <item m="1" x="170"/>
        <item m="1" x="488"/>
        <item m="1" x="695"/>
        <item m="1" x="856"/>
        <item m="1" x="578"/>
        <item m="1" x="641"/>
        <item m="1" x="790"/>
        <item m="1" x="258"/>
        <item m="1" x="538"/>
        <item m="1" x="434"/>
        <item m="1" x="676"/>
        <item m="1" x="12"/>
        <item m="1" x="259"/>
        <item m="1" x="344"/>
        <item m="1" x="673"/>
        <item m="1" x="640"/>
        <item m="1" x="565"/>
        <item m="1" x="355"/>
        <item m="1" x="370"/>
        <item m="1" x="310"/>
        <item m="1" x="585"/>
        <item m="1" x="719"/>
        <item m="1" x="657"/>
        <item m="1" x="778"/>
        <item m="1" x="616"/>
        <item m="1" x="421"/>
        <item m="1" x="382"/>
        <item m="1" x="752"/>
        <item m="1" x="169"/>
        <item m="1" x="45"/>
        <item m="1" x="756"/>
        <item m="1" x="873"/>
        <item m="1" x="841"/>
        <item m="1" x="502"/>
        <item m="1" x="568"/>
        <item m="1" x="745"/>
        <item m="1" x="753"/>
        <item m="1" x="560"/>
        <item m="1" x="436"/>
        <item m="1" x="149"/>
        <item m="1" x="125"/>
        <item m="1" x="1"/>
        <item m="1" x="466"/>
        <item m="1" x="848"/>
        <item m="1" x="553"/>
        <item m="1" x="450"/>
        <item m="1" x="302"/>
        <item m="1" x="518"/>
        <item m="1" x="519"/>
        <item m="1" x="18"/>
        <item m="1" x="712"/>
        <item m="1" x="592"/>
        <item m="1" x="776"/>
        <item m="1" x="84"/>
        <item m="1" x="407"/>
        <item m="1" x="291"/>
        <item m="1" x="452"/>
        <item m="1" x="563"/>
        <item m="1" x="564"/>
        <item m="1" x="535"/>
        <item m="1" x="254"/>
        <item m="1" x="95"/>
        <item m="1" x="573"/>
        <item m="1" x="373"/>
        <item m="1" x="151"/>
        <item m="1" x="789"/>
        <item m="1" x="639"/>
        <item m="1" x="765"/>
        <item m="1" x="80"/>
        <item m="1" x="79"/>
        <item m="1" x="37"/>
        <item m="1" x="713"/>
        <item m="1" x="167"/>
        <item m="1" x="253"/>
        <item m="1" x="667"/>
        <item m="1" x="164"/>
        <item m="1" x="197"/>
        <item m="1" x="870"/>
        <item m="1" x="152"/>
        <item m="1" x="497"/>
        <item m="1" x="42"/>
        <item m="1" x="375"/>
        <item m="1" x="342"/>
        <item m="1" x="423"/>
        <item m="1" x="417"/>
        <item m="1" x="354"/>
        <item m="1" x="221"/>
        <item m="1" x="544"/>
        <item m="1" x="105"/>
        <item m="1" x="419"/>
        <item m="1" x="295"/>
        <item m="1" x="723"/>
        <item m="1" x="343"/>
        <item m="1" x="213"/>
        <item m="1" x="180"/>
        <item m="1" x="784"/>
        <item m="1" x="800"/>
        <item m="1" x="132"/>
        <item m="1" x="401"/>
        <item m="1" x="459"/>
        <item m="1" x="286"/>
        <item m="1" x="574"/>
        <item m="1" x="341"/>
        <item m="1" x="755"/>
        <item m="1" x="316"/>
        <item m="1" x="63"/>
        <item m="1" x="69"/>
        <item m="1" x="503"/>
        <item m="1" x="757"/>
        <item m="1" x="206"/>
        <item m="1" x="336"/>
        <item m="1" x="603"/>
        <item m="1" x="537"/>
        <item m="1" x="748"/>
        <item m="1" x="596"/>
        <item m="1" x="686"/>
        <item m="1" x="49"/>
        <item m="1" x="732"/>
        <item m="1" x="55"/>
        <item m="1" x="635"/>
        <item m="1" x="211"/>
        <item m="1" x="842"/>
        <item m="1" x="859"/>
        <item m="1" x="684"/>
        <item m="1" x="447"/>
        <item m="1" x="477"/>
        <item m="1" x="699"/>
        <item m="1" x="617"/>
        <item m="1" x="26"/>
        <item m="1" x="17"/>
        <item m="1" x="333"/>
        <item m="1" x="411"/>
        <item m="1" x="175"/>
        <item m="1" x="500"/>
        <item m="1" x="392"/>
        <item m="1" x="21"/>
        <item m="1" x="328"/>
        <item m="1" x="594"/>
        <item m="1" x="208"/>
        <item m="1" x="475"/>
        <item m="1" x="588"/>
        <item m="1" x="619"/>
        <item m="1" x="364"/>
        <item m="1" x="843"/>
        <item m="1" x="764"/>
        <item m="1" x="478"/>
        <item m="1" x="632"/>
        <item m="1" x="722"/>
        <item m="1" x="815"/>
        <item m="1" x="244"/>
        <item m="1" x="162"/>
        <item m="1" x="680"/>
        <item m="1" x="399"/>
        <item m="1" x="749"/>
        <item m="1" x="204"/>
        <item m="1" x="811"/>
        <item m="1" x="231"/>
        <item m="1" x="233"/>
        <item m="1" x="629"/>
        <item m="1" x="464"/>
        <item m="1" x="820"/>
        <item m="1" x="317"/>
        <item m="1" x="705"/>
        <item m="1" x="696"/>
        <item m="1" x="210"/>
        <item m="1" x="721"/>
        <item m="1" x="249"/>
        <item m="1" x="587"/>
        <item m="1" x="428"/>
        <item m="1" x="109"/>
        <item m="1" x="804"/>
        <item m="1" x="322"/>
        <item m="1" x="163"/>
        <item m="1" x="35"/>
        <item m="1" x="255"/>
        <item m="1" x="82"/>
        <item m="1" x="305"/>
        <item m="1" x="724"/>
        <item m="1" x="224"/>
        <item m="1" x="576"/>
        <item m="1" x="144"/>
        <item m="1" x="408"/>
        <item m="1" x="708"/>
        <item m="1" x="674"/>
        <item m="1" x="209"/>
        <item m="1" x="225"/>
        <item m="1" x="160"/>
        <item m="1" x="490"/>
        <item m="1" x="53"/>
        <item m="1" x="172"/>
        <item m="1" x="2"/>
        <item m="1" x="24"/>
        <item m="1" x="453"/>
        <item m="1" x="463"/>
        <item m="1" x="86"/>
        <item m="1" x="127"/>
        <item m="1" x="656"/>
        <item m="1" x="775"/>
        <item m="1" x="139"/>
        <item m="1" x="771"/>
        <item m="1" x="275"/>
        <item m="1" x="402"/>
        <item m="1" x="813"/>
        <item m="1" x="251"/>
        <item m="1" x="75"/>
        <item m="1" x="174"/>
        <item m="1" x="546"/>
        <item m="1" x="479"/>
        <item m="1" x="403"/>
        <item m="1" x="415"/>
        <item m="1" x="779"/>
        <item m="1" x="480"/>
        <item m="1" x="446"/>
        <item m="1" x="405"/>
        <item m="1" x="242"/>
        <item m="1" x="406"/>
        <item m="1" x="67"/>
        <item m="1" x="531"/>
        <item m="1" x="441"/>
        <item m="1" x="802"/>
        <item m="1" x="47"/>
        <item m="1" x="647"/>
        <item m="1" x="117"/>
        <item m="1" x="612"/>
        <item m="1" x="404"/>
        <item m="1" x="481"/>
        <item m="1" x="690"/>
        <item m="1" x="797"/>
        <item m="1" x="586"/>
        <item m="1" x="260"/>
        <item m="1" x="572"/>
        <item m="1" x="138"/>
        <item m="1" x="78"/>
        <item m="1" x="363"/>
        <item m="1" x="312"/>
        <item m="1" x="591"/>
        <item m="1" x="838"/>
        <item m="1" x="227"/>
        <item m="1" x="311"/>
        <item m="1" x="844"/>
        <item m="1" x="89"/>
        <item m="1" x="372"/>
        <item m="1" x="23"/>
        <item m="1" x="823"/>
        <item m="1" x="483"/>
        <item m="1" x="860"/>
        <item m="1" x="425"/>
        <item m="1" x="825"/>
        <item m="1" x="737"/>
        <item m="1" x="783"/>
        <item m="1" x="827"/>
        <item m="1" x="462"/>
        <item m="1" x="849"/>
        <item m="1" x="687"/>
        <item m="1" x="601"/>
        <item m="1" x="727"/>
        <item m="1" x="668"/>
        <item m="1" x="94"/>
        <item m="1" x="599"/>
        <item m="1" x="420"/>
        <item m="1" x="366"/>
        <item m="1" x="34"/>
        <item m="1" x="9"/>
        <item m="1" x="96"/>
        <item m="1" x="296"/>
        <item m="1" x="854"/>
        <item m="1" x="517"/>
        <item m="1" x="440"/>
        <item m="1" x="805"/>
        <item m="1" x="607"/>
        <item m="1" x="297"/>
        <item m="1" x="698"/>
        <item m="1" x="252"/>
        <item m="1" x="852"/>
        <item m="1" x="90"/>
        <item m="1" x="264"/>
        <item m="1" x="728"/>
        <item m="1" x="390"/>
        <item m="1" x="556"/>
        <item m="1" x="250"/>
        <item m="1" x="772"/>
        <item m="1" x="847"/>
        <item m="1" x="608"/>
        <item m="1" x="413"/>
        <item m="1" x="476"/>
        <item m="1" x="551"/>
        <item m="1" x="589"/>
        <item m="1" x="88"/>
        <item m="1" x="566"/>
        <item m="1" x="655"/>
        <item m="1" x="414"/>
        <item m="1" x="571"/>
        <item m="1" x="73"/>
        <item m="1" x="435"/>
        <item m="1" x="15"/>
        <item m="1" x="114"/>
        <item m="1" x="85"/>
        <item m="1" x="212"/>
        <item m="1" x="469"/>
        <item m="1" x="786"/>
        <item m="1" x="652"/>
        <item m="1" x="189"/>
        <item m="1" x="262"/>
        <item m="1" x="731"/>
        <item m="1" x="741"/>
        <item m="1" x="593"/>
        <item m="1" x="71"/>
        <item m="1" x="739"/>
        <item m="1" x="715"/>
        <item m="1" x="532"/>
        <item m="1" x="359"/>
        <item m="1" x="177"/>
        <item m="1" x="554"/>
        <item m="1" x="219"/>
        <item m="1" x="285"/>
        <item t="default"/>
      </items>
    </pivotField>
    <pivotField axis="axisRow" showAll="0">
      <items count="19">
        <item m="1" x="2"/>
        <item m="1" x="7"/>
        <item m="1" x="3"/>
        <item m="1" x="11"/>
        <item m="1" x="10"/>
        <item m="1" x="9"/>
        <item m="1" x="12"/>
        <item m="1" x="6"/>
        <item m="1" x="8"/>
        <item m="1" x="13"/>
        <item m="1" x="1"/>
        <item x="0"/>
        <item m="1" x="15"/>
        <item m="1" x="16"/>
        <item m="1" x="17"/>
        <item m="1" x="14"/>
        <item m="1" x="5"/>
        <item m="1" x="4"/>
        <item t="default"/>
      </items>
    </pivotField>
    <pivotField showAll="0" defaultSubtotal="0"/>
    <pivotField axis="axisRow" showAll="0" insertBlankRow="1">
      <items count="15">
        <item m="1" x="3"/>
        <item m="1" x="13"/>
        <item m="1" x="4"/>
        <item m="1" x="9"/>
        <item m="1" x="12"/>
        <item m="1" x="7"/>
        <item m="1" x="8"/>
        <item m="1" x="5"/>
        <item x="0"/>
        <item m="1" x="10"/>
        <item m="1" x="6"/>
        <item m="1" x="1"/>
        <item m="1" x="2"/>
        <item m="1" x="11"/>
        <item t="default"/>
      </items>
    </pivotField>
    <pivotField showAll="0" defaultSubtotal="0"/>
    <pivotField axis="axisRow" showAll="0" insertBlankRow="1">
      <items count="648">
        <item m="1" x="167"/>
        <item m="1" x="363"/>
        <item m="1" x="530"/>
        <item m="1" x="238"/>
        <item m="1" x="488"/>
        <item m="1" x="295"/>
        <item m="1" x="209"/>
        <item m="1" x="479"/>
        <item m="1" x="560"/>
        <item m="1" x="154"/>
        <item m="1" x="497"/>
        <item m="1" x="472"/>
        <item m="1" x="320"/>
        <item x="0"/>
        <item m="1" x="181"/>
        <item m="1" x="367"/>
        <item m="1" x="564"/>
        <item m="1" x="299"/>
        <item m="1" x="21"/>
        <item m="1" x="353"/>
        <item m="1" x="301"/>
        <item m="1" x="206"/>
        <item m="1" x="128"/>
        <item m="1" x="179"/>
        <item m="1" x="589"/>
        <item m="1" x="207"/>
        <item m="1" x="168"/>
        <item m="1" x="52"/>
        <item m="1" x="365"/>
        <item m="1" x="83"/>
        <item m="1" x="345"/>
        <item m="1" x="231"/>
        <item m="1" x="208"/>
        <item m="1" x="166"/>
        <item m="1" x="239"/>
        <item m="1" x="237"/>
        <item m="1" x="56"/>
        <item m="1" x="284"/>
        <item m="1" x="74"/>
        <item m="1" x="198"/>
        <item m="1" x="120"/>
        <item m="1" x="540"/>
        <item m="1" x="420"/>
        <item m="1" x="266"/>
        <item m="1" x="521"/>
        <item m="1" x="490"/>
        <item m="1" x="336"/>
        <item m="1" x="82"/>
        <item m="1" x="580"/>
        <item m="1" x="129"/>
        <item m="1" x="281"/>
        <item m="1" x="211"/>
        <item m="1" x="282"/>
        <item m="1" x="616"/>
        <item m="1" x="204"/>
        <item m="1" x="139"/>
        <item m="1" x="1"/>
        <item m="1" x="427"/>
        <item m="1" x="271"/>
        <item m="1" x="96"/>
        <item m="1" x="283"/>
        <item m="1" x="645"/>
        <item m="1" x="619"/>
        <item m="1" x="73"/>
        <item m="1" x="389"/>
        <item m="1" x="495"/>
        <item m="1" x="325"/>
        <item m="1" x="573"/>
        <item m="1" x="319"/>
        <item m="1" x="385"/>
        <item m="1" x="492"/>
        <item m="1" x="46"/>
        <item m="1" x="178"/>
        <item m="1" x="636"/>
        <item m="1" x="623"/>
        <item m="1" x="608"/>
        <item m="1" x="522"/>
        <item m="1" x="267"/>
        <item m="1" x="609"/>
        <item m="1" x="447"/>
        <item m="1" x="481"/>
        <item m="1" x="189"/>
        <item m="1" x="553"/>
        <item m="1" x="228"/>
        <item m="1" x="233"/>
        <item m="1" x="348"/>
        <item m="1" x="121"/>
        <item m="1" x="200"/>
        <item m="1" x="245"/>
        <item m="1" x="417"/>
        <item m="1" x="312"/>
        <item m="1" x="410"/>
        <item m="1" x="523"/>
        <item m="1" x="9"/>
        <item m="1" x="372"/>
        <item m="1" x="414"/>
        <item m="1" x="224"/>
        <item m="1" x="527"/>
        <item m="1" x="288"/>
        <item m="1" x="242"/>
        <item m="1" x="441"/>
        <item m="1" x="130"/>
        <item m="1" x="253"/>
        <item m="1" x="613"/>
        <item m="1" x="392"/>
        <item m="1" x="611"/>
        <item m="1" x="593"/>
        <item m="1" x="426"/>
        <item m="1" x="287"/>
        <item m="1" x="398"/>
        <item m="1" x="435"/>
        <item m="1" x="49"/>
        <item m="1" x="598"/>
        <item m="1" x="318"/>
        <item m="1" x="451"/>
        <item m="1" x="244"/>
        <item m="1" x="610"/>
        <item m="1" x="225"/>
        <item m="1" x="477"/>
        <item m="1" x="234"/>
        <item m="1" x="413"/>
        <item m="1" x="4"/>
        <item m="1" x="110"/>
        <item m="1" x="156"/>
        <item m="1" x="10"/>
        <item m="1" x="535"/>
        <item m="1" x="445"/>
        <item m="1" x="290"/>
        <item m="1" x="192"/>
        <item m="1" x="195"/>
        <item m="1" x="524"/>
        <item m="1" x="375"/>
        <item m="1" x="106"/>
        <item m="1" x="260"/>
        <item m="1" x="555"/>
        <item m="1" x="19"/>
        <item m="1" x="88"/>
        <item m="1" x="534"/>
        <item m="1" x="201"/>
        <item m="1" x="272"/>
        <item m="1" x="340"/>
        <item m="1" x="554"/>
        <item m="1" x="214"/>
        <item m="1" x="467"/>
        <item m="1" x="359"/>
        <item m="1" x="199"/>
        <item m="1" x="8"/>
        <item m="1" x="504"/>
        <item m="1" x="226"/>
        <item m="1" x="258"/>
        <item m="1" x="576"/>
        <item m="1" x="60"/>
        <item m="1" x="357"/>
        <item m="1" x="164"/>
        <item m="1" x="165"/>
        <item m="1" x="487"/>
        <item m="1" x="386"/>
        <item m="1" x="422"/>
        <item m="1" x="373"/>
        <item m="1" x="637"/>
        <item m="1" x="343"/>
        <item m="1" x="292"/>
        <item m="1" x="471"/>
        <item m="1" x="202"/>
        <item m="1" x="578"/>
        <item m="1" x="188"/>
        <item m="1" x="39"/>
        <item m="1" x="47"/>
        <item m="1" x="265"/>
        <item m="1" x="177"/>
        <item m="1" x="347"/>
        <item m="1" x="403"/>
        <item m="1" x="595"/>
        <item m="1" x="172"/>
        <item m="1" x="3"/>
        <item m="1" x="625"/>
        <item m="1" x="642"/>
        <item m="1" x="57"/>
        <item m="1" x="36"/>
        <item m="1" x="48"/>
        <item m="1" x="279"/>
        <item m="1" x="99"/>
        <item m="1" x="137"/>
        <item m="1" x="196"/>
        <item m="1" x="51"/>
        <item m="1" x="149"/>
        <item m="1" x="409"/>
        <item m="1" x="67"/>
        <item m="1" x="59"/>
        <item m="1" x="362"/>
        <item m="1" x="247"/>
        <item m="1" x="503"/>
        <item m="1" x="431"/>
        <item m="1" x="550"/>
        <item m="1" x="100"/>
        <item m="1" x="394"/>
        <item m="1" x="514"/>
        <item m="1" x="102"/>
        <item m="1" x="7"/>
        <item m="1" x="305"/>
        <item m="1" x="280"/>
        <item m="1" x="519"/>
        <item m="1" x="507"/>
        <item m="1" x="456"/>
        <item m="1" x="460"/>
        <item m="1" x="124"/>
        <item m="1" x="339"/>
        <item m="1" x="377"/>
        <item m="1" x="588"/>
        <item m="1" x="103"/>
        <item m="1" x="132"/>
        <item m="1" x="169"/>
        <item m="1" x="219"/>
        <item m="1" x="84"/>
        <item m="1" x="532"/>
        <item m="1" x="235"/>
        <item m="1" x="97"/>
        <item m="1" x="218"/>
        <item m="1" x="586"/>
        <item m="1" x="145"/>
        <item m="1" x="38"/>
        <item m="1" x="109"/>
        <item m="1" x="69"/>
        <item m="1" x="444"/>
        <item m="1" x="543"/>
        <item m="1" x="446"/>
        <item m="1" x="577"/>
        <item m="1" x="170"/>
        <item m="1" x="513"/>
        <item m="1" x="77"/>
        <item m="1" x="171"/>
        <item m="1" x="466"/>
        <item m="1" x="585"/>
        <item m="1" x="40"/>
        <item m="1" x="622"/>
        <item m="1" x="399"/>
        <item m="1" x="458"/>
        <item m="1" x="572"/>
        <item m="1" x="502"/>
        <item m="1" x="141"/>
        <item m="1" x="151"/>
        <item m="1" x="425"/>
        <item m="1" x="482"/>
        <item m="1" x="383"/>
        <item m="1" x="432"/>
        <item m="1" x="175"/>
        <item m="1" x="396"/>
        <item m="1" x="147"/>
        <item m="1" x="112"/>
        <item m="1" x="146"/>
        <item m="1" x="155"/>
        <item m="1" x="352"/>
        <item m="1" x="561"/>
        <item m="1" x="473"/>
        <item m="1" x="641"/>
        <item m="1" x="614"/>
        <item m="1" x="346"/>
        <item m="1" x="602"/>
        <item m="1" x="448"/>
        <item m="1" x="62"/>
        <item m="1" x="498"/>
        <item m="1" x="337"/>
        <item m="1" x="476"/>
        <item m="1" x="205"/>
        <item m="1" x="55"/>
        <item m="1" x="584"/>
        <item m="1" x="566"/>
        <item m="1" x="135"/>
        <item m="1" x="450"/>
        <item m="1" x="628"/>
        <item m="1" x="286"/>
        <item m="1" x="480"/>
        <item m="1" x="331"/>
        <item m="1" x="173"/>
        <item m="1" x="499"/>
        <item m="1" x="615"/>
        <item m="1" x="125"/>
        <item m="1" x="14"/>
        <item m="1" x="351"/>
        <item m="1" x="579"/>
        <item m="1" x="259"/>
        <item m="1" x="68"/>
        <item m="1" x="153"/>
        <item m="1" x="298"/>
        <item m="1" x="374"/>
        <item m="1" x="506"/>
        <item m="1" x="631"/>
        <item m="1" x="517"/>
        <item m="1" x="401"/>
        <item m="1" x="101"/>
        <item m="1" x="581"/>
        <item m="1" x="255"/>
        <item m="1" x="603"/>
        <item m="1" x="508"/>
        <item m="1" x="612"/>
        <item m="1" x="629"/>
        <item m="1" x="397"/>
        <item m="1" x="542"/>
        <item m="1" x="152"/>
        <item m="1" x="485"/>
        <item m="1" x="34"/>
        <item m="1" x="605"/>
        <item m="1" x="105"/>
        <item m="1" x="43"/>
        <item m="1" x="354"/>
        <item m="1" x="263"/>
        <item m="1" x="250"/>
        <item m="1" x="443"/>
        <item m="1" x="31"/>
        <item m="1" x="496"/>
        <item m="1" x="148"/>
        <item m="1" x="104"/>
        <item m="1" x="293"/>
        <item m="1" x="600"/>
        <item m="1" x="520"/>
        <item m="1" x="79"/>
        <item m="1" x="20"/>
        <item m="1" x="328"/>
        <item m="1" x="191"/>
        <item m="1" x="30"/>
        <item m="1" x="453"/>
        <item m="1" x="627"/>
        <item m="1" x="327"/>
        <item m="1" x="544"/>
        <item m="1" x="270"/>
        <item m="1" x="563"/>
        <item m="1" x="525"/>
        <item m="1" x="329"/>
        <item m="1" x="533"/>
        <item m="1" x="142"/>
        <item m="1" x="122"/>
        <item m="1" x="501"/>
        <item m="1" x="643"/>
        <item m="1" x="382"/>
        <item m="1" x="387"/>
        <item m="1" x="300"/>
        <item m="1" x="548"/>
        <item m="1" x="562"/>
        <item m="1" x="190"/>
        <item m="1" x="16"/>
        <item m="1" x="567"/>
        <item m="1" x="332"/>
        <item m="1" x="537"/>
        <item m="1" x="215"/>
        <item m="1" x="518"/>
        <item m="1" x="494"/>
        <item m="1" x="621"/>
        <item m="1" x="314"/>
        <item m="1" x="404"/>
        <item m="1" x="539"/>
        <item m="1" x="317"/>
        <item m="1" x="264"/>
        <item m="1" x="25"/>
        <item m="1" x="484"/>
        <item m="1" x="143"/>
        <item m="1" x="459"/>
        <item m="1" x="419"/>
        <item m="1" x="197"/>
        <item m="1" x="12"/>
        <item m="1" x="123"/>
        <item m="1" x="241"/>
        <item m="1" x="186"/>
        <item m="1" x="423"/>
        <item m="1" x="163"/>
        <item m="1" x="437"/>
        <item m="1" x="72"/>
        <item m="1" x="462"/>
        <item m="1" x="438"/>
        <item m="1" x="468"/>
        <item m="1" x="601"/>
        <item m="1" x="309"/>
        <item m="1" x="140"/>
        <item m="1" x="91"/>
        <item m="1" x="107"/>
        <item m="1" x="252"/>
        <item m="1" x="531"/>
        <item m="1" x="80"/>
        <item m="1" x="635"/>
        <item m="1" x="368"/>
        <item m="1" x="213"/>
        <item m="1" x="511"/>
        <item m="1" x="322"/>
        <item m="1" x="180"/>
        <item m="1" x="344"/>
        <item m="1" x="632"/>
        <item m="1" x="545"/>
        <item m="1" x="364"/>
        <item m="1" x="402"/>
        <item m="1" x="126"/>
        <item m="1" x="493"/>
        <item m="1" x="646"/>
        <item m="1" x="230"/>
        <item m="1" x="193"/>
        <item m="1" x="617"/>
        <item m="1" x="216"/>
        <item m="1" x="541"/>
        <item m="1" x="115"/>
        <item m="1" x="388"/>
        <item m="1" x="117"/>
        <item m="1" x="162"/>
        <item m="1" x="157"/>
        <item m="1" x="583"/>
        <item m="1" x="310"/>
        <item m="1" x="23"/>
        <item m="1" x="160"/>
        <item m="1" x="114"/>
        <item m="1" x="29"/>
        <item m="1" x="150"/>
        <item m="1" x="278"/>
        <item m="1" x="243"/>
        <item m="1" x="13"/>
        <item m="1" x="221"/>
        <item m="1" x="249"/>
        <item m="1" x="251"/>
        <item m="1" x="381"/>
        <item m="1" x="349"/>
        <item m="1" x="570"/>
        <item m="1" x="559"/>
        <item m="1" x="461"/>
        <item m="1" x="505"/>
        <item m="1" x="313"/>
        <item m="1" x="32"/>
        <item m="1" x="161"/>
        <item m="1" x="223"/>
        <item m="1" x="41"/>
        <item m="1" x="630"/>
        <item m="1" x="546"/>
        <item m="1" x="457"/>
        <item m="1" x="273"/>
        <item m="1" x="342"/>
        <item m="1" x="587"/>
        <item m="1" x="220"/>
        <item m="1" x="113"/>
        <item m="1" x="81"/>
        <item m="1" x="291"/>
        <item m="1" x="182"/>
        <item m="1" x="491"/>
        <item m="1" x="380"/>
        <item m="1" x="268"/>
        <item m="1" x="568"/>
        <item m="1" x="378"/>
        <item m="1" x="412"/>
        <item m="1" x="54"/>
        <item m="1" x="138"/>
        <item m="1" x="26"/>
        <item m="1" x="355"/>
        <item m="1" x="119"/>
        <item m="1" x="483"/>
        <item m="1" x="575"/>
        <item m="1" x="465"/>
        <item m="1" x="275"/>
        <item m="1" x="618"/>
        <item m="1" x="639"/>
        <item m="1" x="384"/>
        <item m="1" x="449"/>
        <item m="1" x="28"/>
        <item m="1" x="111"/>
        <item m="1" x="134"/>
        <item m="1" x="229"/>
        <item m="1" x="98"/>
        <item m="1" x="89"/>
        <item m="1" x="436"/>
        <item m="1" x="463"/>
        <item m="1" x="592"/>
        <item m="1" x="261"/>
        <item m="1" x="27"/>
        <item m="1" x="624"/>
        <item m="1" x="538"/>
        <item m="1" x="395"/>
        <item m="1" x="184"/>
        <item m="1" x="210"/>
        <item m="1" x="15"/>
        <item m="1" x="33"/>
        <item m="1" x="53"/>
        <item m="1" x="350"/>
        <item m="1" x="323"/>
        <item m="1" x="45"/>
        <item m="1" x="17"/>
        <item m="1" x="478"/>
        <item m="1" x="176"/>
        <item m="1" x="405"/>
        <item m="1" x="536"/>
        <item m="1" x="361"/>
        <item m="1" x="634"/>
        <item m="1" x="246"/>
        <item m="1" x="302"/>
        <item m="1" x="63"/>
        <item m="1" x="599"/>
        <item m="1" x="136"/>
        <item m="1" x="574"/>
        <item m="1" x="297"/>
        <item m="1" x="369"/>
        <item m="1" x="116"/>
        <item m="1" x="470"/>
        <item m="1" x="307"/>
        <item m="1" x="358"/>
        <item m="1" x="400"/>
        <item m="1" x="257"/>
        <item m="1" x="597"/>
        <item m="1" x="274"/>
        <item m="1" x="415"/>
        <item m="1" x="408"/>
        <item m="1" x="360"/>
        <item m="1" x="452"/>
        <item m="1" x="429"/>
        <item m="1" x="90"/>
        <item m="1" x="203"/>
        <item m="1" x="393"/>
        <item m="1" x="11"/>
        <item m="1" x="333"/>
        <item m="1" x="18"/>
        <item m="1" x="256"/>
        <item m="1" x="565"/>
        <item m="1" x="326"/>
        <item m="1" x="276"/>
        <item m="1" x="366"/>
        <item m="1" x="70"/>
        <item m="1" x="66"/>
        <item m="1" x="285"/>
        <item m="1" x="64"/>
        <item m="1" x="94"/>
        <item m="1" x="232"/>
        <item m="1" x="510"/>
        <item m="1" x="430"/>
        <item m="1" x="338"/>
        <item m="1" x="376"/>
        <item m="1" x="486"/>
        <item m="1" x="626"/>
        <item m="1" x="24"/>
        <item m="1" x="303"/>
        <item m="1" x="379"/>
        <item m="1" x="37"/>
        <item m="1" x="515"/>
        <item m="1" x="356"/>
        <item m="1" x="330"/>
        <item m="1" x="92"/>
        <item m="1" x="454"/>
        <item m="1" x="440"/>
        <item m="1" x="571"/>
        <item m="1" x="262"/>
        <item m="1" x="289"/>
        <item m="1" x="127"/>
        <item m="1" x="638"/>
        <item m="1" x="591"/>
        <item m="1" x="194"/>
        <item m="1" x="516"/>
        <item m="1" x="86"/>
        <item m="1" x="76"/>
        <item m="1" x="406"/>
        <item m="1" x="248"/>
        <item m="1" x="158"/>
        <item m="1" x="604"/>
        <item m="1" x="311"/>
        <item m="1" x="411"/>
        <item m="1" x="335"/>
        <item m="1" x="222"/>
        <item m="1" x="464"/>
        <item m="1" x="187"/>
        <item m="1" x="590"/>
        <item m="1" x="183"/>
        <item m="1" x="93"/>
        <item m="1" x="217"/>
        <item m="1" x="334"/>
        <item m="1" x="227"/>
        <item m="1" x="370"/>
        <item m="1" x="50"/>
        <item m="1" x="58"/>
        <item m="1" x="557"/>
        <item m="1" x="85"/>
        <item m="1" x="434"/>
        <item m="1" x="607"/>
        <item m="1" x="556"/>
        <item m="1" x="439"/>
        <item m="1" x="159"/>
        <item m="1" x="44"/>
        <item m="1" x="240"/>
        <item m="1" x="547"/>
        <item m="1" x="509"/>
        <item m="1" x="469"/>
        <item m="1" x="236"/>
        <item m="1" x="620"/>
        <item m="1" x="424"/>
        <item m="1" x="418"/>
        <item m="1" x="552"/>
        <item m="1" x="87"/>
        <item m="1" x="308"/>
        <item m="1" x="294"/>
        <item m="1" x="254"/>
        <item m="1" x="35"/>
        <item m="1" x="174"/>
        <item m="1" x="304"/>
        <item m="1" x="475"/>
        <item m="1" x="644"/>
        <item m="1" x="78"/>
        <item m="1" x="549"/>
        <item m="1" x="277"/>
        <item m="1" x="185"/>
        <item m="1" x="133"/>
        <item m="1" x="594"/>
        <item m="1" x="474"/>
        <item m="1" x="455"/>
        <item m="1" x="529"/>
        <item m="1" x="95"/>
        <item m="1" x="2"/>
        <item m="1" x="212"/>
        <item m="1" x="633"/>
        <item m="1" x="6"/>
        <item m="1" x="75"/>
        <item m="1" x="640"/>
        <item m="1" x="489"/>
        <item m="1" x="65"/>
        <item m="1" x="131"/>
        <item m="1" x="558"/>
        <item m="1" x="596"/>
        <item m="1" x="315"/>
        <item m="1" x="61"/>
        <item m="1" x="433"/>
        <item m="1" x="144"/>
        <item m="1" x="500"/>
        <item m="1" x="428"/>
        <item m="1" x="407"/>
        <item m="1" x="296"/>
        <item m="1" x="421"/>
        <item m="1" x="324"/>
        <item m="1" x="526"/>
        <item m="1" x="391"/>
        <item m="1" x="22"/>
        <item m="1" x="569"/>
        <item m="1" x="269"/>
        <item m="1" x="371"/>
        <item m="1" x="442"/>
        <item m="1" x="528"/>
        <item m="1" x="118"/>
        <item m="1" x="416"/>
        <item m="1" x="108"/>
        <item m="1" x="321"/>
        <item m="1" x="5"/>
        <item m="1" x="71"/>
        <item m="1" x="316"/>
        <item m="1" x="606"/>
        <item m="1" x="42"/>
        <item m="1" x="341"/>
        <item m="1" x="390"/>
        <item m="1" x="306"/>
        <item m="1" x="512"/>
        <item m="1" x="551"/>
        <item m="1" x="582"/>
        <item t="default"/>
      </items>
    </pivotField>
    <pivotField axis="axisRow" showAll="0" insertBlankRow="1">
      <items count="14">
        <item m="1" x="2"/>
        <item m="1" x="6"/>
        <item m="1" x="4"/>
        <item m="1" x="9"/>
        <item m="1" x="12"/>
        <item x="0"/>
        <item m="1" x="7"/>
        <item m="1" x="10"/>
        <item m="1" x="8"/>
        <item m="1" x="11"/>
        <item m="1" x="5"/>
        <item m="1" x="1"/>
        <item m="1" x="3"/>
        <item t="default"/>
      </items>
    </pivotField>
    <pivotField showAll="0" insertBlankRow="1"/>
    <pivotField axis="axisRow" showAll="0" insertBlankRow="1">
      <items count="275">
        <item m="1" x="34"/>
        <item m="1" x="99"/>
        <item m="1" x="166"/>
        <item m="1" x="187"/>
        <item m="1" x="25"/>
        <item m="1" x="111"/>
        <item x="0"/>
        <item m="1" x="225"/>
        <item m="1" x="269"/>
        <item m="1" x="186"/>
        <item m="1" x="115"/>
        <item m="1" x="67"/>
        <item m="1" x="33"/>
        <item m="1" x="241"/>
        <item m="1" x="62"/>
        <item m="1" x="82"/>
        <item m="1" x="16"/>
        <item m="1" x="223"/>
        <item m="1" x="102"/>
        <item m="1" x="164"/>
        <item m="1" x="149"/>
        <item m="1" x="32"/>
        <item m="1" x="153"/>
        <item m="1" x="108"/>
        <item m="1" x="236"/>
        <item m="1" x="168"/>
        <item m="1" x="120"/>
        <item m="1" x="146"/>
        <item m="1" x="256"/>
        <item m="1" x="252"/>
        <item m="1" x="101"/>
        <item m="1" x="87"/>
        <item m="1" x="141"/>
        <item m="1" x="66"/>
        <item m="1" x="174"/>
        <item m="1" x="121"/>
        <item m="1" x="110"/>
        <item m="1" x="117"/>
        <item m="1" x="151"/>
        <item m="1" x="100"/>
        <item m="1" x="234"/>
        <item m="1" x="114"/>
        <item m="1" x="154"/>
        <item m="1" x="183"/>
        <item m="1" x="96"/>
        <item m="1" x="53"/>
        <item m="1" x="180"/>
        <item m="1" x="204"/>
        <item m="1" x="163"/>
        <item m="1" x="259"/>
        <item m="1" x="44"/>
        <item m="1" x="109"/>
        <item m="1" x="49"/>
        <item m="1" x="75"/>
        <item m="1" x="12"/>
        <item m="1" x="222"/>
        <item m="1" x="19"/>
        <item m="1" x="246"/>
        <item m="1" x="209"/>
        <item m="1" x="179"/>
        <item m="1" x="144"/>
        <item m="1" x="119"/>
        <item m="1" x="198"/>
        <item m="1" x="74"/>
        <item m="1" x="263"/>
        <item m="1" x="165"/>
        <item m="1" x="260"/>
        <item m="1" x="249"/>
        <item m="1" x="15"/>
        <item m="1" x="125"/>
        <item m="1" x="267"/>
        <item m="1" x="43"/>
        <item m="1" x="77"/>
        <item m="1" x="273"/>
        <item m="1" x="79"/>
        <item m="1" x="80"/>
        <item m="1" x="158"/>
        <item m="1" x="205"/>
        <item m="1" x="199"/>
        <item m="1" x="54"/>
        <item m="1" x="133"/>
        <item m="1" x="172"/>
        <item m="1" x="231"/>
        <item m="1" x="244"/>
        <item m="1" x="13"/>
        <item m="1" x="72"/>
        <item m="1" x="31"/>
        <item m="1" x="64"/>
        <item m="1" x="113"/>
        <item m="1" x="242"/>
        <item m="1" x="152"/>
        <item m="1" x="245"/>
        <item m="1" x="18"/>
        <item m="1" x="69"/>
        <item m="1" x="139"/>
        <item m="1" x="92"/>
        <item m="1" x="212"/>
        <item m="1" x="103"/>
        <item m="1" x="224"/>
        <item m="1" x="59"/>
        <item m="1" x="138"/>
        <item m="1" x="128"/>
        <item m="1" x="264"/>
        <item m="1" x="213"/>
        <item m="1" x="134"/>
        <item m="1" x="37"/>
        <item m="1" x="105"/>
        <item m="1" x="203"/>
        <item m="1" x="68"/>
        <item m="1" x="190"/>
        <item m="1" x="239"/>
        <item m="1" x="247"/>
        <item m="1" x="270"/>
        <item m="1" x="27"/>
        <item m="1" x="123"/>
        <item m="1" x="175"/>
        <item m="1" x="7"/>
        <item m="1" x="150"/>
        <item m="1" x="56"/>
        <item m="1" x="240"/>
        <item m="1" x="8"/>
        <item m="1" x="104"/>
        <item m="1" x="272"/>
        <item m="1" x="112"/>
        <item m="1" x="58"/>
        <item m="1" x="35"/>
        <item m="1" x="39"/>
        <item m="1" x="208"/>
        <item m="1" x="81"/>
        <item m="1" x="4"/>
        <item m="1" x="221"/>
        <item m="1" x="95"/>
        <item m="1" x="122"/>
        <item m="1" x="10"/>
        <item m="1" x="61"/>
        <item m="1" x="185"/>
        <item m="1" x="30"/>
        <item m="1" x="1"/>
        <item m="1" x="202"/>
        <item m="1" x="71"/>
        <item m="1" x="268"/>
        <item m="1" x="206"/>
        <item m="1" x="3"/>
        <item m="1" x="83"/>
        <item m="1" x="215"/>
        <item m="1" x="40"/>
        <item m="1" x="155"/>
        <item m="1" x="178"/>
        <item m="1" x="193"/>
        <item m="1" x="46"/>
        <item m="1" x="127"/>
        <item m="1" x="201"/>
        <item m="1" x="21"/>
        <item m="1" x="257"/>
        <item m="1" x="137"/>
        <item m="1" x="91"/>
        <item m="1" x="130"/>
        <item m="1" x="124"/>
        <item m="1" x="65"/>
        <item m="1" x="55"/>
        <item m="1" x="89"/>
        <item m="1" x="106"/>
        <item m="1" x="93"/>
        <item m="1" x="97"/>
        <item m="1" x="145"/>
        <item m="1" x="243"/>
        <item m="1" x="60"/>
        <item m="1" x="210"/>
        <item m="1" x="173"/>
        <item m="1" x="42"/>
        <item m="1" x="192"/>
        <item m="1" x="6"/>
        <item m="1" x="147"/>
        <item m="1" x="22"/>
        <item m="1" x="86"/>
        <item m="1" x="194"/>
        <item m="1" x="17"/>
        <item m="1" x="196"/>
        <item m="1" x="255"/>
        <item m="1" x="228"/>
        <item m="1" x="170"/>
        <item m="1" x="52"/>
        <item m="1" x="9"/>
        <item m="1" x="14"/>
        <item m="1" x="184"/>
        <item m="1" x="188"/>
        <item m="1" x="181"/>
        <item m="1" x="38"/>
        <item m="1" x="161"/>
        <item m="1" x="45"/>
        <item m="1" x="136"/>
        <item m="1" x="29"/>
        <item m="1" x="189"/>
        <item m="1" x="50"/>
        <item m="1" x="41"/>
        <item m="1" x="218"/>
        <item m="1" x="131"/>
        <item m="1" x="197"/>
        <item m="1" x="24"/>
        <item m="1" x="51"/>
        <item m="1" x="2"/>
        <item m="1" x="171"/>
        <item m="1" x="227"/>
        <item m="1" x="148"/>
        <item m="1" x="216"/>
        <item m="1" x="156"/>
        <item m="1" x="195"/>
        <item m="1" x="73"/>
        <item m="1" x="107"/>
        <item m="1" x="157"/>
        <item m="1" x="98"/>
        <item m="1" x="78"/>
        <item m="1" x="63"/>
        <item m="1" x="126"/>
        <item m="1" x="169"/>
        <item m="1" x="261"/>
        <item m="1" x="214"/>
        <item m="1" x="28"/>
        <item m="1" x="11"/>
        <item m="1" x="159"/>
        <item m="1" x="132"/>
        <item m="1" x="220"/>
        <item m="1" x="70"/>
        <item m="1" x="129"/>
        <item m="1" x="84"/>
        <item m="1" x="250"/>
        <item m="1" x="248"/>
        <item m="1" x="47"/>
        <item m="1" x="200"/>
        <item m="1" x="116"/>
        <item m="1" x="48"/>
        <item m="1" x="182"/>
        <item m="1" x="229"/>
        <item m="1" x="176"/>
        <item m="1" x="271"/>
        <item m="1" x="23"/>
        <item m="1" x="219"/>
        <item m="1" x="232"/>
        <item m="1" x="90"/>
        <item m="1" x="262"/>
        <item m="1" x="211"/>
        <item m="1" x="88"/>
        <item m="1" x="36"/>
        <item m="1" x="233"/>
        <item m="1" x="160"/>
        <item m="1" x="254"/>
        <item m="1" x="162"/>
        <item m="1" x="253"/>
        <item m="1" x="26"/>
        <item m="1" x="177"/>
        <item m="1" x="265"/>
        <item m="1" x="230"/>
        <item m="1" x="226"/>
        <item m="1" x="238"/>
        <item m="1" x="258"/>
        <item m="1" x="167"/>
        <item m="1" x="140"/>
        <item m="1" x="20"/>
        <item m="1" x="94"/>
        <item m="1" x="235"/>
        <item m="1" x="251"/>
        <item m="1" x="266"/>
        <item m="1" x="143"/>
        <item m="1" x="135"/>
        <item m="1" x="142"/>
        <item m="1" x="217"/>
        <item m="1" x="191"/>
        <item m="1" x="57"/>
        <item m="1" x="76"/>
        <item m="1" x="5"/>
        <item m="1" x="118"/>
        <item m="1" x="237"/>
        <item m="1" x="207"/>
        <item m="1" x="85"/>
        <item t="default"/>
      </items>
    </pivotField>
    <pivotField showAll="0" insertBlankRow="1"/>
    <pivotField axis="axisRow" showAll="0" insertBlankRow="1">
      <items count="7">
        <item m="1" x="1"/>
        <item m="1" x="3"/>
        <item m="1" x="5"/>
        <item m="1" x="2"/>
        <item x="0"/>
        <item m="1" x="4"/>
        <item t="default"/>
      </items>
    </pivotField>
    <pivotField showAll="0" insertBlankRow="1"/>
    <pivotField axis="axisRow" showAll="0" insertBlankRow="1">
      <items count="7">
        <item m="1" x="3"/>
        <item m="1" x="2"/>
        <item x="0"/>
        <item m="1" x="1"/>
        <item m="1" x="4"/>
        <item m="1" x="5"/>
        <item t="default"/>
      </items>
    </pivotField>
    <pivotField showAll="0" insertBlankRow="1"/>
    <pivotField showAll="0" insertBlankRow="1"/>
    <pivotField showAll="0" insertBlankRow="1"/>
    <pivotField showAll="0" insertBlankRow="1"/>
    <pivotField showAll="0" insertBlankRow="1"/>
    <pivotField showAll="0" insertBlankRow="1"/>
    <pivotField showAll="0" insertBlankRow="1"/>
    <pivotField showAll="0" defaultSubtotal="0"/>
  </pivotFields>
  <rowFields count="10">
    <field x="0"/>
    <field x="2"/>
    <field x="15"/>
    <field x="16"/>
    <field x="20"/>
    <field x="21"/>
    <field x="23"/>
    <field x="18"/>
    <field x="27"/>
    <field x="25"/>
  </rowFields>
  <rowItems count="11">
    <i>
      <x/>
    </i>
    <i r="1">
      <x v="20"/>
    </i>
    <i r="2">
      <x v="70"/>
    </i>
    <i r="3">
      <x v="11"/>
    </i>
    <i r="4">
      <x v="13"/>
    </i>
    <i r="5">
      <x v="5"/>
    </i>
    <i r="6">
      <x v="6"/>
    </i>
    <i r="7">
      <x v="8"/>
    </i>
    <i r="8">
      <x v="2"/>
    </i>
    <i r="9">
      <x v="4"/>
    </i>
    <i t="blank" r="8">
      <x v="2"/>
    </i>
  </rowItems>
  <colItems count="1">
    <i/>
  </colItems>
  <pageFields count="1">
    <pageField fld="6" item="170" hier="-1"/>
  </pageFields>
  <formats count="4">
    <format dxfId="10">
      <pivotArea type="all" dataOnly="0" outline="0" fieldPosition="0"/>
    </format>
    <format dxfId="9">
      <pivotArea type="all" dataOnly="0" outline="0" fieldPosition="0"/>
    </format>
    <format dxfId="8">
      <pivotArea type="all" dataOnly="0" outline="0" fieldPosition="0"/>
    </format>
    <format dxfId="7">
      <pivotArea type="all" dataOnly="0" outline="0" fieldPosition="0"/>
    </format>
  </formats>
  <pivotTableStyleInfo name="PivotStyleLight15"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4:AI11" totalsRowShown="0" headerRowDxfId="263" dataDxfId="262">
  <autoFilter ref="A4:AI11" xr:uid="{00000000-0009-0000-0100-000001000000}"/>
  <tableColumns count="35">
    <tableColumn id="1" xr3:uid="{00000000-0010-0000-0000-000001000000}" name="Case #" dataDxfId="261"/>
    <tableColumn id="34" xr3:uid="{00000000-0010-0000-0000-000022000000}" name="Date when Report was Received2" dataDxfId="260"/>
    <tableColumn id="2" xr3:uid="{00000000-0010-0000-0000-000002000000}" name="Date of Alleged Incident" dataDxfId="259"/>
    <tableColumn id="3" xr3:uid="{00000000-0010-0000-0000-000003000000}" name="Day of the Week" dataDxfId="258"/>
    <tableColumn id="4" xr3:uid="{00000000-0010-0000-0000-000004000000}" name="Time (Definite or Approx.)" dataDxfId="257"/>
    <tableColumn id="5" xr3:uid="{00000000-0010-0000-0000-000005000000}" name="Shift" dataDxfId="256"/>
    <tableColumn id="6" xr3:uid="{00000000-0010-0000-0000-000006000000}" name="Resident Name &amp; ID" dataDxfId="255"/>
    <tableColumn id="8" xr3:uid="{00000000-0010-0000-0000-000008000000}" name="Reporter (if not resident)" dataDxfId="254"/>
    <tableColumn id="9" xr3:uid="{00000000-0010-0000-0000-000009000000}" name="Witnesses" dataDxfId="253"/>
    <tableColumn id="10" xr3:uid="{00000000-0010-0000-0000-00000A000000}" name="1st Implicated Staff" dataDxfId="252"/>
    <tableColumn id="11" xr3:uid="{00000000-0010-0000-0000-00000B000000}" name="2nd Implicated Staff" dataDxfId="251"/>
    <tableColumn id="12" xr3:uid="{00000000-0010-0000-0000-00000C000000}" name="3rd Implicated Staff" dataDxfId="250"/>
    <tableColumn id="13" xr3:uid="{00000000-0010-0000-0000-00000D000000}" name="Resident's Unit" dataDxfId="249"/>
    <tableColumn id="14" xr3:uid="{00000000-0010-0000-0000-00000E000000}" name="Location of Alleged Incident" dataDxfId="248"/>
    <tableColumn id="15" xr3:uid="{00000000-0010-0000-0000-00000F000000}" name="Type of Complaint" dataDxfId="247"/>
    <tableColumn id="16" xr3:uid="{00000000-0010-0000-0000-000010000000}" name="Complaint" dataDxfId="246"/>
    <tableColumn id="17" xr3:uid="{00000000-0010-0000-0000-000011000000}" name="Action Required" dataDxfId="245"/>
    <tableColumn id="18" xr3:uid="{00000000-0010-0000-0000-000012000000}" name="Name" dataDxfId="244"/>
    <tableColumn id="19" xr3:uid="{00000000-0010-0000-0000-000013000000}" name="Title" dataDxfId="243"/>
    <tableColumn id="20" xr3:uid="{00000000-0010-0000-0000-000014000000}" name="On Date:" dataDxfId="242"/>
    <tableColumn id="21" xr3:uid="{00000000-0010-0000-0000-000015000000}" name="Evidence/ What was found" dataDxfId="241"/>
    <tableColumn id="22" xr3:uid="{00000000-0010-0000-0000-000016000000}" name="Findings/ Ruling" dataDxfId="240"/>
    <tableColumn id="23" xr3:uid="{00000000-0010-0000-0000-000017000000}" name="Outcome" dataDxfId="239"/>
    <tableColumn id="24" xr3:uid="{00000000-0010-0000-0000-000018000000}" name="Supplemental Info" dataDxfId="238"/>
    <tableColumn id="25" xr3:uid="{00000000-0010-0000-0000-000019000000}" name="Has Debriefing Occurred?" dataDxfId="237"/>
    <tableColumn id="26" xr3:uid="{00000000-0010-0000-0000-00001A000000}" name="Date of Debriefing" dataDxfId="236"/>
    <tableColumn id="27" xr3:uid="{00000000-0010-0000-0000-00001B000000}" name="Accept or Appeal?" dataDxfId="235"/>
    <tableColumn id="28" xr3:uid="{00000000-0010-0000-0000-00001C000000}" name="Debriefing Notes" dataDxfId="234"/>
    <tableColumn id="29" xr3:uid="{00000000-0010-0000-0000-00001D000000}" name="External Report made?" dataDxfId="233"/>
    <tableColumn id="30" xr3:uid="{00000000-0010-0000-0000-00001E000000}" name="External Report Agency" dataDxfId="232"/>
    <tableColumn id="7" xr3:uid="{00000000-0010-0000-0000-000007000000}" name="Date of External Report (if applicable)" dataDxfId="231"/>
    <tableColumn id="31" xr3:uid="{00000000-0010-0000-0000-00001F000000}" name="Results of External Report" dataDxfId="230"/>
    <tableColumn id="32" xr3:uid="{00000000-0010-0000-0000-000020000000}" name="Trending" dataDxfId="229"/>
    <tableColumn id="33" xr3:uid="{00000000-0010-0000-0000-000021000000}" name="Notes" dataDxfId="228"/>
    <tableColumn id="36" xr3:uid="{00000000-0010-0000-0000-000024000000}" name="Month Received" dataDxfId="227"/>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 displayName="Table13" ref="A3:AJ9" totalsRowShown="0" headerRowDxfId="226" dataDxfId="225">
  <autoFilter ref="A3:AJ9" xr:uid="{00000000-0009-0000-0100-000002000000}"/>
  <sortState xmlns:xlrd2="http://schemas.microsoft.com/office/spreadsheetml/2017/richdata2" ref="A4:AJ733">
    <sortCondition ref="A3:A733"/>
  </sortState>
  <tableColumns count="36">
    <tableColumn id="1" xr3:uid="{00000000-0010-0000-0100-000001000000}" name="Case #" dataDxfId="224"/>
    <tableColumn id="34" xr3:uid="{00000000-0010-0000-0100-000022000000}" name="Date when Report was Received" dataDxfId="223"/>
    <tableColumn id="2" xr3:uid="{00000000-0010-0000-0100-000002000000}" name="Date of Alleged Incident" dataDxfId="222"/>
    <tableColumn id="3" xr3:uid="{00000000-0010-0000-0100-000003000000}" name="Day of the Week" dataDxfId="221"/>
    <tableColumn id="4" xr3:uid="{00000000-0010-0000-0100-000004000000}" name="Time (Definite or Approx.)" dataDxfId="220"/>
    <tableColumn id="5" xr3:uid="{00000000-0010-0000-0100-000005000000}" name="Shift" dataDxfId="219"/>
    <tableColumn id="6" xr3:uid="{00000000-0010-0000-0100-000006000000}" name="Resident Name &amp; ID" dataDxfId="218"/>
    <tableColumn id="8" xr3:uid="{00000000-0010-0000-0100-000008000000}" name="Reporter (if not resident)" dataDxfId="217"/>
    <tableColumn id="9" xr3:uid="{00000000-0010-0000-0100-000009000000}" name="Witnesses" dataDxfId="216"/>
    <tableColumn id="10" xr3:uid="{00000000-0010-0000-0100-00000A000000}" name="1st Implicated Staff" dataDxfId="215"/>
    <tableColumn id="11" xr3:uid="{00000000-0010-0000-0100-00000B000000}" name="2nd Implicated Staff" dataDxfId="214"/>
    <tableColumn id="12" xr3:uid="{00000000-0010-0000-0100-00000C000000}" name="3rd Implicated Staff" dataDxfId="213"/>
    <tableColumn id="13" xr3:uid="{00000000-0010-0000-0100-00000D000000}" name="Resident's Unit" dataDxfId="212"/>
    <tableColumn id="14" xr3:uid="{00000000-0010-0000-0100-00000E000000}" name="Location of Alleged Incident" dataDxfId="211"/>
    <tableColumn id="15" xr3:uid="{00000000-0010-0000-0100-00000F000000}" name="Type of Complaint" dataDxfId="210"/>
    <tableColumn id="16" xr3:uid="{00000000-0010-0000-0100-000010000000}" name="Complaint" dataDxfId="209"/>
    <tableColumn id="17" xr3:uid="{00000000-0010-0000-0100-000011000000}" name="Action Required" dataDxfId="208"/>
    <tableColumn id="18" xr3:uid="{00000000-0010-0000-0100-000012000000}" name="Given to Name:" dataDxfId="207"/>
    <tableColumn id="19" xr3:uid="{00000000-0010-0000-0100-000013000000}" name="Title" dataDxfId="206"/>
    <tableColumn id="20" xr3:uid="{00000000-0010-0000-0100-000014000000}" name=" Given on Date:" dataDxfId="205"/>
    <tableColumn id="21" xr3:uid="{00000000-0010-0000-0100-000015000000}" name="Evidence/ What was found" dataDxfId="204"/>
    <tableColumn id="22" xr3:uid="{00000000-0010-0000-0100-000016000000}" name="Findings/ Ruling" dataDxfId="203"/>
    <tableColumn id="35" xr3:uid="{00000000-0010-0000-0100-000023000000}" name="Matching Code for Findings" dataDxfId="202"/>
    <tableColumn id="23" xr3:uid="{00000000-0010-0000-0100-000017000000}" name="Outcome" dataDxfId="201"/>
    <tableColumn id="24" xr3:uid="{00000000-0010-0000-0100-000018000000}" name="Supplemental Info" dataDxfId="200"/>
    <tableColumn id="25" xr3:uid="{00000000-0010-0000-0100-000019000000}" name="Has Debriefing Occurred?" dataDxfId="199"/>
    <tableColumn id="26" xr3:uid="{00000000-0010-0000-0100-00001A000000}" name="Date of Debriefing" dataDxfId="198"/>
    <tableColumn id="27" xr3:uid="{00000000-0010-0000-0100-00001B000000}" name="Accept or Appeal?" dataDxfId="197"/>
    <tableColumn id="28" xr3:uid="{00000000-0010-0000-0100-00001C000000}" name="Debriefing Notes" dataDxfId="196"/>
    <tableColumn id="29" xr3:uid="{00000000-0010-0000-0100-00001D000000}" name="External Report made?" dataDxfId="195"/>
    <tableColumn id="30" xr3:uid="{00000000-0010-0000-0100-00001E000000}" name="External Report Agency" dataDxfId="194"/>
    <tableColumn id="7" xr3:uid="{00000000-0010-0000-0100-000007000000}" name="Date of External Report (if applicable)" dataDxfId="193"/>
    <tableColumn id="31" xr3:uid="{00000000-0010-0000-0100-00001F000000}" name="Results of External Report" dataDxfId="192"/>
    <tableColumn id="32" xr3:uid="{00000000-0010-0000-0100-000020000000}" name="Trending" dataDxfId="191"/>
    <tableColumn id="33" xr3:uid="{00000000-0010-0000-0100-000021000000}" name="Notes" dataDxfId="190"/>
    <tableColumn id="37" xr3:uid="{00000000-0010-0000-0100-000025000000}" name="Month Received" dataDxfId="189"/>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2000000}" name="Table8" displayName="Table8" ref="A3:X183" totalsRowShown="0" headerRowDxfId="188">
  <autoFilter ref="A3:X183" xr:uid="{00000000-0009-0000-0100-000008000000}"/>
  <sortState xmlns:xlrd2="http://schemas.microsoft.com/office/spreadsheetml/2017/richdata2" ref="A4:X163">
    <sortCondition ref="A3:A163"/>
  </sortState>
  <tableColumns count="24">
    <tableColumn id="1" xr3:uid="{00000000-0010-0000-0200-000001000000}" name="Name &amp; ID"/>
    <tableColumn id="2" xr3:uid="{00000000-0010-0000-0200-000002000000}" name="ID"/>
    <tableColumn id="3" xr3:uid="{00000000-0010-0000-0200-000003000000}" name="1st Unit"/>
    <tableColumn id="4" xr3:uid="{00000000-0010-0000-0200-000004000000}" name="2nd Unit"/>
    <tableColumn id="5" xr3:uid="{00000000-0010-0000-0200-000005000000}" name="Total Complaints Made" dataDxfId="187"/>
    <tableColumn id="7" xr3:uid="{00000000-0010-0000-0200-000007000000}" name="Total False (Deliberate) " dataDxfId="186"/>
    <tableColumn id="6" xr3:uid="{00000000-0010-0000-0200-000006000000}" name="Total False (Misunderstanding)" dataDxfId="185"/>
    <tableColumn id="8" xr3:uid="{00000000-0010-0000-0200-000008000000}" name="Total True" dataDxfId="184"/>
    <tableColumn id="9" xr3:uid="{00000000-0010-0000-0200-000009000000}" name="Total Inconclusive" dataDxfId="183"/>
    <tableColumn id="10" xr3:uid="{00000000-0010-0000-0200-00000A000000}" name="Total Pending" dataDxfId="182"/>
    <tableColumn id="11" xr3:uid="{00000000-0010-0000-0200-00000B000000}" name="General Complaints" dataDxfId="181"/>
    <tableColumn id="12" xr3:uid="{00000000-0010-0000-0200-00000C000000}" name="Column1" dataDxfId="180"/>
    <tableColumn id="24" xr3:uid="{00000000-0010-0000-0200-000018000000}" name="Jan" dataDxfId="179"/>
    <tableColumn id="23" xr3:uid="{00000000-0010-0000-0200-000017000000}" name="Feb" dataDxfId="178"/>
    <tableColumn id="22" xr3:uid="{00000000-0010-0000-0200-000016000000}" name="Mar" dataDxfId="177"/>
    <tableColumn id="21" xr3:uid="{00000000-0010-0000-0200-000015000000}" name="Apr" dataDxfId="176"/>
    <tableColumn id="20" xr3:uid="{00000000-0010-0000-0200-000014000000}" name="May" dataDxfId="175"/>
    <tableColumn id="19" xr3:uid="{00000000-0010-0000-0200-000013000000}" name="Jun" dataDxfId="174"/>
    <tableColumn id="18" xr3:uid="{00000000-0010-0000-0200-000012000000}" name="Jul" dataDxfId="173"/>
    <tableColumn id="17" xr3:uid="{00000000-0010-0000-0200-000011000000}" name="Aug" dataDxfId="172"/>
    <tableColumn id="16" xr3:uid="{00000000-0010-0000-0200-000010000000}" name="Sep" dataDxfId="171"/>
    <tableColumn id="15" xr3:uid="{00000000-0010-0000-0200-00000F000000}" name="Oct" dataDxfId="170"/>
    <tableColumn id="14" xr3:uid="{00000000-0010-0000-0200-00000E000000}" name="Nov" dataDxfId="169"/>
    <tableColumn id="13" xr3:uid="{00000000-0010-0000-0200-00000D000000}" name="Dec" dataDxfId="16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3000000}" name="Table12" displayName="Table12" ref="A1:M17" totalsRowShown="0" headerRowDxfId="167">
  <autoFilter ref="A1:M17" xr:uid="{00000000-0009-0000-0100-00000C000000}"/>
  <sortState xmlns:xlrd2="http://schemas.microsoft.com/office/spreadsheetml/2017/richdata2" ref="A2:M173">
    <sortCondition ref="A1:A173"/>
  </sortState>
  <tableColumns count="13">
    <tableColumn id="1" xr3:uid="{00000000-0010-0000-0300-000001000000}" name="Name"/>
    <tableColumn id="2" xr3:uid="{00000000-0010-0000-0300-000002000000}" name="Assigned Unit/ Dept"/>
    <tableColumn id="3" xr3:uid="{00000000-0010-0000-0300-000003000000}" name="Assigned Shift" dataDxfId="166"/>
    <tableColumn id="13" xr3:uid="{00000000-0010-0000-0300-00000D000000}" name="Gender" dataDxfId="165"/>
    <tableColumn id="4" xr3:uid="{00000000-0010-0000-0300-000004000000}" name="Job Title/ Function"/>
    <tableColumn id="5" xr3:uid="{00000000-0010-0000-0300-000005000000}" name="Hire Date"/>
    <tableColumn id="6" xr3:uid="{00000000-0010-0000-0300-000006000000}" name="Total Mentions" dataDxfId="164"/>
    <tableColumn id="7" xr3:uid="{00000000-0010-0000-0300-000007000000}" name="Total False (Misunderstanding)" dataDxfId="163"/>
    <tableColumn id="8" xr3:uid="{00000000-0010-0000-0300-000008000000}" name="Total False (Deliberate) " dataDxfId="162"/>
    <tableColumn id="9" xr3:uid="{00000000-0010-0000-0300-000009000000}" name="Total True" dataDxfId="161"/>
    <tableColumn id="10" xr3:uid="{00000000-0010-0000-0300-00000A000000}" name="Total Inconclusive" dataDxfId="160"/>
    <tableColumn id="11" xr3:uid="{00000000-0010-0000-0300-00000B000000}" name="Total Pending" dataDxfId="159"/>
    <tableColumn id="12" xr3:uid="{00000000-0010-0000-0300-00000C000000}" name="General Complaints" dataDxfId="158"/>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7:P22" totalsRowShown="0" headerRowDxfId="157" dataDxfId="156">
  <autoFilter ref="A7:P22" xr:uid="{00000000-0009-0000-0100-000005000000}"/>
  <tableColumns count="16">
    <tableColumn id="1" xr3:uid="{00000000-0010-0000-0400-000001000000}" name="New Choices" dataDxfId="155"/>
    <tableColumn id="2" xr3:uid="{00000000-0010-0000-0400-000002000000}" name="Total" dataDxfId="154"/>
    <tableColumn id="3" xr3:uid="{00000000-0010-0000-0400-000003000000}" name="Column1" dataDxfId="153"/>
    <tableColumn id="4" xr3:uid="{00000000-0010-0000-0400-000004000000}" name="Jan" dataDxfId="152"/>
    <tableColumn id="5" xr3:uid="{00000000-0010-0000-0400-000005000000}" name="Feb" dataDxfId="151"/>
    <tableColumn id="6" xr3:uid="{00000000-0010-0000-0400-000006000000}" name="Mar" dataDxfId="150"/>
    <tableColumn id="7" xr3:uid="{00000000-0010-0000-0400-000007000000}" name="Apr" dataDxfId="149"/>
    <tableColumn id="8" xr3:uid="{00000000-0010-0000-0400-000008000000}" name="May" dataDxfId="148"/>
    <tableColumn id="9" xr3:uid="{00000000-0010-0000-0400-000009000000}" name="Jun" dataDxfId="147"/>
    <tableColumn id="10" xr3:uid="{00000000-0010-0000-0400-00000A000000}" name="Jul" dataDxfId="146"/>
    <tableColumn id="11" xr3:uid="{00000000-0010-0000-0400-00000B000000}" name="Aug" dataDxfId="145"/>
    <tableColumn id="12" xr3:uid="{00000000-0010-0000-0400-00000C000000}" name="Sep" dataDxfId="144"/>
    <tableColumn id="13" xr3:uid="{00000000-0010-0000-0400-00000D000000}" name="Oct" dataDxfId="143"/>
    <tableColumn id="14" xr3:uid="{00000000-0010-0000-0400-00000E000000}" name="Nov" dataDxfId="142"/>
    <tableColumn id="15" xr3:uid="{00000000-0010-0000-0400-00000F000000}" name="Dec" dataDxfId="141"/>
    <tableColumn id="16" xr3:uid="{00000000-0010-0000-0400-000010000000}" name="Formula check (Should be same as Total)" dataDxfId="140">
      <calculatedColumnFormula>SUM(D8:O8)</calculatedColumnFormula>
    </tableColumn>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25:P40" totalsRowShown="0" headerRowDxfId="139" dataDxfId="138">
  <autoFilter ref="A25:P40" xr:uid="{00000000-0009-0000-0100-000006000000}"/>
  <tableColumns count="16">
    <tableColumn id="1" xr3:uid="{00000000-0010-0000-0500-000001000000}" name="Safe Harbor" dataDxfId="137"/>
    <tableColumn id="2" xr3:uid="{00000000-0010-0000-0500-000002000000}" name="Total" dataDxfId="136"/>
    <tableColumn id="3" xr3:uid="{00000000-0010-0000-0500-000003000000}" name="Column1" dataDxfId="135"/>
    <tableColumn id="4" xr3:uid="{00000000-0010-0000-0500-000004000000}" name="Jan" dataDxfId="134"/>
    <tableColumn id="5" xr3:uid="{00000000-0010-0000-0500-000005000000}" name="Feb" dataDxfId="133"/>
    <tableColumn id="6" xr3:uid="{00000000-0010-0000-0500-000006000000}" name="Mar" dataDxfId="132"/>
    <tableColumn id="7" xr3:uid="{00000000-0010-0000-0500-000007000000}" name="Apr" dataDxfId="131"/>
    <tableColumn id="8" xr3:uid="{00000000-0010-0000-0500-000008000000}" name="May" dataDxfId="130"/>
    <tableColumn id="9" xr3:uid="{00000000-0010-0000-0500-000009000000}" name="Jun" dataDxfId="129"/>
    <tableColumn id="10" xr3:uid="{00000000-0010-0000-0500-00000A000000}" name="Jul" dataDxfId="128"/>
    <tableColumn id="11" xr3:uid="{00000000-0010-0000-0500-00000B000000}" name="Aug" dataDxfId="127"/>
    <tableColumn id="12" xr3:uid="{00000000-0010-0000-0500-00000C000000}" name="Sep" dataDxfId="126"/>
    <tableColumn id="13" xr3:uid="{00000000-0010-0000-0500-00000D000000}" name="Oct" dataDxfId="125"/>
    <tableColumn id="14" xr3:uid="{00000000-0010-0000-0500-00000E000000}" name="Nov" dataDxfId="124"/>
    <tableColumn id="15" xr3:uid="{00000000-0010-0000-0500-00000F000000}" name="Dec" dataDxfId="123"/>
    <tableColumn id="16" xr3:uid="{00000000-0010-0000-0500-000010000000}" name="Formula check (Should be same as Total)" dataDxfId="122">
      <calculatedColumnFormula>SUM(D26:O26)</calculatedColumnFormula>
    </tableColumn>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A42:P57" totalsRowShown="0" headerRowDxfId="121" dataDxfId="120">
  <autoFilter ref="A42:P57" xr:uid="{00000000-0009-0000-0100-000007000000}"/>
  <tableColumns count="16">
    <tableColumn id="1" xr3:uid="{00000000-0010-0000-0600-000001000000}" name="Starting Point" dataDxfId="119"/>
    <tableColumn id="2" xr3:uid="{00000000-0010-0000-0600-000002000000}" name="Total" dataDxfId="118"/>
    <tableColumn id="3" xr3:uid="{00000000-0010-0000-0600-000003000000}" name="Column1" dataDxfId="117"/>
    <tableColumn id="4" xr3:uid="{00000000-0010-0000-0600-000004000000}" name="Jan" dataDxfId="116"/>
    <tableColumn id="5" xr3:uid="{00000000-0010-0000-0600-000005000000}" name="Feb" dataDxfId="115"/>
    <tableColumn id="6" xr3:uid="{00000000-0010-0000-0600-000006000000}" name="Mar" dataDxfId="114"/>
    <tableColumn id="7" xr3:uid="{00000000-0010-0000-0600-000007000000}" name="Apr" dataDxfId="113"/>
    <tableColumn id="8" xr3:uid="{00000000-0010-0000-0600-000008000000}" name="May" dataDxfId="112"/>
    <tableColumn id="9" xr3:uid="{00000000-0010-0000-0600-000009000000}" name="Jun" dataDxfId="111"/>
    <tableColumn id="10" xr3:uid="{00000000-0010-0000-0600-00000A000000}" name="Jul" dataDxfId="110"/>
    <tableColumn id="11" xr3:uid="{00000000-0010-0000-0600-00000B000000}" name="Aug" dataDxfId="109"/>
    <tableColumn id="12" xr3:uid="{00000000-0010-0000-0600-00000C000000}" name="Sep" dataDxfId="108"/>
    <tableColumn id="13" xr3:uid="{00000000-0010-0000-0600-00000D000000}" name="Oct" dataDxfId="107"/>
    <tableColumn id="14" xr3:uid="{00000000-0010-0000-0600-00000E000000}" name="Nov" dataDxfId="106"/>
    <tableColumn id="15" xr3:uid="{00000000-0010-0000-0600-00000F000000}" name="Dec" dataDxfId="105"/>
    <tableColumn id="16" xr3:uid="{00000000-0010-0000-0600-000010000000}" name="Formula check (Should be same as Total)" dataDxfId="104">
      <calculatedColumnFormula>SUM(D43:O43)</calculatedColumnFormula>
    </tableColumn>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7000000}" name="Table9" displayName="Table9" ref="A59:P74" totalsRowShown="0" headerRowDxfId="103" dataDxfId="102">
  <autoFilter ref="A59:P74" xr:uid="{00000000-0009-0000-0100-000009000000}"/>
  <tableColumns count="16">
    <tableColumn id="1" xr3:uid="{00000000-0010-0000-0700-000001000000}" name="Transformations 1" dataDxfId="101"/>
    <tableColumn id="2" xr3:uid="{00000000-0010-0000-0700-000002000000}" name="Total" dataDxfId="100"/>
    <tableColumn id="3" xr3:uid="{00000000-0010-0000-0700-000003000000}" name="Column1" dataDxfId="99"/>
    <tableColumn id="4" xr3:uid="{00000000-0010-0000-0700-000004000000}" name="Jan" dataDxfId="98"/>
    <tableColumn id="5" xr3:uid="{00000000-0010-0000-0700-000005000000}" name="Feb" dataDxfId="97"/>
    <tableColumn id="6" xr3:uid="{00000000-0010-0000-0700-000006000000}" name="Mar" dataDxfId="96"/>
    <tableColumn id="7" xr3:uid="{00000000-0010-0000-0700-000007000000}" name="Apr" dataDxfId="95"/>
    <tableColumn id="8" xr3:uid="{00000000-0010-0000-0700-000008000000}" name="May" dataDxfId="94"/>
    <tableColumn id="9" xr3:uid="{00000000-0010-0000-0700-000009000000}" name="Jun" dataDxfId="93"/>
    <tableColumn id="10" xr3:uid="{00000000-0010-0000-0700-00000A000000}" name="Jul" dataDxfId="92"/>
    <tableColumn id="11" xr3:uid="{00000000-0010-0000-0700-00000B000000}" name="Aug" dataDxfId="91"/>
    <tableColumn id="12" xr3:uid="{00000000-0010-0000-0700-00000C000000}" name="Sep" dataDxfId="90"/>
    <tableColumn id="13" xr3:uid="{00000000-0010-0000-0700-00000D000000}" name="Oct" dataDxfId="89"/>
    <tableColumn id="14" xr3:uid="{00000000-0010-0000-0700-00000E000000}" name="Nov" dataDxfId="88"/>
    <tableColumn id="15" xr3:uid="{00000000-0010-0000-0700-00000F000000}" name="Dec" dataDxfId="87"/>
    <tableColumn id="16" xr3:uid="{00000000-0010-0000-0700-000010000000}" name="Formula check (Should be same as Total)" dataDxfId="86">
      <calculatedColumnFormula>SUM(D60:O60)</calculatedColumnFormula>
    </tableColumn>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able10" displayName="Table10" ref="A76:P91" totalsRowShown="0" headerRowDxfId="85" dataDxfId="84">
  <autoFilter ref="A76:P91" xr:uid="{00000000-0009-0000-0100-00000A000000}"/>
  <tableColumns count="16">
    <tableColumn id="1" xr3:uid="{00000000-0010-0000-0800-000001000000}" name="Transformations 2" dataDxfId="83"/>
    <tableColumn id="2" xr3:uid="{00000000-0010-0000-0800-000002000000}" name="Total" dataDxfId="82"/>
    <tableColumn id="3" xr3:uid="{00000000-0010-0000-0800-000003000000}" name="Column1" dataDxfId="81"/>
    <tableColumn id="4" xr3:uid="{00000000-0010-0000-0800-000004000000}" name="Jan" dataDxfId="80"/>
    <tableColumn id="5" xr3:uid="{00000000-0010-0000-0800-000005000000}" name="Feb" dataDxfId="79"/>
    <tableColumn id="6" xr3:uid="{00000000-0010-0000-0800-000006000000}" name="Mar" dataDxfId="78"/>
    <tableColumn id="7" xr3:uid="{00000000-0010-0000-0800-000007000000}" name="Apr" dataDxfId="77"/>
    <tableColumn id="8" xr3:uid="{00000000-0010-0000-0800-000008000000}" name="May" dataDxfId="76"/>
    <tableColumn id="9" xr3:uid="{00000000-0010-0000-0800-000009000000}" name="Jun" dataDxfId="75"/>
    <tableColumn id="10" xr3:uid="{00000000-0010-0000-0800-00000A000000}" name="Jul" dataDxfId="74"/>
    <tableColumn id="11" xr3:uid="{00000000-0010-0000-0800-00000B000000}" name="Aug" dataDxfId="73"/>
    <tableColumn id="12" xr3:uid="{00000000-0010-0000-0800-00000C000000}" name="Sep" dataDxfId="72"/>
    <tableColumn id="13" xr3:uid="{00000000-0010-0000-0800-00000D000000}" name="Oct" dataDxfId="71"/>
    <tableColumn id="14" xr3:uid="{00000000-0010-0000-0800-00000E000000}" name="Nov" dataDxfId="70"/>
    <tableColumn id="15" xr3:uid="{00000000-0010-0000-0800-00000F000000}" name="Dec" dataDxfId="69"/>
    <tableColumn id="16" xr3:uid="{00000000-0010-0000-0800-000010000000}" name="Formula check (Should be same as Total)" dataDxfId="68">
      <calculatedColumnFormula>SUM(D77:O77)</calculatedColumnFormula>
    </tableColumn>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le11" displayName="Table11" ref="A93:P108" totalsRowShown="0" headerRowDxfId="67" dataDxfId="66">
  <autoFilter ref="A93:P108" xr:uid="{00000000-0009-0000-0100-00000B000000}"/>
  <tableColumns count="16">
    <tableColumn id="1" xr3:uid="{00000000-0010-0000-0900-000001000000}" name="Triad" dataDxfId="65"/>
    <tableColumn id="2" xr3:uid="{00000000-0010-0000-0900-000002000000}" name="Total" dataDxfId="64"/>
    <tableColumn id="3" xr3:uid="{00000000-0010-0000-0900-000003000000}" name="Column1" dataDxfId="63"/>
    <tableColumn id="4" xr3:uid="{00000000-0010-0000-0900-000004000000}" name="Jan" dataDxfId="62"/>
    <tableColumn id="5" xr3:uid="{00000000-0010-0000-0900-000005000000}" name="Feb" dataDxfId="61"/>
    <tableColumn id="6" xr3:uid="{00000000-0010-0000-0900-000006000000}" name="Mar" dataDxfId="60"/>
    <tableColumn id="7" xr3:uid="{00000000-0010-0000-0900-000007000000}" name="Apr" dataDxfId="59"/>
    <tableColumn id="8" xr3:uid="{00000000-0010-0000-0900-000008000000}" name="May" dataDxfId="58"/>
    <tableColumn id="9" xr3:uid="{00000000-0010-0000-0900-000009000000}" name="Jun" dataDxfId="57"/>
    <tableColumn id="10" xr3:uid="{00000000-0010-0000-0900-00000A000000}" name="Jul" dataDxfId="56"/>
    <tableColumn id="11" xr3:uid="{00000000-0010-0000-0900-00000B000000}" name="Aug" dataDxfId="55"/>
    <tableColumn id="12" xr3:uid="{00000000-0010-0000-0900-00000C000000}" name="Sep" dataDxfId="54"/>
    <tableColumn id="13" xr3:uid="{00000000-0010-0000-0900-00000D000000}" name="Oct" dataDxfId="53"/>
    <tableColumn id="14" xr3:uid="{00000000-0010-0000-0900-00000E000000}" name="Nov" dataDxfId="52"/>
    <tableColumn id="15" xr3:uid="{00000000-0010-0000-0900-00000F000000}" name="Dec" dataDxfId="51"/>
    <tableColumn id="16" xr3:uid="{00000000-0010-0000-0900-000010000000}" name="Formula check (Should be same as Total)" dataDxfId="50">
      <calculatedColumnFormula>SUM(D94:O94)</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A000000}" name="Table14" displayName="Table14" ref="A110:P125" totalsRowShown="0" headerRowDxfId="49" dataDxfId="48">
  <autoFilter ref="A110:P125" xr:uid="{00000000-0009-0000-0100-00000D000000}"/>
  <tableColumns count="16">
    <tableColumn id="1" xr3:uid="{00000000-0010-0000-0A00-000001000000}" name="Turning Point" dataDxfId="47"/>
    <tableColumn id="2" xr3:uid="{00000000-0010-0000-0A00-000002000000}" name="Total" dataDxfId="46"/>
    <tableColumn id="3" xr3:uid="{00000000-0010-0000-0A00-000003000000}" name="Column1" dataDxfId="45"/>
    <tableColumn id="4" xr3:uid="{00000000-0010-0000-0A00-000004000000}" name="Jan" dataDxfId="44"/>
    <tableColumn id="5" xr3:uid="{00000000-0010-0000-0A00-000005000000}" name="Feb" dataDxfId="43"/>
    <tableColumn id="6" xr3:uid="{00000000-0010-0000-0A00-000006000000}" name="Mar" dataDxfId="42"/>
    <tableColumn id="7" xr3:uid="{00000000-0010-0000-0A00-000007000000}" name="Apr" dataDxfId="41"/>
    <tableColumn id="8" xr3:uid="{00000000-0010-0000-0A00-000008000000}" name="May" dataDxfId="40"/>
    <tableColumn id="9" xr3:uid="{00000000-0010-0000-0A00-000009000000}" name="Jun" dataDxfId="39"/>
    <tableColumn id="10" xr3:uid="{00000000-0010-0000-0A00-00000A000000}" name="Jul" dataDxfId="38"/>
    <tableColumn id="11" xr3:uid="{00000000-0010-0000-0A00-00000B000000}" name="Aug" dataDxfId="37"/>
    <tableColumn id="12" xr3:uid="{00000000-0010-0000-0A00-00000C000000}" name="Sep" dataDxfId="36"/>
    <tableColumn id="13" xr3:uid="{00000000-0010-0000-0A00-00000D000000}" name="Oct" dataDxfId="35"/>
    <tableColumn id="14" xr3:uid="{00000000-0010-0000-0A00-00000E000000}" name="Nov" dataDxfId="34"/>
    <tableColumn id="15" xr3:uid="{00000000-0010-0000-0A00-00000F000000}" name="Dec" dataDxfId="33"/>
    <tableColumn id="16" xr3:uid="{00000000-0010-0000-0A00-000010000000}" name="Formula check (Should be same as Total)" dataDxfId="32">
      <calculatedColumnFormula>SUM(D111:O111)</calculatedColumnFormula>
    </tableColumn>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B000000}" name="Table15" displayName="Table15" ref="A127:P142" totalsRowShown="0" headerRowDxfId="31" dataDxfId="30">
  <autoFilter ref="A127:P142" xr:uid="{00000000-0009-0000-0100-00000E000000}"/>
  <tableColumns count="16">
    <tableColumn id="1" xr3:uid="{00000000-0010-0000-0B00-000001000000}" name="Waypoint" dataDxfId="29"/>
    <tableColumn id="2" xr3:uid="{00000000-0010-0000-0B00-000002000000}" name="Total" dataDxfId="28"/>
    <tableColumn id="3" xr3:uid="{00000000-0010-0000-0B00-000003000000}" name="Column1" dataDxfId="27"/>
    <tableColumn id="4" xr3:uid="{00000000-0010-0000-0B00-000004000000}" name="Jan" dataDxfId="26"/>
    <tableColumn id="5" xr3:uid="{00000000-0010-0000-0B00-000005000000}" name="Feb" dataDxfId="25"/>
    <tableColumn id="6" xr3:uid="{00000000-0010-0000-0B00-000006000000}" name="Mar" dataDxfId="24"/>
    <tableColumn id="7" xr3:uid="{00000000-0010-0000-0B00-000007000000}" name="Apr" dataDxfId="23"/>
    <tableColumn id="8" xr3:uid="{00000000-0010-0000-0B00-000008000000}" name="May" dataDxfId="22"/>
    <tableColumn id="9" xr3:uid="{00000000-0010-0000-0B00-000009000000}" name="Jun" dataDxfId="21"/>
    <tableColumn id="10" xr3:uid="{00000000-0010-0000-0B00-00000A000000}" name="Jul" dataDxfId="20"/>
    <tableColumn id="11" xr3:uid="{00000000-0010-0000-0B00-00000B000000}" name="Aug" dataDxfId="19"/>
    <tableColumn id="12" xr3:uid="{00000000-0010-0000-0B00-00000C000000}" name="Sep" dataDxfId="18"/>
    <tableColumn id="13" xr3:uid="{00000000-0010-0000-0B00-00000D000000}" name="Oct" dataDxfId="17"/>
    <tableColumn id="14" xr3:uid="{00000000-0010-0000-0B00-00000E000000}" name="Nov" dataDxfId="16"/>
    <tableColumn id="15" xr3:uid="{00000000-0010-0000-0B00-00000F000000}" name="Dec" dataDxfId="15"/>
    <tableColumn id="16" xr3:uid="{00000000-0010-0000-0B00-000010000000}" name="Formula check (Should be same as Total)" dataDxfId="14">
      <calculatedColumnFormula>SUM(D128:O128)</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9.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table" Target="../tables/table5.xml"/><Relationship Id="rId1" Type="http://schemas.openxmlformats.org/officeDocument/2006/relationships/printerSettings" Target="../printerSettings/printerSettings11.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 Id="rId9"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6.bin"/><Relationship Id="rId1" Type="http://schemas.openxmlformats.org/officeDocument/2006/relationships/pivotTable" Target="../pivotTables/pivotTable1.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7.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theme="0" tint="-0.499984740745262"/>
  </sheetPr>
  <dimension ref="A1:P22"/>
  <sheetViews>
    <sheetView workbookViewId="0">
      <selection activeCell="G18" sqref="G18"/>
    </sheetView>
  </sheetViews>
  <sheetFormatPr defaultRowHeight="14.4" x14ac:dyDescent="0.55000000000000004"/>
  <cols>
    <col min="1" max="1" width="17.7890625" customWidth="1"/>
    <col min="2" max="2" width="15.15625" style="27" customWidth="1"/>
    <col min="3" max="3" width="22.5234375" customWidth="1"/>
    <col min="4" max="4" width="18.5234375" customWidth="1"/>
    <col min="5" max="5" width="20.7890625" customWidth="1"/>
    <col min="6" max="6" width="47.15625" customWidth="1"/>
    <col min="7" max="7" width="17.7890625" customWidth="1"/>
    <col min="8" max="8" width="21.15625" customWidth="1"/>
    <col min="9" max="9" width="8.734375" customWidth="1"/>
    <col min="10" max="10" width="19.47265625" customWidth="1"/>
    <col min="11" max="11" width="13.47265625" customWidth="1"/>
    <col min="12" max="12" width="14.734375" customWidth="1"/>
    <col min="13" max="13" width="16.47265625" customWidth="1"/>
    <col min="14" max="14" width="17" customWidth="1"/>
    <col min="15" max="15" width="14.5234375" customWidth="1"/>
    <col min="16" max="16" width="16.7890625" customWidth="1"/>
  </cols>
  <sheetData>
    <row r="1" spans="1:16" x14ac:dyDescent="0.55000000000000004">
      <c r="A1" t="s">
        <v>118</v>
      </c>
      <c r="B1" t="s">
        <v>120</v>
      </c>
      <c r="C1" s="27"/>
    </row>
    <row r="3" spans="1:16" ht="27.75" customHeight="1" x14ac:dyDescent="0.55000000000000004">
      <c r="A3" s="24" t="s">
        <v>4</v>
      </c>
      <c r="B3" s="25" t="s">
        <v>5</v>
      </c>
      <c r="C3" s="24" t="s">
        <v>12</v>
      </c>
      <c r="D3" s="26" t="s">
        <v>13</v>
      </c>
      <c r="E3" s="24" t="s">
        <v>15</v>
      </c>
      <c r="F3" s="26" t="s">
        <v>17</v>
      </c>
      <c r="G3" s="24" t="s">
        <v>20</v>
      </c>
      <c r="H3" s="24" t="s">
        <v>24</v>
      </c>
      <c r="I3" s="24" t="s">
        <v>194</v>
      </c>
      <c r="J3" s="24" t="s">
        <v>27</v>
      </c>
      <c r="K3" s="24" t="s">
        <v>29</v>
      </c>
      <c r="L3" s="24" t="s">
        <v>31</v>
      </c>
      <c r="M3" s="24" t="s">
        <v>32</v>
      </c>
      <c r="N3" s="26" t="s">
        <v>33</v>
      </c>
      <c r="O3" s="24" t="s">
        <v>357</v>
      </c>
      <c r="P3" s="100" t="s">
        <v>218</v>
      </c>
    </row>
    <row r="4" spans="1:16" ht="37.5" customHeight="1" x14ac:dyDescent="0.55000000000000004">
      <c r="A4" s="1" t="s">
        <v>41</v>
      </c>
      <c r="B4" s="27" t="s">
        <v>182</v>
      </c>
      <c r="C4" s="1" t="s">
        <v>49</v>
      </c>
      <c r="D4" s="15" t="s">
        <v>125</v>
      </c>
      <c r="E4" s="1" t="s">
        <v>114</v>
      </c>
      <c r="F4" s="15" t="s">
        <v>74</v>
      </c>
      <c r="G4" s="1" t="s">
        <v>70</v>
      </c>
      <c r="H4" s="1" t="s">
        <v>79</v>
      </c>
      <c r="I4" s="1">
        <v>1.1000000000000001</v>
      </c>
      <c r="J4" s="1" t="s">
        <v>178</v>
      </c>
      <c r="K4" s="1" t="s">
        <v>128</v>
      </c>
      <c r="L4" s="1" t="s">
        <v>126</v>
      </c>
      <c r="M4" s="1" t="s">
        <v>89</v>
      </c>
      <c r="N4" s="1" t="s">
        <v>131</v>
      </c>
      <c r="O4" s="1" t="s">
        <v>364</v>
      </c>
      <c r="P4" s="1" t="s">
        <v>219</v>
      </c>
    </row>
    <row r="5" spans="1:16" ht="45" customHeight="1" x14ac:dyDescent="0.55000000000000004">
      <c r="A5" s="1" t="s">
        <v>42</v>
      </c>
      <c r="B5" s="27" t="s">
        <v>183</v>
      </c>
      <c r="C5" s="1" t="s">
        <v>50</v>
      </c>
      <c r="D5" s="15" t="s">
        <v>123</v>
      </c>
      <c r="E5" s="1" t="s">
        <v>115</v>
      </c>
      <c r="F5" s="15" t="s">
        <v>137</v>
      </c>
      <c r="G5" s="1" t="s">
        <v>71</v>
      </c>
      <c r="H5" s="1" t="s">
        <v>80</v>
      </c>
      <c r="I5" s="1">
        <v>1.2</v>
      </c>
      <c r="J5" s="1" t="s">
        <v>179</v>
      </c>
      <c r="K5" s="1" t="s">
        <v>129</v>
      </c>
      <c r="L5" s="1" t="s">
        <v>127</v>
      </c>
      <c r="M5" s="1" t="s">
        <v>130</v>
      </c>
      <c r="O5" s="1" t="s">
        <v>132</v>
      </c>
      <c r="P5" s="1" t="s">
        <v>220</v>
      </c>
    </row>
    <row r="6" spans="1:16" ht="44.25" customHeight="1" x14ac:dyDescent="0.55000000000000004">
      <c r="A6" s="1" t="s">
        <v>43</v>
      </c>
      <c r="B6" s="27" t="s">
        <v>184</v>
      </c>
      <c r="C6" s="1" t="s">
        <v>51</v>
      </c>
      <c r="D6" s="15" t="s">
        <v>124</v>
      </c>
      <c r="E6" s="1" t="s">
        <v>116</v>
      </c>
      <c r="F6" s="15" t="s">
        <v>330</v>
      </c>
      <c r="G6" s="1" t="s">
        <v>72</v>
      </c>
      <c r="H6" s="1" t="s">
        <v>81</v>
      </c>
      <c r="I6" s="1">
        <v>2.1</v>
      </c>
      <c r="J6" s="1" t="s">
        <v>186</v>
      </c>
      <c r="K6" s="1" t="s">
        <v>119</v>
      </c>
      <c r="O6" s="1" t="s">
        <v>209</v>
      </c>
      <c r="P6" t="s">
        <v>221</v>
      </c>
    </row>
    <row r="7" spans="1:16" ht="63" customHeight="1" x14ac:dyDescent="0.55000000000000004">
      <c r="A7" s="1" t="s">
        <v>44</v>
      </c>
      <c r="B7" s="27" t="s">
        <v>185</v>
      </c>
      <c r="C7" s="1" t="s">
        <v>60</v>
      </c>
      <c r="D7" s="15" t="s">
        <v>68</v>
      </c>
      <c r="E7" s="1" t="s">
        <v>117</v>
      </c>
      <c r="F7" s="6" t="s">
        <v>331</v>
      </c>
      <c r="G7" s="1" t="s">
        <v>73</v>
      </c>
      <c r="H7" s="1" t="s">
        <v>82</v>
      </c>
      <c r="I7" s="1">
        <v>2.2000000000000002</v>
      </c>
      <c r="J7" s="1" t="s">
        <v>127</v>
      </c>
      <c r="K7" s="1" t="s">
        <v>215</v>
      </c>
      <c r="O7" s="1" t="s">
        <v>355</v>
      </c>
      <c r="P7" t="s">
        <v>222</v>
      </c>
    </row>
    <row r="8" spans="1:16" ht="55.5" customHeight="1" x14ac:dyDescent="0.55000000000000004">
      <c r="A8" s="1" t="s">
        <v>45</v>
      </c>
      <c r="B8" s="27" t="s">
        <v>189</v>
      </c>
      <c r="C8" s="1" t="s">
        <v>61</v>
      </c>
      <c r="D8" s="15" t="s">
        <v>67</v>
      </c>
      <c r="E8" s="1" t="s">
        <v>369</v>
      </c>
      <c r="F8" s="152" t="s">
        <v>321</v>
      </c>
      <c r="G8" s="1" t="s">
        <v>75</v>
      </c>
      <c r="H8" s="1" t="s">
        <v>83</v>
      </c>
      <c r="I8" s="1">
        <v>2.2999999999999998</v>
      </c>
      <c r="J8" s="1" t="s">
        <v>319</v>
      </c>
      <c r="K8" s="1" t="s">
        <v>402</v>
      </c>
      <c r="O8" s="1" t="s">
        <v>356</v>
      </c>
      <c r="P8" t="s">
        <v>93</v>
      </c>
    </row>
    <row r="9" spans="1:16" ht="63" customHeight="1" x14ac:dyDescent="0.55000000000000004">
      <c r="A9" s="1" t="s">
        <v>46</v>
      </c>
      <c r="B9" s="27" t="s">
        <v>216</v>
      </c>
      <c r="C9" s="1" t="s">
        <v>62</v>
      </c>
      <c r="D9" s="15" t="s">
        <v>65</v>
      </c>
      <c r="E9" s="1" t="s">
        <v>289</v>
      </c>
      <c r="F9" s="15" t="s">
        <v>212</v>
      </c>
      <c r="G9" s="1" t="s">
        <v>76</v>
      </c>
      <c r="H9" s="1" t="s">
        <v>232</v>
      </c>
      <c r="I9" s="1">
        <v>2.4</v>
      </c>
      <c r="J9" s="1" t="s">
        <v>133</v>
      </c>
      <c r="O9" s="1" t="s">
        <v>208</v>
      </c>
      <c r="P9" t="s">
        <v>223</v>
      </c>
    </row>
    <row r="10" spans="1:16" ht="43.2" x14ac:dyDescent="0.55000000000000004">
      <c r="A10" s="1" t="s">
        <v>47</v>
      </c>
      <c r="B10" s="27" t="s">
        <v>190</v>
      </c>
      <c r="C10" s="1" t="s">
        <v>63</v>
      </c>
      <c r="D10" s="15" t="s">
        <v>66</v>
      </c>
      <c r="E10" s="1" t="s">
        <v>312</v>
      </c>
      <c r="F10" s="15" t="s">
        <v>322</v>
      </c>
      <c r="G10" s="1" t="s">
        <v>77</v>
      </c>
      <c r="H10" s="1" t="s">
        <v>84</v>
      </c>
      <c r="I10" s="1">
        <v>3</v>
      </c>
      <c r="J10" s="1" t="s">
        <v>119</v>
      </c>
      <c r="O10" s="1" t="s">
        <v>366</v>
      </c>
      <c r="P10" t="s">
        <v>224</v>
      </c>
    </row>
    <row r="11" spans="1:16" ht="28.8" x14ac:dyDescent="0.55000000000000004">
      <c r="A11" s="1" t="s">
        <v>201</v>
      </c>
      <c r="B11" s="27" t="s">
        <v>139</v>
      </c>
      <c r="C11" s="1" t="s">
        <v>64</v>
      </c>
      <c r="D11" s="15" t="s">
        <v>138</v>
      </c>
      <c r="E11" s="1" t="s">
        <v>313</v>
      </c>
      <c r="G11" s="1" t="s">
        <v>78</v>
      </c>
      <c r="H11" s="1" t="s">
        <v>85</v>
      </c>
      <c r="I11" s="1">
        <v>4</v>
      </c>
      <c r="O11" s="1" t="s">
        <v>358</v>
      </c>
      <c r="P11" t="s">
        <v>225</v>
      </c>
    </row>
    <row r="12" spans="1:16" ht="57.6" x14ac:dyDescent="0.55000000000000004">
      <c r="A12" s="1" t="s">
        <v>48</v>
      </c>
      <c r="B12" s="27" t="s">
        <v>48</v>
      </c>
      <c r="C12" s="1" t="s">
        <v>197</v>
      </c>
      <c r="D12" s="15" t="s">
        <v>317</v>
      </c>
      <c r="G12" s="1" t="s">
        <v>188</v>
      </c>
      <c r="H12" s="1" t="s">
        <v>291</v>
      </c>
      <c r="I12" s="1">
        <v>5</v>
      </c>
      <c r="O12" s="1" t="s">
        <v>233</v>
      </c>
      <c r="P12" t="s">
        <v>226</v>
      </c>
    </row>
    <row r="13" spans="1:16" ht="28.8" x14ac:dyDescent="0.55000000000000004">
      <c r="A13" s="1" t="s">
        <v>119</v>
      </c>
      <c r="C13" s="1" t="s">
        <v>119</v>
      </c>
      <c r="D13" s="1" t="s">
        <v>48</v>
      </c>
      <c r="F13" s="1" t="s">
        <v>69</v>
      </c>
      <c r="G13" s="1" t="s">
        <v>210</v>
      </c>
      <c r="O13" s="1" t="s">
        <v>359</v>
      </c>
      <c r="P13" t="s">
        <v>228</v>
      </c>
    </row>
    <row r="14" spans="1:16" ht="57.6" x14ac:dyDescent="0.55000000000000004">
      <c r="D14" s="1" t="s">
        <v>119</v>
      </c>
      <c r="G14" s="1" t="s">
        <v>211</v>
      </c>
      <c r="O14" s="1" t="s">
        <v>360</v>
      </c>
      <c r="P14" t="s">
        <v>227</v>
      </c>
    </row>
    <row r="15" spans="1:16" x14ac:dyDescent="0.55000000000000004">
      <c r="D15" s="1" t="s">
        <v>237</v>
      </c>
      <c r="G15" s="1" t="s">
        <v>311</v>
      </c>
      <c r="O15" s="1" t="s">
        <v>361</v>
      </c>
      <c r="P15" t="s">
        <v>229</v>
      </c>
    </row>
    <row r="16" spans="1:16" x14ac:dyDescent="0.55000000000000004">
      <c r="D16" s="1" t="s">
        <v>287</v>
      </c>
      <c r="G16" s="1" t="s">
        <v>187</v>
      </c>
      <c r="O16" s="1" t="s">
        <v>362</v>
      </c>
    </row>
    <row r="17" spans="4:15" x14ac:dyDescent="0.55000000000000004">
      <c r="D17" s="1" t="s">
        <v>310</v>
      </c>
      <c r="G17" s="1" t="s">
        <v>422</v>
      </c>
      <c r="O17" s="1" t="s">
        <v>363</v>
      </c>
    </row>
    <row r="18" spans="4:15" ht="28.8" x14ac:dyDescent="0.55000000000000004">
      <c r="D18" s="1" t="s">
        <v>316</v>
      </c>
      <c r="O18" s="1" t="s">
        <v>365</v>
      </c>
    </row>
    <row r="19" spans="4:15" ht="28.8" x14ac:dyDescent="0.55000000000000004">
      <c r="D19" s="1" t="s">
        <v>335</v>
      </c>
      <c r="O19" s="1" t="s">
        <v>367</v>
      </c>
    </row>
    <row r="20" spans="4:15" x14ac:dyDescent="0.55000000000000004">
      <c r="D20" s="1" t="s">
        <v>401</v>
      </c>
      <c r="O20" s="1" t="s">
        <v>368</v>
      </c>
    </row>
    <row r="21" spans="4:15" ht="28.8" x14ac:dyDescent="0.55000000000000004">
      <c r="O21" s="1" t="s">
        <v>400</v>
      </c>
    </row>
    <row r="22" spans="4:15" x14ac:dyDescent="0.55000000000000004">
      <c r="O22" s="1" t="s">
        <v>404</v>
      </c>
    </row>
  </sheetData>
  <sortState xmlns:xlrd2="http://schemas.microsoft.com/office/spreadsheetml/2017/richdata2" ref="D4:D12">
    <sortCondition ref="D4"/>
  </sortState>
  <dataValidations count="2">
    <dataValidation type="list" allowBlank="1" showInputMessage="1" showErrorMessage="1" sqref="A3" xr:uid="{00000000-0002-0000-0000-000000000000}">
      <formula1>$A$4:$A$13</formula1>
    </dataValidation>
    <dataValidation type="list" allowBlank="1" showInputMessage="1" showErrorMessage="1" sqref="A4:A10 A12:A14" xr:uid="{00000000-0002-0000-0000-000001000000}">
      <formula1>$A$4:$A$14</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5"/>
  </sheetPr>
  <dimension ref="A1:AL16"/>
  <sheetViews>
    <sheetView topLeftCell="AD1" zoomScaleNormal="100" workbookViewId="0">
      <selection activeCell="AF21" sqref="AF21"/>
    </sheetView>
  </sheetViews>
  <sheetFormatPr defaultColWidth="9.15625" defaultRowHeight="14.4" x14ac:dyDescent="0.55000000000000004"/>
  <cols>
    <col min="1" max="2" width="11" style="10" customWidth="1"/>
    <col min="3" max="3" width="16.734375" style="10" customWidth="1"/>
    <col min="4" max="4" width="18.5234375" style="1" customWidth="1"/>
    <col min="5" max="5" width="15.5234375" style="13" customWidth="1"/>
    <col min="6" max="6" width="13" style="15" customWidth="1"/>
    <col min="7" max="7" width="23.26171875" style="1" customWidth="1"/>
    <col min="8" max="8" width="25.47265625" style="1" customWidth="1"/>
    <col min="9" max="9" width="19.26171875" style="1" customWidth="1"/>
    <col min="10" max="10" width="20.15625" style="1" customWidth="1"/>
    <col min="11" max="11" width="20.7890625" style="1" customWidth="1"/>
    <col min="12" max="12" width="20.47265625" style="15" customWidth="1"/>
    <col min="13" max="13" width="18.47265625" style="1" customWidth="1"/>
    <col min="14" max="14" width="27.7890625" style="15" customWidth="1"/>
    <col min="15" max="15" width="22.5234375" style="1" customWidth="1"/>
    <col min="16" max="16" width="21.5234375" style="1" customWidth="1"/>
    <col min="17" max="17" width="36" style="15" customWidth="1"/>
    <col min="18" max="18" width="17" style="1" customWidth="1"/>
    <col min="19" max="19" width="19.26171875" style="1" customWidth="1"/>
    <col min="20" max="20" width="14.26171875" style="29" customWidth="1"/>
    <col min="21" max="21" width="26.734375" style="1" customWidth="1"/>
    <col min="22" max="22" width="26.15625" style="1" customWidth="1"/>
    <col min="23" max="23" width="23.7890625" style="1" customWidth="1"/>
    <col min="24" max="24" width="19.5234375" style="15" customWidth="1"/>
    <col min="25" max="25" width="17.47265625" style="1" customWidth="1"/>
    <col min="26" max="26" width="19.47265625" style="10" customWidth="1"/>
    <col min="27" max="27" width="19.15625" style="1" customWidth="1"/>
    <col min="28" max="28" width="23.47265625" style="15" customWidth="1"/>
    <col min="29" max="29" width="23.26171875" style="1" customWidth="1"/>
    <col min="30" max="30" width="24.5234375" customWidth="1"/>
    <col min="31" max="31" width="21.26171875" style="10" customWidth="1"/>
    <col min="32" max="32" width="23" style="28" customWidth="1"/>
    <col min="33" max="33" width="23.734375" style="1" customWidth="1"/>
    <col min="34" max="34" width="26" style="15" customWidth="1"/>
    <col min="35" max="35" width="23.734375" style="107" customWidth="1"/>
    <col min="36" max="36" width="8.5234375"/>
    <col min="37" max="37" width="16" style="1" customWidth="1"/>
    <col min="38" max="38" width="17.7890625" style="15" customWidth="1"/>
    <col min="39" max="16384" width="9.15625" style="1"/>
  </cols>
  <sheetData>
    <row r="1" spans="1:38" x14ac:dyDescent="0.55000000000000004">
      <c r="A1" s="11" t="s">
        <v>0</v>
      </c>
      <c r="B1" s="11"/>
      <c r="AD1" s="1"/>
      <c r="AF1" s="15"/>
      <c r="AJ1" s="1"/>
      <c r="AL1" s="1"/>
    </row>
    <row r="2" spans="1:38" x14ac:dyDescent="0.55000000000000004">
      <c r="A2" s="11"/>
      <c r="B2" s="11"/>
      <c r="AD2" s="1"/>
      <c r="AF2" s="15"/>
      <c r="AJ2" s="1"/>
      <c r="AL2" s="1"/>
    </row>
    <row r="3" spans="1:38" s="6" customFormat="1" x14ac:dyDescent="0.55000000000000004">
      <c r="A3" s="33"/>
      <c r="B3" s="12"/>
      <c r="C3" s="12"/>
      <c r="D3" s="3" t="s">
        <v>8</v>
      </c>
      <c r="E3" s="14"/>
      <c r="F3" s="16"/>
      <c r="G3" s="4"/>
      <c r="H3" s="4"/>
      <c r="I3" s="2" t="s">
        <v>35</v>
      </c>
      <c r="J3" s="4"/>
      <c r="K3" s="4"/>
      <c r="L3" s="17"/>
      <c r="M3" s="5"/>
      <c r="N3" s="16" t="s">
        <v>36</v>
      </c>
      <c r="O3" s="4"/>
      <c r="P3" s="8" t="s">
        <v>14</v>
      </c>
      <c r="Q3" s="17"/>
      <c r="R3" s="5"/>
      <c r="S3" s="9" t="s">
        <v>18</v>
      </c>
      <c r="T3" s="30"/>
      <c r="U3" s="4"/>
      <c r="V3" s="7" t="s">
        <v>22</v>
      </c>
      <c r="W3" s="4"/>
      <c r="X3" s="17"/>
      <c r="Y3" s="5"/>
      <c r="Z3" s="12" t="s">
        <v>37</v>
      </c>
      <c r="AA3" s="5"/>
      <c r="AB3" s="18"/>
      <c r="AC3" s="232" t="s">
        <v>38</v>
      </c>
      <c r="AD3" s="233"/>
      <c r="AE3" s="233"/>
      <c r="AF3" s="234"/>
      <c r="AG3" s="5"/>
      <c r="AH3" s="16" t="s">
        <v>39</v>
      </c>
      <c r="AI3" s="108"/>
    </row>
    <row r="4" spans="1:38" ht="33" customHeight="1" x14ac:dyDescent="0.55000000000000004">
      <c r="A4" s="32" t="s">
        <v>135</v>
      </c>
      <c r="B4" s="10" t="s">
        <v>140</v>
      </c>
      <c r="C4" s="10" t="s">
        <v>1</v>
      </c>
      <c r="D4" s="1" t="s">
        <v>4</v>
      </c>
      <c r="E4" s="13" t="s">
        <v>3</v>
      </c>
      <c r="F4" s="15" t="s">
        <v>5</v>
      </c>
      <c r="G4" s="1" t="s">
        <v>122</v>
      </c>
      <c r="H4" s="1" t="s">
        <v>6</v>
      </c>
      <c r="I4" s="1" t="s">
        <v>7</v>
      </c>
      <c r="J4" s="1" t="s">
        <v>9</v>
      </c>
      <c r="K4" s="1" t="s">
        <v>10</v>
      </c>
      <c r="L4" s="15" t="s">
        <v>11</v>
      </c>
      <c r="M4" s="1" t="s">
        <v>12</v>
      </c>
      <c r="N4" s="15" t="s">
        <v>13</v>
      </c>
      <c r="O4" s="1" t="s">
        <v>15</v>
      </c>
      <c r="P4" s="1" t="s">
        <v>16</v>
      </c>
      <c r="Q4" s="15" t="s">
        <v>17</v>
      </c>
      <c r="R4" s="1" t="s">
        <v>19</v>
      </c>
      <c r="S4" s="1" t="s">
        <v>20</v>
      </c>
      <c r="T4" s="29" t="s">
        <v>21</v>
      </c>
      <c r="U4" s="1" t="s">
        <v>23</v>
      </c>
      <c r="V4" s="1" t="s">
        <v>24</v>
      </c>
      <c r="W4" s="1" t="s">
        <v>25</v>
      </c>
      <c r="X4" s="15" t="s">
        <v>26</v>
      </c>
      <c r="Y4" s="1" t="s">
        <v>27</v>
      </c>
      <c r="Z4" s="10" t="s">
        <v>28</v>
      </c>
      <c r="AA4" s="1" t="s">
        <v>29</v>
      </c>
      <c r="AB4" s="15" t="s">
        <v>30</v>
      </c>
      <c r="AC4" s="1" t="s">
        <v>31</v>
      </c>
      <c r="AD4" s="1" t="s">
        <v>32</v>
      </c>
      <c r="AE4" s="10" t="s">
        <v>134</v>
      </c>
      <c r="AF4" s="15" t="s">
        <v>33</v>
      </c>
      <c r="AG4" s="1" t="s">
        <v>40</v>
      </c>
      <c r="AH4" s="15" t="s">
        <v>34</v>
      </c>
      <c r="AI4" s="107" t="s">
        <v>217</v>
      </c>
      <c r="AJ4" s="1"/>
      <c r="AL4" s="1"/>
    </row>
    <row r="5" spans="1:38" ht="20.25" customHeight="1" x14ac:dyDescent="0.55000000000000004">
      <c r="A5" s="31"/>
      <c r="AD5" s="1"/>
      <c r="AF5" s="15"/>
      <c r="AJ5" s="1"/>
      <c r="AL5" s="1"/>
    </row>
    <row r="6" spans="1:38" x14ac:dyDescent="0.55000000000000004">
      <c r="A6" s="31"/>
      <c r="AD6" s="1"/>
      <c r="AF6" s="15"/>
      <c r="AJ6" s="1"/>
      <c r="AL6" s="1"/>
    </row>
    <row r="7" spans="1:38" x14ac:dyDescent="0.55000000000000004">
      <c r="A7" s="31"/>
      <c r="AD7" s="1"/>
      <c r="AF7" s="15"/>
      <c r="AJ7" s="1"/>
      <c r="AL7" s="1"/>
    </row>
    <row r="8" spans="1:38" x14ac:dyDescent="0.55000000000000004">
      <c r="A8" s="31"/>
      <c r="AD8" s="1"/>
      <c r="AF8" s="15"/>
      <c r="AJ8" s="1"/>
      <c r="AL8" s="1"/>
    </row>
    <row r="9" spans="1:38" x14ac:dyDescent="0.55000000000000004">
      <c r="A9" s="31"/>
      <c r="AD9" s="1"/>
      <c r="AF9" s="15"/>
      <c r="AJ9" s="1"/>
      <c r="AL9" s="1"/>
    </row>
    <row r="10" spans="1:38" x14ac:dyDescent="0.55000000000000004">
      <c r="A10" s="31"/>
      <c r="AD10" s="1"/>
      <c r="AF10" s="15"/>
      <c r="AJ10" s="1"/>
      <c r="AL10" s="1"/>
    </row>
    <row r="11" spans="1:38" x14ac:dyDescent="0.55000000000000004">
      <c r="A11" s="31"/>
      <c r="AD11" s="1"/>
      <c r="AF11" s="15"/>
      <c r="AJ11" s="1"/>
      <c r="AL11" s="1"/>
    </row>
    <row r="13" spans="1:38" ht="30" customHeight="1" x14ac:dyDescent="0.55000000000000004">
      <c r="G13" s="1" t="s">
        <v>69</v>
      </c>
      <c r="R13" s="1" t="s">
        <v>69</v>
      </c>
      <c r="U13" s="1" t="s">
        <v>88</v>
      </c>
      <c r="W13" s="1" t="s">
        <v>86</v>
      </c>
      <c r="X13" s="15" t="s">
        <v>87</v>
      </c>
      <c r="Y13" s="1" t="s">
        <v>69</v>
      </c>
      <c r="AG13" s="1" t="s">
        <v>69</v>
      </c>
    </row>
    <row r="14" spans="1:38" ht="50.25" customHeight="1" x14ac:dyDescent="0.55000000000000004">
      <c r="AG14" s="1" t="s">
        <v>69</v>
      </c>
      <c r="AK14" s="1" t="s">
        <v>69</v>
      </c>
    </row>
    <row r="15" spans="1:38" ht="60" customHeight="1" x14ac:dyDescent="0.55000000000000004">
      <c r="AG15" s="1" t="s">
        <v>69</v>
      </c>
    </row>
    <row r="16" spans="1:38" ht="45" customHeight="1" x14ac:dyDescent="0.55000000000000004"/>
  </sheetData>
  <mergeCells count="1">
    <mergeCell ref="AC3:AF3"/>
  </mergeCell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17">
        <x14:dataValidation type="list" allowBlank="1" showInputMessage="1" showErrorMessage="1" xr:uid="{00000000-0002-0000-0100-000000000000}">
          <x14:formula1>
            <xm:f>Variables!$E$4:$E$12</xm:f>
          </x14:formula1>
          <xm:sqref>O5:O1048576</xm:sqref>
        </x14:dataValidation>
        <x14:dataValidation type="list" allowBlank="1" showInputMessage="1" showErrorMessage="1" xr:uid="{00000000-0002-0000-0100-000001000000}">
          <x14:formula1>
            <xm:f>Variables!$G$4:$G$14</xm:f>
          </x14:formula1>
          <xm:sqref>S5:S1048576</xm:sqref>
        </x14:dataValidation>
        <x14:dataValidation type="list" allowBlank="1" showInputMessage="1" showErrorMessage="1" xr:uid="{00000000-0002-0000-0100-000002000000}">
          <x14:formula1>
            <xm:f>Variables!$H$4:$H$13</xm:f>
          </x14:formula1>
          <xm:sqref>V5:V1048576</xm:sqref>
        </x14:dataValidation>
        <x14:dataValidation type="list" allowBlank="1" showInputMessage="1" showErrorMessage="1" xr:uid="{00000000-0002-0000-0100-000003000000}">
          <x14:formula1>
            <xm:f>Variables!$K$4:$K$8</xm:f>
          </x14:formula1>
          <xm:sqref>AA5:AA1048576</xm:sqref>
        </x14:dataValidation>
        <x14:dataValidation type="list" allowBlank="1" showInputMessage="1" showErrorMessage="1" xr:uid="{00000000-0002-0000-0100-000004000000}">
          <x14:formula1>
            <xm:f>Variables!$L$4:$L$7</xm:f>
          </x14:formula1>
          <xm:sqref>AC5:AC1048576</xm:sqref>
        </x14:dataValidation>
        <x14:dataValidation type="list" allowBlank="1" showInputMessage="1" showErrorMessage="1" xr:uid="{00000000-0002-0000-0100-000005000000}">
          <x14:formula1>
            <xm:f>Variables!$M$4:$M$8</xm:f>
          </x14:formula1>
          <xm:sqref>AD5:AD1048576</xm:sqref>
        </x14:dataValidation>
        <x14:dataValidation type="list" allowBlank="1" showInputMessage="1" showErrorMessage="1" xr:uid="{00000000-0002-0000-0100-000006000000}">
          <x14:formula1>
            <xm:f>Variables!$N$4:$N$8</xm:f>
          </x14:formula1>
          <xm:sqref>AF5:AF1048576</xm:sqref>
        </x14:dataValidation>
        <x14:dataValidation type="list" allowBlank="1" showInputMessage="1" showErrorMessage="1" xr:uid="{00000000-0002-0000-0100-000007000000}">
          <x14:formula1>
            <xm:f>Variables!$C$4:$C$13</xm:f>
          </x14:formula1>
          <xm:sqref>M5:M1048576</xm:sqref>
        </x14:dataValidation>
        <x14:dataValidation type="list" allowBlank="1" showInputMessage="1" showErrorMessage="1" xr:uid="{00000000-0002-0000-0100-000008000000}">
          <x14:formula1>
            <xm:f>Variables!$D$4:$D$14</xm:f>
          </x14:formula1>
          <xm:sqref>N5:N1048576</xm:sqref>
        </x14:dataValidation>
        <x14:dataValidation type="list" allowBlank="1" showInputMessage="1" showErrorMessage="1" xr:uid="{00000000-0002-0000-0100-000009000000}">
          <x14:formula1>
            <xm:f>Variables!$A$4:$A$13</xm:f>
          </x14:formula1>
          <xm:sqref>D5:D1048576</xm:sqref>
        </x14:dataValidation>
        <x14:dataValidation type="list" allowBlank="1" showInputMessage="1" showErrorMessage="1" xr:uid="{00000000-0002-0000-0100-00000A000000}">
          <x14:formula1>
            <xm:f>Variables!$B$4:$B$12</xm:f>
          </x14:formula1>
          <xm:sqref>F5:F1048576</xm:sqref>
        </x14:dataValidation>
        <x14:dataValidation type="list" allowBlank="1" showInputMessage="1" showErrorMessage="1" xr:uid="{00000000-0002-0000-0100-00000B000000}">
          <x14:formula1>
            <xm:f>Variables!$P$4:$P$15</xm:f>
          </x14:formula1>
          <xm:sqref>AI1:AI3 AI5:AI1048576</xm:sqref>
        </x14:dataValidation>
        <x14:dataValidation type="list" allowBlank="1" showInputMessage="1" showErrorMessage="1" xr:uid="{00000000-0002-0000-0100-00000C000000}">
          <x14:formula1>
            <xm:f>Variables!$J$4:$J$9</xm:f>
          </x14:formula1>
          <xm:sqref>Y5:Y1048576</xm:sqref>
        </x14:dataValidation>
        <x14:dataValidation type="list" allowBlank="1" showInputMessage="1" showErrorMessage="1" xr:uid="{00000000-0002-0000-0100-00000D000000}">
          <x14:formula1>
            <xm:f>Variables!$F$4:$F$10</xm:f>
          </x14:formula1>
          <xm:sqref>Q5:Q1048576</xm:sqref>
        </x14:dataValidation>
        <x14:dataValidation type="list" allowBlank="1" showInputMessage="1" showErrorMessage="1" xr:uid="{00000000-0002-0000-0100-00000E000000}">
          <x14:formula1>
            <xm:f>Variables!$O$4:$O$12</xm:f>
          </x14:formula1>
          <xm:sqref>AG5:AG1048576</xm:sqref>
        </x14:dataValidation>
        <x14:dataValidation type="list" allowBlank="1" showInputMessage="1" showErrorMessage="1" xr:uid="{00000000-0002-0000-0100-00000F000000}">
          <x14:formula1>
            <xm:f>'Resident Names'!$A:$A</xm:f>
          </x14:formula1>
          <xm:sqref>G5:G1048576</xm:sqref>
        </x14:dataValidation>
        <x14:dataValidation type="list" allowBlank="1" showInputMessage="1" showErrorMessage="1" xr:uid="{00000000-0002-0000-0100-000010000000}">
          <x14:formula1>
            <xm:f>'Staff Names'!$A:$A</xm:f>
          </x14:formula1>
          <xm:sqref>J5:L1048576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FFFF00"/>
  </sheetPr>
  <dimension ref="A1:AN36"/>
  <sheetViews>
    <sheetView zoomScale="80" zoomScaleNormal="80" workbookViewId="0">
      <pane xSplit="1" topLeftCell="B1" activePane="topRight" state="frozen"/>
      <selection activeCell="A40" sqref="A40"/>
      <selection pane="topRight" activeCell="R19" sqref="R19:R36"/>
    </sheetView>
  </sheetViews>
  <sheetFormatPr defaultColWidth="9.15625" defaultRowHeight="14.4" x14ac:dyDescent="0.55000000000000004"/>
  <cols>
    <col min="1" max="1" width="11" style="88" customWidth="1"/>
    <col min="2" max="2" width="11" style="67" customWidth="1"/>
    <col min="3" max="3" width="10.734375" style="67" customWidth="1"/>
    <col min="4" max="4" width="12.47265625" style="63" customWidth="1"/>
    <col min="5" max="5" width="12.15625" style="68" customWidth="1"/>
    <col min="6" max="6" width="10.15625" style="225" customWidth="1"/>
    <col min="7" max="7" width="23.26171875" style="63" customWidth="1"/>
    <col min="8" max="8" width="11.47265625" style="63" customWidth="1"/>
    <col min="9" max="9" width="9.15625" style="63" customWidth="1"/>
    <col min="10" max="10" width="13.7890625" style="63" customWidth="1"/>
    <col min="11" max="11" width="11.734375" style="63" customWidth="1"/>
    <col min="12" max="12" width="13.47265625" style="225" customWidth="1"/>
    <col min="13" max="13" width="18.47265625" style="224" customWidth="1"/>
    <col min="14" max="14" width="13.734375" style="225" customWidth="1"/>
    <col min="15" max="15" width="22.5234375" style="63" customWidth="1"/>
    <col min="16" max="16" width="21.5234375" style="63" customWidth="1"/>
    <col min="17" max="17" width="36" style="225" customWidth="1"/>
    <col min="18" max="18" width="17" style="63" customWidth="1"/>
    <col min="19" max="19" width="19.26171875" style="63" customWidth="1"/>
    <col min="20" max="20" width="14.26171875" style="69" customWidth="1"/>
    <col min="21" max="21" width="26.734375" style="63" customWidth="1"/>
    <col min="22" max="22" width="26.15625" style="91" customWidth="1"/>
    <col min="23" max="23" width="10.7890625" style="91" customWidth="1"/>
    <col min="24" max="24" width="23.7890625" style="63" customWidth="1"/>
    <col min="25" max="25" width="19.5234375" style="225" customWidth="1"/>
    <col min="26" max="26" width="11.7890625" style="63" customWidth="1"/>
    <col min="27" max="27" width="13.26171875" style="67" customWidth="1"/>
    <col min="28" max="28" width="11.5234375" style="63" customWidth="1"/>
    <col min="29" max="29" width="18.734375" style="225" customWidth="1"/>
    <col min="30" max="30" width="23.26171875" style="63" customWidth="1"/>
    <col min="31" max="31" width="24.5234375" style="63" customWidth="1"/>
    <col min="32" max="32" width="21.26171875" style="67" customWidth="1"/>
    <col min="33" max="33" width="23" style="225" customWidth="1"/>
    <col min="34" max="35" width="23.734375" style="63" customWidth="1"/>
    <col min="36" max="36" width="21.734375" style="107" customWidth="1"/>
    <col min="37" max="37" width="9.15625" style="1"/>
    <col min="38" max="38" width="26" style="225" customWidth="1"/>
    <col min="39" max="39" width="11" style="10" customWidth="1"/>
    <col min="40" max="40" width="12.15625" style="68" customWidth="1"/>
    <col min="41" max="16384" width="9.15625" style="63"/>
  </cols>
  <sheetData>
    <row r="1" spans="1:40" ht="43.2" x14ac:dyDescent="0.55000000000000004">
      <c r="A1" s="97" t="s">
        <v>0</v>
      </c>
      <c r="AJ1" s="103"/>
      <c r="AK1" s="10"/>
      <c r="AL1" s="68"/>
      <c r="AM1" s="63"/>
      <c r="AN1" s="63"/>
    </row>
    <row r="2" spans="1:40" s="78" customFormat="1" ht="28.8" x14ac:dyDescent="0.55000000000000004">
      <c r="A2" s="84"/>
      <c r="B2" s="70"/>
      <c r="C2" s="70"/>
      <c r="D2" s="71" t="s">
        <v>8</v>
      </c>
      <c r="E2" s="72"/>
      <c r="F2" s="73"/>
      <c r="G2" s="65"/>
      <c r="H2" s="65"/>
      <c r="I2" s="74" t="s">
        <v>69</v>
      </c>
      <c r="J2" s="65"/>
      <c r="K2" s="65"/>
      <c r="L2" s="66"/>
      <c r="M2" s="238" t="s">
        <v>36</v>
      </c>
      <c r="N2" s="239"/>
      <c r="O2" s="65"/>
      <c r="P2" s="74" t="s">
        <v>242</v>
      </c>
      <c r="Q2" s="66"/>
      <c r="R2" s="75"/>
      <c r="S2" s="71" t="s">
        <v>243</v>
      </c>
      <c r="T2" s="76"/>
      <c r="U2" s="65"/>
      <c r="V2" s="226" t="s">
        <v>22</v>
      </c>
      <c r="W2" s="226"/>
      <c r="X2" s="65"/>
      <c r="Y2" s="66"/>
      <c r="Z2" s="75"/>
      <c r="AA2" s="70" t="s">
        <v>37</v>
      </c>
      <c r="AB2" s="75"/>
      <c r="AC2" s="77"/>
      <c r="AD2" s="235" t="s">
        <v>38</v>
      </c>
      <c r="AE2" s="236"/>
      <c r="AF2" s="236"/>
      <c r="AG2" s="237"/>
      <c r="AH2" s="75"/>
      <c r="AI2" s="71" t="s">
        <v>39</v>
      </c>
      <c r="AJ2" s="104"/>
      <c r="AK2" s="33"/>
      <c r="AL2" s="79"/>
    </row>
    <row r="3" spans="1:40" s="102" customFormat="1" ht="55.5" customHeight="1" x14ac:dyDescent="0.55000000000000004">
      <c r="A3" s="85" t="s">
        <v>135</v>
      </c>
      <c r="B3" s="81" t="s">
        <v>2</v>
      </c>
      <c r="C3" s="81" t="s">
        <v>1</v>
      </c>
      <c r="D3" s="102" t="s">
        <v>4</v>
      </c>
      <c r="E3" s="82" t="s">
        <v>3</v>
      </c>
      <c r="F3" s="64" t="s">
        <v>5</v>
      </c>
      <c r="G3" s="102" t="s">
        <v>122</v>
      </c>
      <c r="H3" s="102" t="s">
        <v>6</v>
      </c>
      <c r="I3" s="102" t="s">
        <v>7</v>
      </c>
      <c r="J3" s="102" t="s">
        <v>9</v>
      </c>
      <c r="K3" s="102" t="s">
        <v>10</v>
      </c>
      <c r="L3" s="64" t="s">
        <v>11</v>
      </c>
      <c r="M3" s="124" t="s">
        <v>12</v>
      </c>
      <c r="N3" s="64" t="s">
        <v>13</v>
      </c>
      <c r="O3" s="102" t="s">
        <v>15</v>
      </c>
      <c r="P3" s="102" t="s">
        <v>16</v>
      </c>
      <c r="Q3" s="64" t="s">
        <v>17</v>
      </c>
      <c r="R3" s="102" t="s">
        <v>240</v>
      </c>
      <c r="S3" s="102" t="s">
        <v>20</v>
      </c>
      <c r="T3" s="83" t="s">
        <v>241</v>
      </c>
      <c r="U3" s="102" t="s">
        <v>23</v>
      </c>
      <c r="V3" s="92" t="s">
        <v>24</v>
      </c>
      <c r="W3" s="92" t="s">
        <v>194</v>
      </c>
      <c r="X3" s="102" t="s">
        <v>25</v>
      </c>
      <c r="Y3" s="64" t="s">
        <v>26</v>
      </c>
      <c r="Z3" s="102" t="s">
        <v>27</v>
      </c>
      <c r="AA3" s="81" t="s">
        <v>28</v>
      </c>
      <c r="AB3" s="102" t="s">
        <v>29</v>
      </c>
      <c r="AC3" s="64" t="s">
        <v>30</v>
      </c>
      <c r="AD3" s="102" t="s">
        <v>31</v>
      </c>
      <c r="AE3" s="102" t="s">
        <v>32</v>
      </c>
      <c r="AF3" s="81" t="s">
        <v>134</v>
      </c>
      <c r="AG3" s="64" t="s">
        <v>33</v>
      </c>
      <c r="AH3" s="102" t="s">
        <v>40</v>
      </c>
      <c r="AI3" s="102" t="s">
        <v>34</v>
      </c>
      <c r="AJ3" s="105" t="s">
        <v>217</v>
      </c>
      <c r="AK3" s="101"/>
      <c r="AL3" s="82"/>
    </row>
    <row r="4" spans="1:40" ht="39" customHeight="1" x14ac:dyDescent="0.55000000000000004">
      <c r="A4" s="86">
        <v>1</v>
      </c>
      <c r="G4" s="63" t="s">
        <v>423</v>
      </c>
      <c r="W4" s="127"/>
      <c r="AJ4" s="103"/>
      <c r="AL4" s="68"/>
      <c r="AM4" s="63"/>
      <c r="AN4" s="63"/>
    </row>
    <row r="5" spans="1:40" ht="36" customHeight="1" x14ac:dyDescent="0.55000000000000004">
      <c r="A5" s="86">
        <v>2</v>
      </c>
      <c r="W5" s="127"/>
      <c r="AJ5" s="103"/>
      <c r="AL5" s="68"/>
      <c r="AM5" s="63"/>
      <c r="AN5" s="63"/>
    </row>
    <row r="6" spans="1:40" ht="42" customHeight="1" x14ac:dyDescent="0.55000000000000004">
      <c r="A6" s="86">
        <v>3</v>
      </c>
      <c r="W6" s="127"/>
      <c r="AJ6" s="103"/>
      <c r="AL6" s="68"/>
      <c r="AM6" s="63"/>
      <c r="AN6" s="63"/>
    </row>
    <row r="7" spans="1:40" ht="30" customHeight="1" x14ac:dyDescent="0.55000000000000004">
      <c r="A7" s="86">
        <v>4</v>
      </c>
      <c r="W7" s="127"/>
      <c r="AJ7" s="103"/>
      <c r="AL7" s="68"/>
      <c r="AM7" s="63"/>
      <c r="AN7" s="63"/>
    </row>
    <row r="8" spans="1:40" ht="33" customHeight="1" x14ac:dyDescent="0.55000000000000004">
      <c r="A8" s="86"/>
      <c r="W8" s="127"/>
      <c r="AJ8" s="103"/>
      <c r="AL8" s="68"/>
      <c r="AM8" s="63"/>
      <c r="AN8" s="63"/>
    </row>
    <row r="9" spans="1:40" x14ac:dyDescent="0.55000000000000004">
      <c r="A9" s="87"/>
      <c r="W9" s="127"/>
      <c r="AJ9" s="103"/>
      <c r="AK9" s="10"/>
      <c r="AL9" s="68"/>
      <c r="AM9" s="63"/>
      <c r="AN9" s="63"/>
    </row>
    <row r="11" spans="1:40" ht="28.8" x14ac:dyDescent="0.55000000000000004">
      <c r="G11" s="63" t="s">
        <v>69</v>
      </c>
      <c r="R11" s="63" t="s">
        <v>69</v>
      </c>
      <c r="U11" s="63" t="s">
        <v>88</v>
      </c>
      <c r="X11" s="63" t="s">
        <v>86</v>
      </c>
      <c r="Y11" s="225" t="s">
        <v>87</v>
      </c>
      <c r="Z11" s="63" t="s">
        <v>69</v>
      </c>
      <c r="AH11" s="63" t="s">
        <v>69</v>
      </c>
    </row>
    <row r="12" spans="1:40" x14ac:dyDescent="0.55000000000000004">
      <c r="AH12" s="63" t="s">
        <v>69</v>
      </c>
    </row>
    <row r="13" spans="1:40" x14ac:dyDescent="0.55000000000000004">
      <c r="AH13" s="63" t="s">
        <v>69</v>
      </c>
    </row>
    <row r="19" spans="18:18" x14ac:dyDescent="0.55000000000000004">
      <c r="R19" t="s">
        <v>425</v>
      </c>
    </row>
    <row r="20" spans="18:18" x14ac:dyDescent="0.55000000000000004">
      <c r="R20" t="s">
        <v>426</v>
      </c>
    </row>
    <row r="21" spans="18:18" x14ac:dyDescent="0.55000000000000004">
      <c r="R21" t="s">
        <v>427</v>
      </c>
    </row>
    <row r="22" spans="18:18" x14ac:dyDescent="0.55000000000000004">
      <c r="R22" t="s">
        <v>428</v>
      </c>
    </row>
    <row r="23" spans="18:18" x14ac:dyDescent="0.55000000000000004">
      <c r="R23"/>
    </row>
    <row r="24" spans="18:18" x14ac:dyDescent="0.55000000000000004">
      <c r="R24" t="s">
        <v>429</v>
      </c>
    </row>
    <row r="25" spans="18:18" x14ac:dyDescent="0.55000000000000004">
      <c r="R25" t="s">
        <v>430</v>
      </c>
    </row>
    <row r="26" spans="18:18" x14ac:dyDescent="0.55000000000000004">
      <c r="R26" t="s">
        <v>431</v>
      </c>
    </row>
    <row r="27" spans="18:18" x14ac:dyDescent="0.55000000000000004">
      <c r="R27" t="s">
        <v>432</v>
      </c>
    </row>
    <row r="28" spans="18:18" x14ac:dyDescent="0.55000000000000004">
      <c r="R28" t="s">
        <v>433</v>
      </c>
    </row>
    <row r="29" spans="18:18" x14ac:dyDescent="0.55000000000000004">
      <c r="R29" t="s">
        <v>434</v>
      </c>
    </row>
    <row r="30" spans="18:18" x14ac:dyDescent="0.55000000000000004">
      <c r="R30" t="s">
        <v>435</v>
      </c>
    </row>
    <row r="31" spans="18:18" x14ac:dyDescent="0.55000000000000004">
      <c r="R31" t="s">
        <v>436</v>
      </c>
    </row>
    <row r="32" spans="18:18" x14ac:dyDescent="0.55000000000000004">
      <c r="R32" t="s">
        <v>437</v>
      </c>
    </row>
    <row r="33" spans="18:18" x14ac:dyDescent="0.55000000000000004">
      <c r="R33" t="s">
        <v>438</v>
      </c>
    </row>
    <row r="34" spans="18:18" x14ac:dyDescent="0.55000000000000004">
      <c r="R34" t="s">
        <v>439</v>
      </c>
    </row>
    <row r="35" spans="18:18" x14ac:dyDescent="0.55000000000000004">
      <c r="R35" t="s">
        <v>440</v>
      </c>
    </row>
    <row r="36" spans="18:18" x14ac:dyDescent="0.55000000000000004">
      <c r="R36"/>
    </row>
  </sheetData>
  <mergeCells count="2">
    <mergeCell ref="AD2:AG2"/>
    <mergeCell ref="M2:N2"/>
  </mergeCells>
  <pageMargins left="0.25" right="0.25" top="0.75" bottom="0.75" header="0.3" footer="0.3"/>
  <pageSetup orientation="landscape" r:id="rId1"/>
  <tableParts count="1">
    <tablePart r:id="rId2"/>
  </tableParts>
  <extLst>
    <ext xmlns:x14="http://schemas.microsoft.com/office/spreadsheetml/2009/9/main" uri="{CCE6A557-97BC-4b89-ADB6-D9C93CAAB3DF}">
      <x14:dataValidations xmlns:xm="http://schemas.microsoft.com/office/excel/2006/main" count="22">
        <x14:dataValidation type="list" allowBlank="1" showInputMessage="1" showErrorMessage="1" xr:uid="{00000000-0002-0000-0200-000000000000}">
          <x14:formula1>
            <xm:f>Variables!$G$4:$G$14</xm:f>
          </x14:formula1>
          <xm:sqref>S10:S1048576</xm:sqref>
        </x14:dataValidation>
        <x14:dataValidation type="list" allowBlank="1" showInputMessage="1" showErrorMessage="1" xr:uid="{00000000-0002-0000-0200-000001000000}">
          <x14:formula1>
            <xm:f>Variables!$D$4:$D$14</xm:f>
          </x14:formula1>
          <xm:sqref>N10:N1048576</xm:sqref>
        </x14:dataValidation>
        <x14:dataValidation type="list" allowBlank="1" showInputMessage="1" showErrorMessage="1" xr:uid="{00000000-0002-0000-0200-000002000000}">
          <x14:formula1>
            <xm:f>Variables!$P$4:$P$15</xm:f>
          </x14:formula1>
          <xm:sqref>AM10:AM1048576 AJ1:AJ2 AJ4:AJ1048576</xm:sqref>
        </x14:dataValidation>
        <x14:dataValidation type="list" allowBlank="1" showInputMessage="1" showErrorMessage="1" xr:uid="{00000000-0002-0000-0200-000003000000}">
          <x14:formula1>
            <xm:f>Variables!$K$4:$K$8</xm:f>
          </x14:formula1>
          <xm:sqref>AB4:AB1048576</xm:sqref>
        </x14:dataValidation>
        <x14:dataValidation type="list" allowBlank="1" showInputMessage="1" showErrorMessage="1" xr:uid="{00000000-0002-0000-0200-000004000000}">
          <x14:formula1>
            <xm:f>Variables!$F$4:$F$10</xm:f>
          </x14:formula1>
          <xm:sqref>Q10:Q1048576</xm:sqref>
        </x14:dataValidation>
        <x14:dataValidation type="list" allowBlank="1" showInputMessage="1" showErrorMessage="1" xr:uid="{00000000-0002-0000-0200-000005000000}">
          <x14:formula1>
            <xm:f>Variables!$O$4:$O$12</xm:f>
          </x14:formula1>
          <xm:sqref>AH10:AI1048576</xm:sqref>
        </x14:dataValidation>
        <x14:dataValidation type="list" allowBlank="1" showInputMessage="1" showErrorMessage="1" xr:uid="{00000000-0002-0000-0200-000006000000}">
          <x14:formula1>
            <xm:f>Variables!$N$4:$N$8</xm:f>
          </x14:formula1>
          <xm:sqref>AG4:AG1048576</xm:sqref>
        </x14:dataValidation>
        <x14:dataValidation type="list" allowBlank="1" showInputMessage="1" showErrorMessage="1" xr:uid="{00000000-0002-0000-0200-000007000000}">
          <x14:formula1>
            <xm:f>Variables!$M$4:$M$8</xm:f>
          </x14:formula1>
          <xm:sqref>AE4:AE1048576</xm:sqref>
        </x14:dataValidation>
        <x14:dataValidation type="list" allowBlank="1" showInputMessage="1" showErrorMessage="1" xr:uid="{00000000-0002-0000-0200-000008000000}">
          <x14:formula1>
            <xm:f>Variables!$L$4:$L$7</xm:f>
          </x14:formula1>
          <xm:sqref>AD4:AD1048576</xm:sqref>
        </x14:dataValidation>
        <x14:dataValidation type="list" allowBlank="1" showInputMessage="1" showErrorMessage="1" xr:uid="{00000000-0002-0000-0200-000009000000}">
          <x14:formula1>
            <xm:f>Variables!$H$4:$H$13</xm:f>
          </x14:formula1>
          <xm:sqref>V4:V1048576</xm:sqref>
        </x14:dataValidation>
        <x14:dataValidation type="list" allowBlank="1" showInputMessage="1" showErrorMessage="1" xr:uid="{00000000-0002-0000-0200-00000A000000}">
          <x14:formula1>
            <xm:f>Variables!$E$4:$E$12</xm:f>
          </x14:formula1>
          <xm:sqref>O4:O1048576</xm:sqref>
        </x14:dataValidation>
        <x14:dataValidation type="list" allowBlank="1" showInputMessage="1" showErrorMessage="1" xr:uid="{00000000-0002-0000-0200-00000B000000}">
          <x14:formula1>
            <xm:f>Variables!$I$4:$I$12</xm:f>
          </x14:formula1>
          <xm:sqref>W4:W1048576</xm:sqref>
        </x14:dataValidation>
        <x14:dataValidation type="list" allowBlank="1" showInputMessage="1" showErrorMessage="1" xr:uid="{00000000-0002-0000-0200-00000C000000}">
          <x14:formula1>
            <xm:f>Variables!$C$4:$C$13</xm:f>
          </x14:formula1>
          <xm:sqref>M4:M1048576</xm:sqref>
        </x14:dataValidation>
        <x14:dataValidation type="list" allowBlank="1" showInputMessage="1" showErrorMessage="1" xr:uid="{00000000-0002-0000-0200-00000D000000}">
          <x14:formula1>
            <xm:f>Variables!$A$4:$A$13</xm:f>
          </x14:formula1>
          <xm:sqref>D4:D1048576</xm:sqref>
        </x14:dataValidation>
        <x14:dataValidation type="list" allowBlank="1" showInputMessage="1" showErrorMessage="1" xr:uid="{00000000-0002-0000-0200-00000E000000}">
          <x14:formula1>
            <xm:f>Variables!$B$4:$B$12</xm:f>
          </x14:formula1>
          <xm:sqref>F4:F1048576</xm:sqref>
        </x14:dataValidation>
        <x14:dataValidation type="list" allowBlank="1" showInputMessage="1" showErrorMessage="1" xr:uid="{00000000-0002-0000-0200-00000F000000}">
          <x14:formula1>
            <xm:f>Variables!$D$4:$D$25</xm:f>
          </x14:formula1>
          <xm:sqref>N4:N9</xm:sqref>
        </x14:dataValidation>
        <x14:dataValidation type="list" allowBlank="1" showInputMessage="1" showErrorMessage="1" xr:uid="{00000000-0002-0000-0200-000010000000}">
          <x14:formula1>
            <xm:f>Variables!$G$4:$G$17</xm:f>
          </x14:formula1>
          <xm:sqref>S4:S9</xm:sqref>
        </x14:dataValidation>
        <x14:dataValidation type="list" allowBlank="1" showInputMessage="1" showErrorMessage="1" xr:uid="{00000000-0002-0000-0200-000011000000}">
          <x14:formula1>
            <xm:f>Variables!$J$4:$J$9</xm:f>
          </x14:formula1>
          <xm:sqref>Z4:Z1048576</xm:sqref>
        </x14:dataValidation>
        <x14:dataValidation type="list" allowBlank="1" showInputMessage="1" showErrorMessage="1" xr:uid="{00000000-0002-0000-0200-000012000000}">
          <x14:formula1>
            <xm:f>Variables!$F$4:$F$14</xm:f>
          </x14:formula1>
          <xm:sqref>Q4:Q9</xm:sqref>
        </x14:dataValidation>
        <x14:dataValidation type="list" allowBlank="1" showInputMessage="1" showErrorMessage="1" xr:uid="{00000000-0002-0000-0200-000013000000}">
          <x14:formula1>
            <xm:f>Variables!$O$4:$O$23</xm:f>
          </x14:formula1>
          <xm:sqref>AH4:AH9</xm:sqref>
        </x14:dataValidation>
        <x14:dataValidation type="list" allowBlank="1" showInputMessage="1" showErrorMessage="1" xr:uid="{00000000-0002-0000-0200-000014000000}">
          <x14:formula1>
            <xm:f>'Resident Names'!$A:$A</xm:f>
          </x14:formula1>
          <xm:sqref>G4:G1048576</xm:sqref>
        </x14:dataValidation>
        <x14:dataValidation type="list" allowBlank="1" showInputMessage="1" showErrorMessage="1" xr:uid="{00000000-0002-0000-0200-000015000000}">
          <x14:formula1>
            <xm:f>'Staff Names'!$A:$A</xm:f>
          </x14:formula1>
          <xm:sqref>J4:L1048576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8" tint="0.39997558519241921"/>
  </sheetPr>
  <dimension ref="A1:AL199"/>
  <sheetViews>
    <sheetView zoomScale="70" zoomScaleNormal="70" workbookViewId="0">
      <pane xSplit="1" topLeftCell="D1" activePane="topRight" state="frozen"/>
      <selection activeCell="A2" sqref="A2"/>
      <selection pane="topRight" activeCell="G24" sqref="G24"/>
    </sheetView>
  </sheetViews>
  <sheetFormatPr defaultRowHeight="14.4" x14ac:dyDescent="0.55000000000000004"/>
  <cols>
    <col min="1" max="1" width="28.26171875" customWidth="1"/>
    <col min="3" max="3" width="12.47265625" customWidth="1"/>
    <col min="4" max="4" width="8.7890625" customWidth="1"/>
    <col min="5" max="5" width="11.734375" style="27" customWidth="1"/>
    <col min="6" max="6" width="12.734375" style="27" customWidth="1"/>
    <col min="7" max="7" width="14" style="27" customWidth="1"/>
    <col min="8" max="8" width="12.734375" style="27" customWidth="1"/>
    <col min="9" max="9" width="14.15625" style="27" customWidth="1"/>
    <col min="10" max="10" width="11.47265625" style="27" customWidth="1"/>
    <col min="11" max="11" width="11.734375" style="27" customWidth="1"/>
    <col min="12" max="12" width="5.734375" style="171" customWidth="1"/>
    <col min="13" max="13" width="9.5234375" style="137" customWidth="1"/>
    <col min="14" max="14" width="9.5234375" style="27" customWidth="1"/>
    <col min="15" max="24" width="9.15625" style="27"/>
    <col min="25" max="25" width="6.47265625" customWidth="1"/>
  </cols>
  <sheetData>
    <row r="1" spans="1:25" x14ac:dyDescent="0.55000000000000004">
      <c r="M1" s="27"/>
      <c r="Y1" s="130"/>
    </row>
    <row r="2" spans="1:25" ht="0.75" customHeight="1" x14ac:dyDescent="0.55000000000000004">
      <c r="A2" s="19" t="s">
        <v>52</v>
      </c>
      <c r="M2" s="27"/>
      <c r="Y2" s="130"/>
    </row>
    <row r="3" spans="1:25" s="6" customFormat="1" ht="58.5" customHeight="1" x14ac:dyDescent="0.55000000000000004">
      <c r="A3" s="6" t="s">
        <v>121</v>
      </c>
      <c r="B3" s="6" t="s">
        <v>53</v>
      </c>
      <c r="C3" s="6" t="s">
        <v>54</v>
      </c>
      <c r="D3" s="6" t="s">
        <v>352</v>
      </c>
      <c r="E3" s="89" t="s">
        <v>55</v>
      </c>
      <c r="F3" s="89" t="s">
        <v>57</v>
      </c>
      <c r="G3" s="89" t="s">
        <v>56</v>
      </c>
      <c r="H3" s="89" t="s">
        <v>90</v>
      </c>
      <c r="I3" s="89" t="s">
        <v>91</v>
      </c>
      <c r="J3" s="89" t="s">
        <v>92</v>
      </c>
      <c r="K3" s="89" t="s">
        <v>191</v>
      </c>
      <c r="L3" s="5" t="s">
        <v>307</v>
      </c>
      <c r="M3" s="89" t="s">
        <v>94</v>
      </c>
      <c r="N3" s="89" t="s">
        <v>95</v>
      </c>
      <c r="O3" s="89" t="s">
        <v>96</v>
      </c>
      <c r="P3" s="89" t="s">
        <v>97</v>
      </c>
      <c r="Q3" s="89" t="s">
        <v>93</v>
      </c>
      <c r="R3" s="89" t="s">
        <v>98</v>
      </c>
      <c r="S3" s="89" t="s">
        <v>99</v>
      </c>
      <c r="T3" s="89" t="s">
        <v>100</v>
      </c>
      <c r="U3" s="89" t="s">
        <v>101</v>
      </c>
      <c r="V3" s="89" t="s">
        <v>102</v>
      </c>
      <c r="W3" s="89" t="s">
        <v>103</v>
      </c>
      <c r="X3" s="89" t="s">
        <v>104</v>
      </c>
      <c r="Y3" s="131"/>
    </row>
    <row r="4" spans="1:25" x14ac:dyDescent="0.55000000000000004">
      <c r="A4" t="s">
        <v>423</v>
      </c>
      <c r="B4">
        <v>1</v>
      </c>
      <c r="C4" t="s">
        <v>50</v>
      </c>
      <c r="D4" t="s">
        <v>60</v>
      </c>
      <c r="E4" s="27">
        <f>COUNTIF('2015 Grievance Tracking'!G:G, "Resident 1 - 001")</f>
        <v>1</v>
      </c>
      <c r="F4" s="27">
        <f>COUNTIFS('2015 Grievance Tracking'!G:G, "Resident 1 - 001", '2015 Grievance Tracking'!W:W, "1.1")</f>
        <v>0</v>
      </c>
      <c r="G4" s="27">
        <f>COUNTIFS('2015 Grievance Tracking'!G:G, "Resident 1 - 001", '2015 Grievance Tracking'!W:W, "1.2")</f>
        <v>0</v>
      </c>
      <c r="H4" s="27">
        <f>COUNTIFS('2015 Grievance Tracking'!G:G,"Resident 1 - 001",'2015 Grievance Tracking'!W:W, "2.1")+COUNTIFS('2015 Grievance Tracking'!G:G, "Resident 1 - 001",'2015 Grievance Tracking'!W:W, "2.2")+COUNTIFS('2015 Grievance Tracking'!G:G, "Resident 1 - 001",'2015 Grievance Tracking'!W:W, "2.3")+COUNTIFS('2015 Grievance Tracking'!G:G,"Resident 1 - 001", '2015 Grievance Tracking'!W:W, "2.4")</f>
        <v>0</v>
      </c>
      <c r="I4" s="27">
        <f>COUNTIFS('2015 Grievance Tracking'!G:G, "Resident 1 - 001", '2015 Grievance Tracking'!W:W, "3")</f>
        <v>0</v>
      </c>
      <c r="J4" s="27">
        <f>COUNTIFS('2015 Grievance Tracking'!G:G, "Resident 1 - 001", '2015 Grievance Tracking'!W:W, "4")</f>
        <v>0</v>
      </c>
      <c r="K4" s="27">
        <f>COUNTIFS('2015 Grievance Tracking'!G:G, "Resident 1 - 001", '2015 Grievance Tracking'!W:W, "5")</f>
        <v>0</v>
      </c>
      <c r="M4" s="27">
        <f>COUNTIFS('2015 Grievance Tracking'!G:G,"Resident 1 - 001",'2015 Grievance Tracking'!AJ:AJ,"January")</f>
        <v>0</v>
      </c>
      <c r="N4" s="27">
        <f>COUNTIFS('2015 Grievance Tracking'!G:G,"Resident 1 - 001",'2015 Grievance Tracking'!AJ:AJ,"February")</f>
        <v>0</v>
      </c>
      <c r="O4" s="27">
        <f>COUNTIFS('2015 Grievance Tracking'!G:G,"Resident 1 - 001",'2015 Grievance Tracking'!AJ:AJ,"March")</f>
        <v>0</v>
      </c>
      <c r="P4" s="27">
        <f>COUNTIFS('2015 Grievance Tracking'!G:G,"Resident 1 - 001",'2015 Grievance Tracking'!AJ:AJ,"April")</f>
        <v>0</v>
      </c>
      <c r="Q4" s="27">
        <f>COUNTIFS('2015 Grievance Tracking'!G:G,"Resident 1 - 001",'2015 Grievance Tracking'!AJ:AJ,"May")</f>
        <v>0</v>
      </c>
      <c r="R4" s="27">
        <f>COUNTIFS('2015 Grievance Tracking'!G:G,"Resident 1 - 001",'2015 Grievance Tracking'!AJ:AJ,"June")</f>
        <v>0</v>
      </c>
      <c r="S4" s="27">
        <f>COUNTIFS('2015 Grievance Tracking'!G:G,"Resident 1 - 001",'2015 Grievance Tracking'!AJ:AJ,"July")</f>
        <v>0</v>
      </c>
      <c r="T4" s="27">
        <f>COUNTIFS('2015 Grievance Tracking'!G:G,"Resident 1 - 001",'2015 Grievance Tracking'!AJ:AJ,"August")</f>
        <v>0</v>
      </c>
      <c r="U4" s="27">
        <f>COUNTIFS('2015 Grievance Tracking'!G:G,"Resident 1 - 001",'2015 Grievance Tracking'!AJ:AJ,"September")</f>
        <v>0</v>
      </c>
      <c r="V4" s="27">
        <f>COUNTIFS('2015 Grievance Tracking'!G:G,"Resident 1 - 001",'2015 Grievance Tracking'!AJ:AJ,"October")</f>
        <v>0</v>
      </c>
      <c r="W4" s="27">
        <f>COUNTIFS('2015 Grievance Tracking'!G:G,"Resident 1 - 001",'2015 Grievance Tracking'!AJ:AJ,"November")</f>
        <v>0</v>
      </c>
      <c r="X4" s="27">
        <f>COUNTIFS('2015 Grievance Tracking'!G:G,"Resident 1 - 001",'2015 Grievance Tracking'!AJ:AJ,"December")</f>
        <v>0</v>
      </c>
      <c r="Y4" s="130"/>
    </row>
    <row r="5" spans="1:25" x14ac:dyDescent="0.55000000000000004">
      <c r="M5" s="27"/>
      <c r="Y5" s="130"/>
    </row>
    <row r="6" spans="1:25" x14ac:dyDescent="0.55000000000000004">
      <c r="M6" s="27"/>
      <c r="Y6" s="130"/>
    </row>
    <row r="7" spans="1:25" x14ac:dyDescent="0.55000000000000004">
      <c r="M7" s="27"/>
      <c r="Y7" s="130"/>
    </row>
    <row r="8" spans="1:25" x14ac:dyDescent="0.55000000000000004">
      <c r="M8" s="27"/>
      <c r="Y8" s="130"/>
    </row>
    <row r="9" spans="1:25" x14ac:dyDescent="0.55000000000000004">
      <c r="M9" s="27"/>
      <c r="Y9" s="130"/>
    </row>
    <row r="10" spans="1:25" x14ac:dyDescent="0.55000000000000004">
      <c r="M10" s="27"/>
      <c r="Y10" s="130"/>
    </row>
    <row r="11" spans="1:25" x14ac:dyDescent="0.55000000000000004">
      <c r="M11" s="27"/>
      <c r="Y11" s="130"/>
    </row>
    <row r="12" spans="1:25" x14ac:dyDescent="0.55000000000000004">
      <c r="M12" s="27"/>
      <c r="Y12" s="130"/>
    </row>
    <row r="13" spans="1:25" x14ac:dyDescent="0.55000000000000004">
      <c r="M13" s="27"/>
      <c r="Y13" s="130"/>
    </row>
    <row r="14" spans="1:25" x14ac:dyDescent="0.55000000000000004">
      <c r="M14" s="27"/>
      <c r="Y14" s="130"/>
    </row>
    <row r="15" spans="1:25" x14ac:dyDescent="0.55000000000000004">
      <c r="M15" s="27"/>
      <c r="Y15" s="130"/>
    </row>
    <row r="16" spans="1:25" x14ac:dyDescent="0.55000000000000004">
      <c r="M16" s="27"/>
      <c r="Y16" s="130"/>
    </row>
    <row r="17" spans="13:25" x14ac:dyDescent="0.55000000000000004">
      <c r="M17" s="27"/>
      <c r="Y17" s="130"/>
    </row>
    <row r="18" spans="13:25" x14ac:dyDescent="0.55000000000000004">
      <c r="M18" s="27"/>
      <c r="Y18" s="130"/>
    </row>
    <row r="19" spans="13:25" x14ac:dyDescent="0.55000000000000004">
      <c r="M19" s="27"/>
      <c r="Y19" s="130"/>
    </row>
    <row r="20" spans="13:25" x14ac:dyDescent="0.55000000000000004">
      <c r="M20" s="27"/>
      <c r="Y20" s="130"/>
    </row>
    <row r="21" spans="13:25" x14ac:dyDescent="0.55000000000000004">
      <c r="M21" s="27"/>
      <c r="Y21" s="130"/>
    </row>
    <row r="22" spans="13:25" x14ac:dyDescent="0.55000000000000004">
      <c r="M22" s="27"/>
      <c r="Y22" s="130"/>
    </row>
    <row r="23" spans="13:25" x14ac:dyDescent="0.55000000000000004">
      <c r="M23" s="27"/>
      <c r="Y23" s="130"/>
    </row>
    <row r="24" spans="13:25" x14ac:dyDescent="0.55000000000000004">
      <c r="M24" s="27"/>
      <c r="Y24" s="130"/>
    </row>
    <row r="25" spans="13:25" x14ac:dyDescent="0.55000000000000004">
      <c r="M25" s="27"/>
      <c r="Y25" s="130"/>
    </row>
    <row r="26" spans="13:25" x14ac:dyDescent="0.55000000000000004">
      <c r="M26" s="27"/>
      <c r="Y26" s="130"/>
    </row>
    <row r="27" spans="13:25" x14ac:dyDescent="0.55000000000000004">
      <c r="M27" s="27"/>
      <c r="Y27" s="130"/>
    </row>
    <row r="28" spans="13:25" x14ac:dyDescent="0.55000000000000004">
      <c r="M28" s="27"/>
      <c r="Y28" s="130"/>
    </row>
    <row r="29" spans="13:25" x14ac:dyDescent="0.55000000000000004">
      <c r="M29" s="27"/>
      <c r="Y29" s="130"/>
    </row>
    <row r="30" spans="13:25" x14ac:dyDescent="0.55000000000000004">
      <c r="M30" s="27"/>
      <c r="Y30" s="130"/>
    </row>
    <row r="31" spans="13:25" x14ac:dyDescent="0.55000000000000004">
      <c r="M31" s="27"/>
      <c r="Y31" s="130"/>
    </row>
    <row r="32" spans="13:25" x14ac:dyDescent="0.55000000000000004">
      <c r="M32" s="27"/>
      <c r="Y32" s="130"/>
    </row>
    <row r="33" spans="13:25" x14ac:dyDescent="0.55000000000000004">
      <c r="M33" s="27"/>
      <c r="Y33" s="130"/>
    </row>
    <row r="34" spans="13:25" x14ac:dyDescent="0.55000000000000004">
      <c r="M34" s="27"/>
      <c r="Y34" s="130"/>
    </row>
    <row r="35" spans="13:25" x14ac:dyDescent="0.55000000000000004">
      <c r="M35" s="27"/>
      <c r="Y35" s="130"/>
    </row>
    <row r="36" spans="13:25" x14ac:dyDescent="0.55000000000000004">
      <c r="M36" s="27"/>
      <c r="Y36" s="130"/>
    </row>
    <row r="37" spans="13:25" x14ac:dyDescent="0.55000000000000004">
      <c r="M37" s="27"/>
      <c r="Y37" s="130"/>
    </row>
    <row r="38" spans="13:25" x14ac:dyDescent="0.55000000000000004">
      <c r="M38" s="27"/>
      <c r="Y38" s="130"/>
    </row>
    <row r="39" spans="13:25" x14ac:dyDescent="0.55000000000000004">
      <c r="M39" s="27"/>
      <c r="Y39" s="130"/>
    </row>
    <row r="40" spans="13:25" x14ac:dyDescent="0.55000000000000004">
      <c r="M40" s="27"/>
      <c r="Y40" s="130"/>
    </row>
    <row r="41" spans="13:25" x14ac:dyDescent="0.55000000000000004">
      <c r="M41" s="27"/>
      <c r="Y41" s="130"/>
    </row>
    <row r="42" spans="13:25" x14ac:dyDescent="0.55000000000000004">
      <c r="M42" s="27"/>
      <c r="Y42" s="130"/>
    </row>
    <row r="43" spans="13:25" x14ac:dyDescent="0.55000000000000004">
      <c r="M43" s="27"/>
      <c r="Y43" s="130"/>
    </row>
    <row r="44" spans="13:25" x14ac:dyDescent="0.55000000000000004">
      <c r="M44" s="27"/>
      <c r="Y44" s="130"/>
    </row>
    <row r="45" spans="13:25" x14ac:dyDescent="0.55000000000000004">
      <c r="M45" s="27"/>
      <c r="Y45" s="130"/>
    </row>
    <row r="46" spans="13:25" x14ac:dyDescent="0.55000000000000004">
      <c r="M46" s="27"/>
      <c r="Y46" s="130"/>
    </row>
    <row r="47" spans="13:25" x14ac:dyDescent="0.55000000000000004">
      <c r="M47" s="27"/>
      <c r="Y47" s="130"/>
    </row>
    <row r="48" spans="13:25" x14ac:dyDescent="0.55000000000000004">
      <c r="M48" s="27"/>
      <c r="Y48" s="130"/>
    </row>
    <row r="49" spans="13:25" x14ac:dyDescent="0.55000000000000004">
      <c r="M49" s="27"/>
      <c r="Y49" s="130"/>
    </row>
    <row r="50" spans="13:25" x14ac:dyDescent="0.55000000000000004">
      <c r="M50" s="27"/>
      <c r="Y50" s="130"/>
    </row>
    <row r="51" spans="13:25" x14ac:dyDescent="0.55000000000000004">
      <c r="M51" s="27"/>
      <c r="Y51" s="130"/>
    </row>
    <row r="52" spans="13:25" x14ac:dyDescent="0.55000000000000004">
      <c r="M52" s="27"/>
      <c r="Y52" s="130"/>
    </row>
    <row r="53" spans="13:25" x14ac:dyDescent="0.55000000000000004">
      <c r="M53" s="27"/>
      <c r="Y53" s="130"/>
    </row>
    <row r="54" spans="13:25" x14ac:dyDescent="0.55000000000000004">
      <c r="M54" s="27"/>
      <c r="Y54" s="130"/>
    </row>
    <row r="55" spans="13:25" x14ac:dyDescent="0.55000000000000004">
      <c r="M55" s="27"/>
      <c r="Y55" s="130"/>
    </row>
    <row r="56" spans="13:25" x14ac:dyDescent="0.55000000000000004">
      <c r="M56" s="27"/>
      <c r="Y56" s="130"/>
    </row>
    <row r="57" spans="13:25" x14ac:dyDescent="0.55000000000000004">
      <c r="M57" s="27"/>
      <c r="Y57" s="130"/>
    </row>
    <row r="58" spans="13:25" x14ac:dyDescent="0.55000000000000004">
      <c r="M58" s="27"/>
      <c r="Y58" s="130"/>
    </row>
    <row r="59" spans="13:25" x14ac:dyDescent="0.55000000000000004">
      <c r="M59" s="27"/>
      <c r="Y59" s="130"/>
    </row>
    <row r="60" spans="13:25" x14ac:dyDescent="0.55000000000000004">
      <c r="M60" s="27"/>
      <c r="Y60" s="130"/>
    </row>
    <row r="61" spans="13:25" x14ac:dyDescent="0.55000000000000004">
      <c r="M61" s="27"/>
      <c r="Y61" s="130"/>
    </row>
    <row r="62" spans="13:25" x14ac:dyDescent="0.55000000000000004">
      <c r="M62" s="27"/>
      <c r="Y62" s="130"/>
    </row>
    <row r="63" spans="13:25" x14ac:dyDescent="0.55000000000000004">
      <c r="M63" s="27"/>
      <c r="Y63" s="130"/>
    </row>
    <row r="64" spans="13:25" x14ac:dyDescent="0.55000000000000004">
      <c r="M64" s="27"/>
      <c r="Y64" s="130"/>
    </row>
    <row r="65" spans="13:25" x14ac:dyDescent="0.55000000000000004">
      <c r="M65" s="27"/>
      <c r="Y65" s="130"/>
    </row>
    <row r="66" spans="13:25" x14ac:dyDescent="0.55000000000000004">
      <c r="M66" s="27"/>
      <c r="Y66" s="130"/>
    </row>
    <row r="67" spans="13:25" x14ac:dyDescent="0.55000000000000004">
      <c r="M67" s="27"/>
      <c r="Y67" s="130"/>
    </row>
    <row r="68" spans="13:25" x14ac:dyDescent="0.55000000000000004">
      <c r="M68" s="27"/>
      <c r="Y68" s="130"/>
    </row>
    <row r="69" spans="13:25" x14ac:dyDescent="0.55000000000000004">
      <c r="M69" s="27"/>
      <c r="Y69" s="130"/>
    </row>
    <row r="70" spans="13:25" x14ac:dyDescent="0.55000000000000004">
      <c r="M70" s="27"/>
      <c r="Y70" s="130"/>
    </row>
    <row r="71" spans="13:25" x14ac:dyDescent="0.55000000000000004">
      <c r="M71" s="27"/>
      <c r="Y71" s="130"/>
    </row>
    <row r="72" spans="13:25" x14ac:dyDescent="0.55000000000000004">
      <c r="M72" s="27"/>
      <c r="Y72" s="130"/>
    </row>
    <row r="73" spans="13:25" x14ac:dyDescent="0.55000000000000004">
      <c r="M73" s="27"/>
      <c r="Y73" s="130"/>
    </row>
    <row r="74" spans="13:25" x14ac:dyDescent="0.55000000000000004">
      <c r="M74" s="27"/>
      <c r="Y74" s="130"/>
    </row>
    <row r="75" spans="13:25" x14ac:dyDescent="0.55000000000000004">
      <c r="M75" s="27"/>
      <c r="Y75" s="130"/>
    </row>
    <row r="76" spans="13:25" x14ac:dyDescent="0.55000000000000004">
      <c r="M76" s="27"/>
      <c r="Y76" s="130"/>
    </row>
    <row r="77" spans="13:25" x14ac:dyDescent="0.55000000000000004">
      <c r="M77" s="27"/>
      <c r="Y77" s="130"/>
    </row>
    <row r="78" spans="13:25" x14ac:dyDescent="0.55000000000000004">
      <c r="M78" s="27"/>
      <c r="Y78" s="130"/>
    </row>
    <row r="79" spans="13:25" x14ac:dyDescent="0.55000000000000004">
      <c r="M79" s="27"/>
      <c r="Y79" s="130"/>
    </row>
    <row r="80" spans="13:25" x14ac:dyDescent="0.55000000000000004">
      <c r="M80" s="27"/>
      <c r="Y80" s="130"/>
    </row>
    <row r="81" spans="13:25" x14ac:dyDescent="0.55000000000000004">
      <c r="M81" s="27"/>
      <c r="Y81" s="130"/>
    </row>
    <row r="82" spans="13:25" x14ac:dyDescent="0.55000000000000004">
      <c r="M82" s="27"/>
      <c r="Y82" s="130"/>
    </row>
    <row r="83" spans="13:25" x14ac:dyDescent="0.55000000000000004">
      <c r="M83" s="27"/>
      <c r="Y83" s="130"/>
    </row>
    <row r="84" spans="13:25" x14ac:dyDescent="0.55000000000000004">
      <c r="M84" s="27"/>
      <c r="Y84" s="130"/>
    </row>
    <row r="85" spans="13:25" x14ac:dyDescent="0.55000000000000004">
      <c r="M85" s="27"/>
      <c r="Y85" s="130"/>
    </row>
    <row r="86" spans="13:25" x14ac:dyDescent="0.55000000000000004">
      <c r="M86" s="27"/>
      <c r="Y86" s="130"/>
    </row>
    <row r="87" spans="13:25" x14ac:dyDescent="0.55000000000000004">
      <c r="M87" s="27"/>
      <c r="Y87" s="130"/>
    </row>
    <row r="88" spans="13:25" x14ac:dyDescent="0.55000000000000004">
      <c r="M88" s="27"/>
      <c r="Y88" s="130"/>
    </row>
    <row r="89" spans="13:25" x14ac:dyDescent="0.55000000000000004">
      <c r="M89" s="27"/>
      <c r="Y89" s="130"/>
    </row>
    <row r="90" spans="13:25" x14ac:dyDescent="0.55000000000000004">
      <c r="M90" s="27"/>
      <c r="Y90" s="130"/>
    </row>
    <row r="91" spans="13:25" x14ac:dyDescent="0.55000000000000004">
      <c r="M91" s="27"/>
      <c r="Y91" s="130"/>
    </row>
    <row r="92" spans="13:25" x14ac:dyDescent="0.55000000000000004">
      <c r="M92" s="27"/>
      <c r="Y92" s="130"/>
    </row>
    <row r="93" spans="13:25" x14ac:dyDescent="0.55000000000000004">
      <c r="M93" s="27"/>
      <c r="Y93" s="130"/>
    </row>
    <row r="94" spans="13:25" x14ac:dyDescent="0.55000000000000004">
      <c r="M94" s="27"/>
      <c r="Y94" s="130"/>
    </row>
    <row r="95" spans="13:25" x14ac:dyDescent="0.55000000000000004">
      <c r="M95" s="27"/>
      <c r="Y95" s="130"/>
    </row>
    <row r="96" spans="13:25" x14ac:dyDescent="0.55000000000000004">
      <c r="M96" s="27"/>
      <c r="Y96" s="130"/>
    </row>
    <row r="97" spans="13:25" x14ac:dyDescent="0.55000000000000004">
      <c r="M97" s="27"/>
      <c r="Y97" s="130"/>
    </row>
    <row r="98" spans="13:25" x14ac:dyDescent="0.55000000000000004">
      <c r="M98" s="27"/>
      <c r="Y98" s="130"/>
    </row>
    <row r="99" spans="13:25" x14ac:dyDescent="0.55000000000000004">
      <c r="M99" s="27"/>
      <c r="Y99" s="130"/>
    </row>
    <row r="100" spans="13:25" x14ac:dyDescent="0.55000000000000004">
      <c r="M100" s="27"/>
      <c r="Y100" s="130"/>
    </row>
    <row r="101" spans="13:25" x14ac:dyDescent="0.55000000000000004">
      <c r="M101" s="27"/>
      <c r="Y101" s="130"/>
    </row>
    <row r="102" spans="13:25" x14ac:dyDescent="0.55000000000000004">
      <c r="M102" s="27"/>
      <c r="Y102" s="130"/>
    </row>
    <row r="103" spans="13:25" x14ac:dyDescent="0.55000000000000004">
      <c r="M103" s="27"/>
      <c r="Y103" s="130"/>
    </row>
    <row r="104" spans="13:25" x14ac:dyDescent="0.55000000000000004">
      <c r="M104" s="27"/>
      <c r="Y104" s="130"/>
    </row>
    <row r="105" spans="13:25" x14ac:dyDescent="0.55000000000000004">
      <c r="M105" s="27"/>
      <c r="Y105" s="130"/>
    </row>
    <row r="106" spans="13:25" x14ac:dyDescent="0.55000000000000004">
      <c r="M106" s="27"/>
      <c r="Y106" s="130"/>
    </row>
    <row r="107" spans="13:25" x14ac:dyDescent="0.55000000000000004">
      <c r="M107" s="27"/>
      <c r="Y107" s="130"/>
    </row>
    <row r="108" spans="13:25" x14ac:dyDescent="0.55000000000000004">
      <c r="M108" s="27"/>
      <c r="Y108" s="130"/>
    </row>
    <row r="109" spans="13:25" x14ac:dyDescent="0.55000000000000004">
      <c r="M109" s="27"/>
      <c r="Y109" s="130"/>
    </row>
    <row r="110" spans="13:25" x14ac:dyDescent="0.55000000000000004">
      <c r="M110" s="27"/>
      <c r="Y110" s="130"/>
    </row>
    <row r="111" spans="13:25" x14ac:dyDescent="0.55000000000000004">
      <c r="M111" s="27"/>
      <c r="Y111" s="130"/>
    </row>
    <row r="112" spans="13:25" x14ac:dyDescent="0.55000000000000004">
      <c r="M112" s="27"/>
      <c r="Y112" s="130"/>
    </row>
    <row r="113" spans="13:25" x14ac:dyDescent="0.55000000000000004">
      <c r="M113" s="27"/>
      <c r="Y113" s="130"/>
    </row>
    <row r="114" spans="13:25" x14ac:dyDescent="0.55000000000000004">
      <c r="M114" s="27"/>
      <c r="Y114" s="130"/>
    </row>
    <row r="115" spans="13:25" x14ac:dyDescent="0.55000000000000004">
      <c r="M115" s="27"/>
      <c r="Y115" s="130"/>
    </row>
    <row r="116" spans="13:25" x14ac:dyDescent="0.55000000000000004">
      <c r="M116" s="27"/>
      <c r="Y116" s="130"/>
    </row>
    <row r="117" spans="13:25" x14ac:dyDescent="0.55000000000000004">
      <c r="M117" s="27"/>
      <c r="Y117" s="130"/>
    </row>
    <row r="118" spans="13:25" x14ac:dyDescent="0.55000000000000004">
      <c r="M118" s="27"/>
      <c r="Y118" s="130"/>
    </row>
    <row r="119" spans="13:25" x14ac:dyDescent="0.55000000000000004">
      <c r="M119" s="27"/>
      <c r="Y119" s="130"/>
    </row>
    <row r="120" spans="13:25" x14ac:dyDescent="0.55000000000000004">
      <c r="M120" s="27"/>
      <c r="Y120" s="130"/>
    </row>
    <row r="121" spans="13:25" x14ac:dyDescent="0.55000000000000004">
      <c r="M121" s="27"/>
      <c r="Y121" s="130"/>
    </row>
    <row r="122" spans="13:25" x14ac:dyDescent="0.55000000000000004">
      <c r="M122" s="27"/>
      <c r="Y122" s="130"/>
    </row>
    <row r="123" spans="13:25" x14ac:dyDescent="0.55000000000000004">
      <c r="M123" s="27"/>
      <c r="Y123" s="130"/>
    </row>
    <row r="124" spans="13:25" x14ac:dyDescent="0.55000000000000004">
      <c r="M124" s="27"/>
      <c r="Y124" s="130"/>
    </row>
    <row r="125" spans="13:25" x14ac:dyDescent="0.55000000000000004">
      <c r="M125" s="27"/>
      <c r="Y125" s="130"/>
    </row>
    <row r="126" spans="13:25" x14ac:dyDescent="0.55000000000000004">
      <c r="M126" s="27"/>
      <c r="Y126" s="130"/>
    </row>
    <row r="127" spans="13:25" x14ac:dyDescent="0.55000000000000004">
      <c r="M127" s="27"/>
      <c r="Y127" s="130"/>
    </row>
    <row r="128" spans="13:25" x14ac:dyDescent="0.55000000000000004">
      <c r="M128" s="27"/>
      <c r="Y128" s="130"/>
    </row>
    <row r="129" spans="13:25" x14ac:dyDescent="0.55000000000000004">
      <c r="M129" s="27"/>
      <c r="Y129" s="130"/>
    </row>
    <row r="130" spans="13:25" x14ac:dyDescent="0.55000000000000004">
      <c r="M130" s="27"/>
      <c r="Y130" s="130"/>
    </row>
    <row r="131" spans="13:25" x14ac:dyDescent="0.55000000000000004">
      <c r="M131" s="27"/>
      <c r="Y131" s="130"/>
    </row>
    <row r="132" spans="13:25" x14ac:dyDescent="0.55000000000000004">
      <c r="M132" s="27"/>
      <c r="Y132" s="130"/>
    </row>
    <row r="133" spans="13:25" x14ac:dyDescent="0.55000000000000004">
      <c r="M133" s="27"/>
      <c r="Y133" s="130"/>
    </row>
    <row r="134" spans="13:25" x14ac:dyDescent="0.55000000000000004">
      <c r="M134" s="27"/>
      <c r="Y134" s="130"/>
    </row>
    <row r="135" spans="13:25" x14ac:dyDescent="0.55000000000000004">
      <c r="M135" s="27"/>
      <c r="Y135" s="130"/>
    </row>
    <row r="136" spans="13:25" x14ac:dyDescent="0.55000000000000004">
      <c r="M136" s="27"/>
      <c r="Y136" s="130"/>
    </row>
    <row r="137" spans="13:25" x14ac:dyDescent="0.55000000000000004">
      <c r="M137" s="27"/>
      <c r="Y137" s="130"/>
    </row>
    <row r="138" spans="13:25" x14ac:dyDescent="0.55000000000000004">
      <c r="M138" s="27"/>
      <c r="Y138" s="130"/>
    </row>
    <row r="139" spans="13:25" x14ac:dyDescent="0.55000000000000004">
      <c r="M139" s="27"/>
      <c r="Y139" s="130"/>
    </row>
    <row r="140" spans="13:25" x14ac:dyDescent="0.55000000000000004">
      <c r="M140" s="27"/>
      <c r="Y140" s="130"/>
    </row>
    <row r="141" spans="13:25" x14ac:dyDescent="0.55000000000000004">
      <c r="M141" s="27"/>
      <c r="Y141" s="130"/>
    </row>
    <row r="142" spans="13:25" x14ac:dyDescent="0.55000000000000004">
      <c r="M142" s="27"/>
      <c r="Y142" s="130"/>
    </row>
    <row r="143" spans="13:25" x14ac:dyDescent="0.55000000000000004">
      <c r="M143" s="27"/>
      <c r="Y143" s="130"/>
    </row>
    <row r="144" spans="13:25" x14ac:dyDescent="0.55000000000000004">
      <c r="M144" s="27"/>
      <c r="Y144" s="130"/>
    </row>
    <row r="145" spans="13:25" x14ac:dyDescent="0.55000000000000004">
      <c r="M145" s="27"/>
      <c r="Y145" s="130"/>
    </row>
    <row r="146" spans="13:25" x14ac:dyDescent="0.55000000000000004">
      <c r="M146" s="27"/>
      <c r="Y146" s="130"/>
    </row>
    <row r="147" spans="13:25" x14ac:dyDescent="0.55000000000000004">
      <c r="M147" s="27"/>
      <c r="Y147" s="130"/>
    </row>
    <row r="148" spans="13:25" x14ac:dyDescent="0.55000000000000004">
      <c r="M148" s="27"/>
      <c r="Y148" s="130"/>
    </row>
    <row r="149" spans="13:25" x14ac:dyDescent="0.55000000000000004">
      <c r="M149" s="27"/>
      <c r="Y149" s="130"/>
    </row>
    <row r="150" spans="13:25" x14ac:dyDescent="0.55000000000000004">
      <c r="M150" s="27"/>
      <c r="Y150" s="130"/>
    </row>
    <row r="151" spans="13:25" x14ac:dyDescent="0.55000000000000004">
      <c r="M151" s="27"/>
      <c r="Y151" s="130"/>
    </row>
    <row r="152" spans="13:25" x14ac:dyDescent="0.55000000000000004">
      <c r="M152" s="27"/>
      <c r="Y152" s="130"/>
    </row>
    <row r="153" spans="13:25" x14ac:dyDescent="0.55000000000000004">
      <c r="M153" s="27"/>
      <c r="Y153" s="130"/>
    </row>
    <row r="154" spans="13:25" x14ac:dyDescent="0.55000000000000004">
      <c r="M154" s="27"/>
      <c r="Y154" s="130"/>
    </row>
    <row r="155" spans="13:25" x14ac:dyDescent="0.55000000000000004">
      <c r="M155" s="27"/>
      <c r="Y155" s="130"/>
    </row>
    <row r="156" spans="13:25" x14ac:dyDescent="0.55000000000000004">
      <c r="M156" s="27"/>
      <c r="Y156" s="130"/>
    </row>
    <row r="157" spans="13:25" x14ac:dyDescent="0.55000000000000004">
      <c r="M157" s="27"/>
      <c r="Y157" s="130"/>
    </row>
    <row r="158" spans="13:25" x14ac:dyDescent="0.55000000000000004">
      <c r="M158" s="27"/>
      <c r="Y158" s="130"/>
    </row>
    <row r="159" spans="13:25" x14ac:dyDescent="0.55000000000000004">
      <c r="M159" s="27"/>
      <c r="Y159" s="130"/>
    </row>
    <row r="160" spans="13:25" x14ac:dyDescent="0.55000000000000004">
      <c r="M160" s="27"/>
      <c r="Y160" s="130"/>
    </row>
    <row r="161" spans="13:25" x14ac:dyDescent="0.55000000000000004">
      <c r="M161" s="27"/>
      <c r="Y161" s="130"/>
    </row>
    <row r="162" spans="13:25" x14ac:dyDescent="0.55000000000000004">
      <c r="M162" s="27"/>
      <c r="Y162" s="130"/>
    </row>
    <row r="163" spans="13:25" x14ac:dyDescent="0.55000000000000004">
      <c r="M163" s="27"/>
      <c r="Y163" s="130"/>
    </row>
    <row r="164" spans="13:25" x14ac:dyDescent="0.55000000000000004">
      <c r="M164" s="27"/>
      <c r="Y164" s="130"/>
    </row>
    <row r="165" spans="13:25" x14ac:dyDescent="0.55000000000000004">
      <c r="M165" s="27"/>
      <c r="Y165" s="130"/>
    </row>
    <row r="166" spans="13:25" x14ac:dyDescent="0.55000000000000004">
      <c r="M166" s="27"/>
      <c r="Y166" s="130"/>
    </row>
    <row r="167" spans="13:25" x14ac:dyDescent="0.55000000000000004">
      <c r="M167" s="27"/>
      <c r="Y167" s="130"/>
    </row>
    <row r="168" spans="13:25" x14ac:dyDescent="0.55000000000000004">
      <c r="M168" s="27"/>
      <c r="Y168" s="130"/>
    </row>
    <row r="169" spans="13:25" x14ac:dyDescent="0.55000000000000004">
      <c r="M169" s="27"/>
      <c r="Y169" s="130"/>
    </row>
    <row r="170" spans="13:25" x14ac:dyDescent="0.55000000000000004">
      <c r="M170" s="27"/>
      <c r="Y170" s="130"/>
    </row>
    <row r="171" spans="13:25" x14ac:dyDescent="0.55000000000000004">
      <c r="M171" s="27"/>
      <c r="Y171" s="130"/>
    </row>
    <row r="172" spans="13:25" x14ac:dyDescent="0.55000000000000004">
      <c r="M172" s="27"/>
      <c r="Y172" s="130"/>
    </row>
    <row r="173" spans="13:25" x14ac:dyDescent="0.55000000000000004">
      <c r="M173" s="27"/>
      <c r="Y173" s="130"/>
    </row>
    <row r="174" spans="13:25" x14ac:dyDescent="0.55000000000000004">
      <c r="M174" s="27"/>
      <c r="Y174" s="130"/>
    </row>
    <row r="175" spans="13:25" x14ac:dyDescent="0.55000000000000004">
      <c r="M175" s="27"/>
      <c r="Y175" s="130"/>
    </row>
    <row r="176" spans="13:25" x14ac:dyDescent="0.55000000000000004">
      <c r="M176" s="27"/>
      <c r="Y176" s="130"/>
    </row>
    <row r="177" spans="1:38" x14ac:dyDescent="0.55000000000000004">
      <c r="M177" s="27"/>
      <c r="Y177" s="130"/>
    </row>
    <row r="178" spans="1:38" x14ac:dyDescent="0.55000000000000004">
      <c r="M178" s="27"/>
      <c r="Y178" s="130"/>
    </row>
    <row r="179" spans="1:38" x14ac:dyDescent="0.55000000000000004">
      <c r="M179" s="27"/>
      <c r="Y179" s="130"/>
    </row>
    <row r="180" spans="1:38" x14ac:dyDescent="0.55000000000000004">
      <c r="M180" s="27"/>
      <c r="Y180" s="130"/>
    </row>
    <row r="181" spans="1:38" x14ac:dyDescent="0.55000000000000004">
      <c r="M181" s="27"/>
      <c r="Y181" s="130"/>
    </row>
    <row r="182" spans="1:38" x14ac:dyDescent="0.55000000000000004">
      <c r="M182" s="27"/>
      <c r="Y182" s="130"/>
    </row>
    <row r="183" spans="1:38" x14ac:dyDescent="0.55000000000000004">
      <c r="M183" s="27"/>
      <c r="Y183" s="130"/>
    </row>
    <row r="184" spans="1:38" x14ac:dyDescent="0.55000000000000004">
      <c r="M184" s="27"/>
    </row>
    <row r="185" spans="1:38" s="27" customFormat="1" x14ac:dyDescent="0.55000000000000004">
      <c r="A185" s="27" t="s">
        <v>279</v>
      </c>
      <c r="E185" s="27">
        <f>SUM(Table8[[#All],[Total Complaints Made]])</f>
        <v>1</v>
      </c>
      <c r="F185" s="27">
        <f>SUM(Table8[[#All],[Total False (Deliberate) ]])</f>
        <v>0</v>
      </c>
      <c r="G185" s="27">
        <f>SUM(Table8[[#All],[Total False (Misunderstanding)]])</f>
        <v>0</v>
      </c>
      <c r="H185" s="27">
        <f>SUM(Table8[[#All],[Total True]])</f>
        <v>0</v>
      </c>
      <c r="I185" s="27">
        <f>SUM(Table8[[#All],[Total Inconclusive]])</f>
        <v>0</v>
      </c>
      <c r="J185" s="27">
        <f>SUM(Table8[[#All],[Total Pending]])</f>
        <v>0</v>
      </c>
      <c r="K185" s="27">
        <f>SUM(Table8[[#All],[General Complaints]])</f>
        <v>0</v>
      </c>
      <c r="L185" s="172"/>
      <c r="M185" s="27">
        <f>SUM(Table8[[#All],[Jan]])</f>
        <v>0</v>
      </c>
      <c r="N185" s="27">
        <f>SUM(Table8[[#All],[Feb]])</f>
        <v>0</v>
      </c>
      <c r="O185" s="27">
        <f>SUM(Table8[[#All],[Mar]])</f>
        <v>0</v>
      </c>
      <c r="P185" s="27">
        <f>SUM(Table8[[#All],[Apr]])</f>
        <v>0</v>
      </c>
      <c r="Q185" s="27">
        <f>SUM(Table8[[#All],[May]])</f>
        <v>0</v>
      </c>
      <c r="R185" s="27">
        <f>SUM(Table8[[#All],[Jun]])</f>
        <v>0</v>
      </c>
      <c r="S185" s="27">
        <f>SUM(Table8[[#All],[Jul]])</f>
        <v>0</v>
      </c>
      <c r="T185" s="27">
        <f>SUM(Table8[[#All],[Aug]])</f>
        <v>0</v>
      </c>
      <c r="U185" s="27">
        <f>SUM(Table8[[#All],[Sep]])</f>
        <v>0</v>
      </c>
      <c r="V185" s="27">
        <f>SUM(Table8[[#All],[Oct]])</f>
        <v>0</v>
      </c>
      <c r="W185" s="27">
        <f>SUM(Table8[[#All],[Nov]])</f>
        <v>0</v>
      </c>
      <c r="X185" s="27">
        <f>SUM(Table8[[#All],[Dec]])</f>
        <v>0</v>
      </c>
      <c r="AL185" s="27" t="e">
        <f>SUM(#REF!)</f>
        <v>#REF!</v>
      </c>
    </row>
    <row r="186" spans="1:38" ht="43.2" x14ac:dyDescent="0.55000000000000004">
      <c r="E186" s="174" t="s">
        <v>55</v>
      </c>
      <c r="F186" s="174" t="s">
        <v>57</v>
      </c>
      <c r="G186" s="174" t="s">
        <v>56</v>
      </c>
      <c r="H186" s="174" t="s">
        <v>90</v>
      </c>
      <c r="I186" s="174" t="s">
        <v>91</v>
      </c>
      <c r="J186" s="174" t="s">
        <v>92</v>
      </c>
      <c r="K186" s="174" t="s">
        <v>191</v>
      </c>
      <c r="L186" s="173"/>
      <c r="M186" s="174" t="s">
        <v>94</v>
      </c>
      <c r="N186" s="174" t="s">
        <v>95</v>
      </c>
      <c r="O186" s="174" t="s">
        <v>96</v>
      </c>
      <c r="P186" s="174" t="s">
        <v>97</v>
      </c>
      <c r="Q186" s="174" t="s">
        <v>93</v>
      </c>
      <c r="R186" s="174" t="s">
        <v>98</v>
      </c>
      <c r="S186" s="174" t="s">
        <v>99</v>
      </c>
      <c r="T186" s="174" t="s">
        <v>100</v>
      </c>
      <c r="U186" s="174" t="s">
        <v>101</v>
      </c>
      <c r="V186" s="174" t="s">
        <v>102</v>
      </c>
      <c r="W186" s="174" t="s">
        <v>103</v>
      </c>
      <c r="X186" s="175" t="s">
        <v>104</v>
      </c>
      <c r="AL186" s="136" t="s">
        <v>104</v>
      </c>
    </row>
    <row r="187" spans="1:38" x14ac:dyDescent="0.55000000000000004">
      <c r="M187" s="27"/>
    </row>
    <row r="188" spans="1:38" x14ac:dyDescent="0.55000000000000004">
      <c r="M188" s="27"/>
    </row>
    <row r="189" spans="1:38" x14ac:dyDescent="0.55000000000000004">
      <c r="M189" s="27"/>
    </row>
    <row r="190" spans="1:38" x14ac:dyDescent="0.55000000000000004">
      <c r="M190" s="27"/>
    </row>
    <row r="191" spans="1:38" x14ac:dyDescent="0.55000000000000004">
      <c r="M191" s="27"/>
    </row>
    <row r="192" spans="1:38" x14ac:dyDescent="0.55000000000000004">
      <c r="M192" s="27"/>
    </row>
    <row r="193" spans="13:13" x14ac:dyDescent="0.55000000000000004">
      <c r="M193" s="27"/>
    </row>
    <row r="194" spans="13:13" x14ac:dyDescent="0.55000000000000004">
      <c r="M194" s="27"/>
    </row>
    <row r="195" spans="13:13" x14ac:dyDescent="0.55000000000000004">
      <c r="M195" s="27"/>
    </row>
    <row r="196" spans="13:13" x14ac:dyDescent="0.55000000000000004">
      <c r="M196" s="27"/>
    </row>
    <row r="197" spans="13:13" x14ac:dyDescent="0.55000000000000004">
      <c r="M197" s="27"/>
    </row>
    <row r="198" spans="13:13" x14ac:dyDescent="0.55000000000000004">
      <c r="M198" s="27"/>
    </row>
    <row r="199" spans="13:13" x14ac:dyDescent="0.55000000000000004">
      <c r="M199" s="27"/>
    </row>
  </sheetData>
  <dataConsolidate function="average"/>
  <pageMargins left="0.25" right="0.25" top="0.75" bottom="0.75" header="0.3" footer="0.3"/>
  <pageSetup scale="80" orientation="landscape"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Variables!$C$4:$C$13</xm:f>
          </x14:formula1>
          <xm:sqref>C4:D1048576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8" tint="0.39997558519241921"/>
  </sheetPr>
  <dimension ref="A1:M20"/>
  <sheetViews>
    <sheetView zoomScale="80" zoomScaleNormal="80" workbookViewId="0">
      <pane xSplit="1" topLeftCell="B1" activePane="topRight" state="frozen"/>
      <selection pane="topRight" activeCell="D2" sqref="D2"/>
    </sheetView>
  </sheetViews>
  <sheetFormatPr defaultRowHeight="14.4" x14ac:dyDescent="0.55000000000000004"/>
  <cols>
    <col min="1" max="1" width="17.5234375" customWidth="1"/>
    <col min="2" max="2" width="20.15625" customWidth="1"/>
    <col min="3" max="4" width="11.5234375" style="27" customWidth="1"/>
    <col min="5" max="5" width="11.7890625" customWidth="1"/>
    <col min="6" max="6" width="11.47265625" customWidth="1"/>
    <col min="7" max="7" width="10" style="93" customWidth="1"/>
    <col min="8" max="8" width="11.734375" style="126" customWidth="1"/>
    <col min="9" max="9" width="14" style="126" customWidth="1"/>
    <col min="10" max="10" width="12.734375" style="126" customWidth="1"/>
    <col min="11" max="11" width="12.47265625" style="126" customWidth="1"/>
    <col min="12" max="12" width="10.26171875" style="126" customWidth="1"/>
    <col min="13" max="13" width="13.15625" style="126" customWidth="1"/>
  </cols>
  <sheetData>
    <row r="1" spans="1:13" s="6" customFormat="1" ht="46.5" customHeight="1" x14ac:dyDescent="0.55000000000000004">
      <c r="A1" s="6" t="s">
        <v>19</v>
      </c>
      <c r="B1" s="6" t="s">
        <v>192</v>
      </c>
      <c r="C1" s="89" t="s">
        <v>59</v>
      </c>
      <c r="D1" s="89" t="s">
        <v>195</v>
      </c>
      <c r="E1" s="6" t="s">
        <v>136</v>
      </c>
      <c r="F1" s="90" t="s">
        <v>58</v>
      </c>
      <c r="G1" s="94" t="s">
        <v>193</v>
      </c>
      <c r="H1" s="125" t="s">
        <v>56</v>
      </c>
      <c r="I1" s="125" t="s">
        <v>57</v>
      </c>
      <c r="J1" s="125" t="s">
        <v>90</v>
      </c>
      <c r="K1" s="125" t="s">
        <v>91</v>
      </c>
      <c r="L1" s="125" t="s">
        <v>92</v>
      </c>
      <c r="M1" s="125" t="s">
        <v>191</v>
      </c>
    </row>
    <row r="2" spans="1:13" x14ac:dyDescent="0.55000000000000004">
      <c r="A2" t="s">
        <v>424</v>
      </c>
      <c r="B2" t="s">
        <v>51</v>
      </c>
      <c r="C2" s="27" t="s">
        <v>182</v>
      </c>
      <c r="D2" s="27" t="s">
        <v>196</v>
      </c>
      <c r="G2" s="93">
        <f>COUNTIF('2015 Grievance Tracking'!J:L, "Aaron")</f>
        <v>0</v>
      </c>
      <c r="H2" s="117">
        <f>COUNTIFS('2015 Grievance Tracking'!J:J, "Aaron", '2015 Grievance Tracking'!V:V, "1.1 Unsubstantiated due to deliberately false report")+COUNTIFS('2015 Grievance Tracking'!K:K, "Aaron", '2015 Grievance Tracking'!V:V, "1.1 Unsubstantiated due to deliberately false report")+COUNTIFS('2015 Grievance Tracking'!L:L, "Aaron", '2015 Grievance Tracking'!V:V, "1.1 Unsubstantiated due to deliberately false report")</f>
        <v>0</v>
      </c>
      <c r="I2" s="117">
        <f>COUNTIFS('2015 Grievance Tracking'!J:J, "Aaron", '2015 Grievance Tracking'!V:V, "1.2 Unsubstantiated; there was a misunderstanding")+COUNTIFS('2015 Grievance Tracking'!K:K, "Aaron", '2015 Grievance Tracking'!V:V, "1.2 Unsubstantiated; there was a misunderstanding")+COUNTIFS('2015 Grievance Tracking'!L:L, "Aaron", '2015 Grievance Tracking'!V:V, "1.2 Unsubstantiated; there was a misunderstanding")</f>
        <v>0</v>
      </c>
      <c r="J2" s="117">
        <f>COUNTIFS('2015 Grievance Tracking'!J:J,"Aaron",'2015 Grievance Tracking'!W:W, "2.1")+COUNTIFS('2015 Grievance Tracking'!J:J, "Aaron",'2015 Grievance Tracking'!W:W, "2.2")+COUNTIFS('2015 Grievance Tracking'!J:J, "Aaron",'2015 Grievance Tracking'!W:W, "2.3")+COUNTIFS('2015 Grievance Tracking'!J:J,"Aaron", '2015 Grievance Tracking'!W:W, "2.4")+COUNTIFS('2015 Grievance Tracking'!K:K,"Aaron",'2015 Grievance Tracking'!W:W, "2.1")+COUNTIFS('2015 Grievance Tracking'!K:K, "Aaron",'2015 Grievance Tracking'!W:W, "2.2")+COUNTIFS('2015 Grievance Tracking'!K:K, "Aaron",'2015 Grievance Tracking'!W:W, "2.3")+COUNTIFS('2015 Grievance Tracking'!K:K,"Aaron", '2015 Grievance Tracking'!W:W, "2.4")+COUNTIFS('2015 Grievance Tracking'!L:L,"Aaron",'2015 Grievance Tracking'!W:W, "2.1")+COUNTIFS('2015 Grievance Tracking'!L:L, "Aaron",'2015 Grievance Tracking'!W:W, "2.2")+COUNTIFS('2015 Grievance Tracking'!L:L, "Aaron",'2015 Grievance Tracking'!W:W, "2.3")+COUNTIFS('2015 Grievance Tracking'!L:L,"Aaron", '2015 Grievance Tracking'!W:W, "2.4")</f>
        <v>0</v>
      </c>
      <c r="K2" s="117">
        <f>COUNTIFS('2015 Grievance Tracking'!J:J, "Aaron", '2015 Grievance Tracking'!V:V, "3 Inconclusive")+COUNTIFS('2015 Grievance Tracking'!K:K, "Aaron", '2015 Grievance Tracking'!V:V, "3 Inconclusive")+COUNTIFS('2015 Grievance Tracking'!L:L, "Aaron", '2015 Grievance Tracking'!V:V, "3 Inconclusive")</f>
        <v>0</v>
      </c>
      <c r="L2" s="117">
        <f>COUNTIFS('2015 Grievance Tracking'!J:J, "Aaron", '2015 Grievance Tracking'!V:V, "4 Pending")+COUNTIFS('2015 Grievance Tracking'!K:K, "Aaron", '2015 Grievance Tracking'!V:V, "4 Pending")+COUNTIFS('2015 Grievance Tracking'!L:L, "Aaron", '2015 Grievance Tracking'!V:V, "4 Pending")</f>
        <v>0</v>
      </c>
      <c r="M2" s="117">
        <f>COUNTIFS('2015 Grievance Tracking'!J:J, "Aaron", '2015 Grievance Tracking'!W:W, "5")+COUNTIFS('2015 Grievance Tracking'!K:K, "Aaron", '2015 Grievance Tracking'!W:W, "5")+COUNTIFS('2015 Grievance Tracking'!L:L, "Aaron", '2015 Grievance Tracking'!W:W, "5")</f>
        <v>0</v>
      </c>
    </row>
    <row r="19" spans="1:13" s="19" customFormat="1" x14ac:dyDescent="0.55000000000000004">
      <c r="A19" s="19" t="s">
        <v>279</v>
      </c>
      <c r="C19" s="129"/>
      <c r="D19" s="129"/>
      <c r="G19" s="132">
        <f>SUM(Table12[[#All],[Total Mentions]])</f>
        <v>0</v>
      </c>
      <c r="H19" s="135">
        <f>SUM(Table12[[#All],[Total False (Misunderstanding)]])</f>
        <v>0</v>
      </c>
      <c r="I19" s="135">
        <f>SUM(Table12[[#All],[Total False (Deliberate) ]])</f>
        <v>0</v>
      </c>
      <c r="J19" s="135">
        <f>SUM(Table12[[#All],[Total True]])</f>
        <v>0</v>
      </c>
      <c r="K19" s="135">
        <f>SUM(Table12[[#All],[Total Inconclusive]])</f>
        <v>0</v>
      </c>
      <c r="L19" s="135">
        <f>SUM(Table12[[#All],[Total Pending]])</f>
        <v>0</v>
      </c>
      <c r="M19" s="135">
        <f>SUM(Table12[[#All],[General Complaints]])</f>
        <v>0</v>
      </c>
    </row>
    <row r="20" spans="1:13" ht="43.2" x14ac:dyDescent="0.55000000000000004">
      <c r="G20" s="133" t="s">
        <v>193</v>
      </c>
      <c r="H20" s="134" t="s">
        <v>56</v>
      </c>
      <c r="I20" s="134" t="s">
        <v>57</v>
      </c>
      <c r="J20" s="134" t="s">
        <v>90</v>
      </c>
      <c r="K20" s="134" t="s">
        <v>91</v>
      </c>
      <c r="L20" s="134" t="s">
        <v>92</v>
      </c>
      <c r="M20" s="134" t="s">
        <v>191</v>
      </c>
    </row>
  </sheetData>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0000000}">
          <x14:formula1>
            <xm:f>Variables!$C$4:$C$17</xm:f>
          </x14:formula1>
          <xm:sqref>B18:B1048576 B2:B16</xm:sqref>
        </x14:dataValidation>
        <x14:dataValidation type="list" allowBlank="1" showInputMessage="1" showErrorMessage="1" xr:uid="{00000000-0002-0000-0400-000001000000}">
          <x14:formula1>
            <xm:f>Variables!$B$4:$B$12</xm:f>
          </x14:formula1>
          <xm:sqref>C18:C1048576 C1:C16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theme="6" tint="0.59999389629810485"/>
  </sheetPr>
  <dimension ref="A1:J57"/>
  <sheetViews>
    <sheetView zoomScaleNormal="100" workbookViewId="0">
      <selection activeCell="D1" sqref="D1"/>
    </sheetView>
  </sheetViews>
  <sheetFormatPr defaultRowHeight="14.4" x14ac:dyDescent="0.55000000000000004"/>
  <cols>
    <col min="1" max="1" width="19.15625" customWidth="1"/>
    <col min="2" max="2" width="26.7890625" customWidth="1"/>
    <col min="3" max="3" width="27.734375" customWidth="1"/>
    <col min="4" max="4" width="27.5234375" customWidth="1"/>
  </cols>
  <sheetData>
    <row r="1" spans="1:10" x14ac:dyDescent="0.55000000000000004">
      <c r="A1" t="s">
        <v>153</v>
      </c>
      <c r="C1" s="46" t="s">
        <v>135</v>
      </c>
      <c r="D1" s="45">
        <v>730</v>
      </c>
    </row>
    <row r="2" spans="1:10" ht="15.6" x14ac:dyDescent="0.6">
      <c r="A2" s="34" t="s">
        <v>165</v>
      </c>
      <c r="B2" s="35"/>
      <c r="C2" s="35"/>
      <c r="D2" s="35"/>
    </row>
    <row r="3" spans="1:10" x14ac:dyDescent="0.55000000000000004">
      <c r="A3" s="57" t="s">
        <v>122</v>
      </c>
      <c r="B3" s="62" t="e">
        <f>(VLOOKUP(D1,'2015 Grievance Tracking'!1:1048576,7,FALSE))</f>
        <v>#N/A</v>
      </c>
      <c r="C3" s="57" t="s">
        <v>142</v>
      </c>
      <c r="D3" s="58" t="e">
        <f>(VLOOKUP(D1,'2015 Grievance Tracking'!1:1048576,3,FALSE))</f>
        <v>#N/A</v>
      </c>
      <c r="F3" s="52" t="s">
        <v>173</v>
      </c>
      <c r="G3" s="52"/>
      <c r="H3" s="52"/>
      <c r="I3" s="52"/>
      <c r="J3" s="52"/>
    </row>
    <row r="4" spans="1:10" ht="18" customHeight="1" x14ac:dyDescent="0.55000000000000004">
      <c r="A4" s="57" t="s">
        <v>141</v>
      </c>
      <c r="B4" s="60" t="e">
        <f>(VLOOKUP(D1,'2015 Grievance Tracking'!1:1048576,13,FALSE))</f>
        <v>#N/A</v>
      </c>
      <c r="C4" s="59" t="s">
        <v>181</v>
      </c>
      <c r="D4" s="61" t="e">
        <f>CONCATENATE((VLOOKUP(D1,'2015 Grievance Tracking'!1:1048576,6,FALSE))," ~ ",TEXT((VLOOKUP(D1,'2015 Grievance Tracking'!1:1048576,5,FALSE)),"HH:MM am/pm"))</f>
        <v>#N/A</v>
      </c>
      <c r="F4" t="s">
        <v>170</v>
      </c>
    </row>
    <row r="5" spans="1:10" ht="6.75" customHeight="1" x14ac:dyDescent="0.55000000000000004">
      <c r="D5" s="27"/>
    </row>
    <row r="6" spans="1:10" x14ac:dyDescent="0.55000000000000004">
      <c r="A6" s="54" t="s">
        <v>175</v>
      </c>
      <c r="B6" s="55" t="e">
        <f>(VLOOKUP(D1,'2015 Grievance Tracking'!1:1048576,2,FALSE))</f>
        <v>#N/A</v>
      </c>
      <c r="C6" s="19" t="s">
        <v>180</v>
      </c>
      <c r="D6" s="56" t="e">
        <f>(VLOOKUP(D1,'2015 Grievance Tracking'!1:1048576,14,FALSE))</f>
        <v>#N/A</v>
      </c>
      <c r="F6" t="s">
        <v>171</v>
      </c>
    </row>
    <row r="7" spans="1:10" x14ac:dyDescent="0.55000000000000004">
      <c r="A7" s="240" t="e">
        <f>(VLOOKUP(D1,'2015 Grievance Tracking'!1:1048576,16,FALSE))</f>
        <v>#N/A</v>
      </c>
      <c r="B7" s="241"/>
      <c r="C7" s="241"/>
      <c r="D7" s="242"/>
      <c r="F7" t="s">
        <v>172</v>
      </c>
    </row>
    <row r="8" spans="1:10" x14ac:dyDescent="0.55000000000000004">
      <c r="A8" s="243"/>
      <c r="B8" s="244"/>
      <c r="C8" s="244"/>
      <c r="D8" s="245"/>
      <c r="F8" t="s">
        <v>207</v>
      </c>
    </row>
    <row r="9" spans="1:10" x14ac:dyDescent="0.55000000000000004">
      <c r="A9" s="243"/>
      <c r="B9" s="244"/>
      <c r="C9" s="244"/>
      <c r="D9" s="245"/>
    </row>
    <row r="10" spans="1:10" x14ac:dyDescent="0.55000000000000004">
      <c r="A10" s="243"/>
      <c r="B10" s="244"/>
      <c r="C10" s="244"/>
      <c r="D10" s="245"/>
      <c r="F10" t="s">
        <v>176</v>
      </c>
    </row>
    <row r="11" spans="1:10" ht="15.75" customHeight="1" x14ac:dyDescent="0.55000000000000004">
      <c r="A11" s="246"/>
      <c r="B11" s="247"/>
      <c r="C11" s="247"/>
      <c r="D11" s="248"/>
      <c r="F11" t="s">
        <v>177</v>
      </c>
    </row>
    <row r="12" spans="1:10" ht="14.25" customHeight="1" x14ac:dyDescent="0.55000000000000004">
      <c r="A12" s="19" t="s">
        <v>143</v>
      </c>
      <c r="B12" s="1" t="e">
        <f>(VLOOKUP(D1,'2015 Grievance Tracking'!1:1048576,10,FALSE))</f>
        <v>#N/A</v>
      </c>
      <c r="C12" t="e">
        <f>(VLOOKUP(D1,'2015 Grievance Tracking'!1:1048576,11,FALSE))</f>
        <v>#N/A</v>
      </c>
      <c r="D12" t="e">
        <f>(VLOOKUP(D1,'2015 Grievance Tracking'!1:1048576,12,FALSE))</f>
        <v>#N/A</v>
      </c>
    </row>
    <row r="13" spans="1:10" x14ac:dyDescent="0.55000000000000004">
      <c r="A13" s="19" t="s">
        <v>174</v>
      </c>
      <c r="B13" s="249" t="str">
        <f>IFERROR(VLOOKUP(D1,'2015 Grievance Tracking'!1:1048576,9,FALSE),"")</f>
        <v/>
      </c>
      <c r="C13" s="249"/>
      <c r="D13" s="249"/>
    </row>
    <row r="14" spans="1:10" ht="6" customHeight="1" x14ac:dyDescent="0.55000000000000004">
      <c r="A14" s="19"/>
    </row>
    <row r="15" spans="1:10" ht="15" customHeight="1" x14ac:dyDescent="0.55000000000000004">
      <c r="A15" s="250" t="e">
        <f>(VLOOKUP(D1,'2015 Grievance Tracking'!1:1048576,17,FALSE))</f>
        <v>#N/A</v>
      </c>
      <c r="B15" s="251"/>
      <c r="C15" s="251"/>
      <c r="D15" s="252"/>
    </row>
    <row r="16" spans="1:10" x14ac:dyDescent="0.55000000000000004">
      <c r="A16" s="253"/>
      <c r="B16" s="254"/>
      <c r="C16" s="254"/>
      <c r="D16" s="255"/>
    </row>
    <row r="17" spans="1:4" ht="4.5" customHeight="1" x14ac:dyDescent="0.55000000000000004">
      <c r="A17" s="253"/>
      <c r="B17" s="254"/>
      <c r="C17" s="254"/>
      <c r="D17" s="255"/>
    </row>
    <row r="18" spans="1:4" ht="12.75" customHeight="1" x14ac:dyDescent="0.55000000000000004">
      <c r="A18" s="256"/>
      <c r="B18" s="257"/>
      <c r="C18" s="257"/>
      <c r="D18" s="258"/>
    </row>
    <row r="19" spans="1:4" ht="16.5" customHeight="1" x14ac:dyDescent="0.55000000000000004">
      <c r="A19" s="19" t="s">
        <v>271</v>
      </c>
      <c r="B19" s="19"/>
      <c r="C19" s="19"/>
      <c r="D19" s="19"/>
    </row>
    <row r="20" spans="1:4" ht="15.6" x14ac:dyDescent="0.6">
      <c r="A20" s="38" t="s">
        <v>144</v>
      </c>
      <c r="B20" s="39" t="e">
        <f>(VLOOKUP(D1,'2015 Grievance Tracking'!1:1048576,18,FALSE))</f>
        <v>#N/A</v>
      </c>
      <c r="C20" s="39" t="e">
        <f>(VLOOKUP(D1,'2015 Grievance Tracking'!1:1048576,19,FALSE))</f>
        <v>#N/A</v>
      </c>
      <c r="D20" s="47" t="e">
        <f>(VLOOKUP(D1,'2015 Grievance Tracking'!1:1048576,20,FALSE))</f>
        <v>#N/A</v>
      </c>
    </row>
    <row r="21" spans="1:4" ht="22.5" customHeight="1" x14ac:dyDescent="0.6">
      <c r="A21" s="37" t="s">
        <v>145</v>
      </c>
    </row>
    <row r="22" spans="1:4" ht="15.6" x14ac:dyDescent="0.6">
      <c r="A22" s="34" t="s">
        <v>166</v>
      </c>
      <c r="B22" s="36" t="s">
        <v>273</v>
      </c>
      <c r="C22" s="35"/>
      <c r="D22" s="35"/>
    </row>
    <row r="23" spans="1:4" ht="15.6" x14ac:dyDescent="0.6">
      <c r="A23" s="37" t="s">
        <v>146</v>
      </c>
    </row>
    <row r="24" spans="1:4" ht="15.6" x14ac:dyDescent="0.6">
      <c r="A24" s="37" t="s">
        <v>147</v>
      </c>
    </row>
    <row r="25" spans="1:4" x14ac:dyDescent="0.55000000000000004">
      <c r="A25" s="39"/>
      <c r="B25" s="39"/>
      <c r="C25" s="39"/>
      <c r="D25" s="39"/>
    </row>
    <row r="26" spans="1:4" x14ac:dyDescent="0.55000000000000004">
      <c r="A26" s="39"/>
      <c r="B26" s="39"/>
      <c r="C26" s="39"/>
      <c r="D26" s="39"/>
    </row>
    <row r="27" spans="1:4" x14ac:dyDescent="0.55000000000000004">
      <c r="A27" s="39"/>
      <c r="B27" s="39"/>
      <c r="C27" s="39"/>
      <c r="D27" s="39"/>
    </row>
    <row r="28" spans="1:4" x14ac:dyDescent="0.55000000000000004">
      <c r="A28" s="39"/>
      <c r="B28" s="39"/>
      <c r="C28" s="39"/>
      <c r="D28" s="39"/>
    </row>
    <row r="29" spans="1:4" x14ac:dyDescent="0.55000000000000004">
      <c r="A29" s="39"/>
      <c r="B29" s="39"/>
      <c r="C29" s="39"/>
      <c r="D29" s="39"/>
    </row>
    <row r="30" spans="1:4" x14ac:dyDescent="0.55000000000000004">
      <c r="A30" s="39"/>
      <c r="B30" s="39"/>
      <c r="C30" s="39"/>
      <c r="D30" s="39"/>
    </row>
    <row r="31" spans="1:4" ht="15.6" x14ac:dyDescent="0.6">
      <c r="A31" s="34" t="s">
        <v>167</v>
      </c>
      <c r="B31" s="36" t="s">
        <v>276</v>
      </c>
      <c r="C31" s="35"/>
      <c r="D31" s="35"/>
    </row>
    <row r="32" spans="1:4" ht="15.6" x14ac:dyDescent="0.6">
      <c r="A32" s="37" t="s">
        <v>154</v>
      </c>
    </row>
    <row r="33" spans="1:4" ht="15.6" x14ac:dyDescent="0.6">
      <c r="A33" s="37" t="s">
        <v>155</v>
      </c>
    </row>
    <row r="34" spans="1:4" ht="6" customHeight="1" x14ac:dyDescent="0.6">
      <c r="A34" s="37"/>
      <c r="B34" s="37"/>
    </row>
    <row r="35" spans="1:4" ht="15.6" x14ac:dyDescent="0.6">
      <c r="A35" s="37" t="s">
        <v>156</v>
      </c>
    </row>
    <row r="36" spans="1:4" ht="15.6" x14ac:dyDescent="0.6">
      <c r="A36" s="37" t="s">
        <v>157</v>
      </c>
    </row>
    <row r="37" spans="1:4" ht="15.6" x14ac:dyDescent="0.6">
      <c r="A37" s="37" t="s">
        <v>159</v>
      </c>
    </row>
    <row r="38" spans="1:4" ht="5.25" customHeight="1" x14ac:dyDescent="0.6">
      <c r="A38" s="37"/>
      <c r="B38" s="37"/>
    </row>
    <row r="39" spans="1:4" ht="15.6" x14ac:dyDescent="0.6">
      <c r="A39" s="37" t="s">
        <v>158</v>
      </c>
    </row>
    <row r="40" spans="1:4" ht="5.25" customHeight="1" x14ac:dyDescent="0.6">
      <c r="A40" s="37"/>
    </row>
    <row r="41" spans="1:4" ht="15.6" x14ac:dyDescent="0.6">
      <c r="A41" s="37" t="s">
        <v>278</v>
      </c>
    </row>
    <row r="42" spans="1:4" ht="5.25" customHeight="1" x14ac:dyDescent="0.6">
      <c r="A42" s="37"/>
    </row>
    <row r="43" spans="1:4" ht="15.6" x14ac:dyDescent="0.6">
      <c r="A43" s="34" t="s">
        <v>168</v>
      </c>
      <c r="B43" s="36" t="s">
        <v>148</v>
      </c>
      <c r="C43" s="35"/>
      <c r="D43" s="35"/>
    </row>
    <row r="44" spans="1:4" ht="15.6" x14ac:dyDescent="0.6">
      <c r="A44" s="37" t="s">
        <v>160</v>
      </c>
      <c r="C44" s="37"/>
    </row>
    <row r="45" spans="1:4" ht="16.5" customHeight="1" x14ac:dyDescent="0.6">
      <c r="A45" s="37" t="s">
        <v>161</v>
      </c>
      <c r="C45" s="37" t="s">
        <v>277</v>
      </c>
    </row>
    <row r="46" spans="1:4" ht="15.6" x14ac:dyDescent="0.6">
      <c r="A46" s="37" t="s">
        <v>274</v>
      </c>
      <c r="C46" s="37"/>
    </row>
    <row r="47" spans="1:4" ht="15.6" x14ac:dyDescent="0.6">
      <c r="A47" s="37" t="s">
        <v>162</v>
      </c>
      <c r="C47" s="37"/>
    </row>
    <row r="48" spans="1:4" ht="15.6" x14ac:dyDescent="0.6">
      <c r="A48" s="34" t="s">
        <v>169</v>
      </c>
      <c r="B48" s="36" t="s">
        <v>149</v>
      </c>
      <c r="C48" s="35"/>
      <c r="D48" s="35"/>
    </row>
    <row r="49" spans="1:4" ht="15.6" x14ac:dyDescent="0.6">
      <c r="A49" s="41" t="s">
        <v>163</v>
      </c>
      <c r="C49" s="37"/>
    </row>
    <row r="50" spans="1:4" ht="15.6" x14ac:dyDescent="0.6">
      <c r="A50" s="42" t="s">
        <v>164</v>
      </c>
      <c r="B50" s="40"/>
      <c r="C50" s="40"/>
      <c r="D50" s="51"/>
    </row>
    <row r="51" spans="1:4" ht="6.75" customHeight="1" x14ac:dyDescent="0.6">
      <c r="A51" s="37"/>
      <c r="B51" s="37"/>
      <c r="C51" s="37"/>
    </row>
    <row r="52" spans="1:4" ht="15.6" x14ac:dyDescent="0.6">
      <c r="A52" s="43" t="s">
        <v>150</v>
      </c>
      <c r="B52" s="41"/>
      <c r="C52" s="41"/>
      <c r="D52" s="49"/>
    </row>
    <row r="53" spans="1:4" ht="15.6" x14ac:dyDescent="0.6">
      <c r="A53" s="44" t="s">
        <v>151</v>
      </c>
      <c r="B53" s="37"/>
      <c r="C53" s="37"/>
      <c r="D53" s="28"/>
    </row>
    <row r="54" spans="1:4" ht="15.6" x14ac:dyDescent="0.6">
      <c r="A54" s="42" t="s">
        <v>152</v>
      </c>
      <c r="B54" s="40"/>
      <c r="C54" s="40"/>
      <c r="D54" s="50"/>
    </row>
    <row r="55" spans="1:4" ht="15.6" x14ac:dyDescent="0.6">
      <c r="A55" s="48" t="s">
        <v>272</v>
      </c>
      <c r="B55" s="37"/>
      <c r="C55" s="37"/>
    </row>
    <row r="56" spans="1:4" ht="15.6" x14ac:dyDescent="0.6">
      <c r="A56" s="53" t="s">
        <v>69</v>
      </c>
      <c r="B56" s="19"/>
      <c r="C56" s="19"/>
    </row>
    <row r="57" spans="1:4" ht="15.6" x14ac:dyDescent="0.6">
      <c r="A57" s="37" t="s">
        <v>69</v>
      </c>
    </row>
  </sheetData>
  <mergeCells count="3">
    <mergeCell ref="A7:D11"/>
    <mergeCell ref="B13:D13"/>
    <mergeCell ref="A15:D18"/>
  </mergeCells>
  <pageMargins left="0.11458333333333333" right="0.10416666666666667" top="7.2916666666666671E-2" bottom="9.375E-2"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6" r:id="rId4" name="Check Box 2">
              <controlPr defaultSize="0" autoFill="0" autoLine="0" autoPict="0">
                <anchor moveWithCells="1">
                  <from>
                    <xdr:col>0</xdr:col>
                    <xdr:colOff>49530</xdr:colOff>
                    <xdr:row>18</xdr:row>
                    <xdr:rowOff>0</xdr:rowOff>
                  </from>
                  <to>
                    <xdr:col>0</xdr:col>
                    <xdr:colOff>285750</xdr:colOff>
                    <xdr:row>19</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'2015 Grievance Tracking'!$A:$A</xm:f>
          </x14:formula1>
          <xm:sqref>D1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theme="6" tint="0.59999389629810485"/>
  </sheetPr>
  <dimension ref="A1:J25"/>
  <sheetViews>
    <sheetView zoomScaleNormal="100" workbookViewId="0">
      <selection activeCell="D1" sqref="D1"/>
    </sheetView>
  </sheetViews>
  <sheetFormatPr defaultRowHeight="14.4" x14ac:dyDescent="0.55000000000000004"/>
  <cols>
    <col min="1" max="1" width="19.15625" customWidth="1"/>
    <col min="2" max="2" width="26.7890625" customWidth="1"/>
    <col min="3" max="3" width="27.734375" customWidth="1"/>
    <col min="4" max="4" width="27.5234375" customWidth="1"/>
  </cols>
  <sheetData>
    <row r="1" spans="1:10" x14ac:dyDescent="0.55000000000000004">
      <c r="A1" t="s">
        <v>153</v>
      </c>
      <c r="C1" s="46" t="s">
        <v>135</v>
      </c>
      <c r="D1" s="45">
        <v>711</v>
      </c>
    </row>
    <row r="2" spans="1:10" ht="15.6" x14ac:dyDescent="0.6">
      <c r="A2" s="34" t="s">
        <v>165</v>
      </c>
      <c r="B2" s="35"/>
      <c r="C2" s="35"/>
      <c r="D2" s="35"/>
    </row>
    <row r="3" spans="1:10" x14ac:dyDescent="0.55000000000000004">
      <c r="A3" s="57" t="s">
        <v>122</v>
      </c>
      <c r="B3" s="62" t="e">
        <f>(VLOOKUP(D1,'2015 Grievance Tracking'!1:1048576,7,FALSE))</f>
        <v>#N/A</v>
      </c>
      <c r="C3" s="57" t="s">
        <v>142</v>
      </c>
      <c r="D3" s="58" t="e">
        <f>(VLOOKUP(D1,'2015 Grievance Tracking'!1:1048576,3,FALSE))</f>
        <v>#N/A</v>
      </c>
      <c r="F3" s="52" t="s">
        <v>173</v>
      </c>
      <c r="G3" s="52"/>
      <c r="H3" s="52"/>
      <c r="I3" s="52"/>
      <c r="J3" s="52"/>
    </row>
    <row r="4" spans="1:10" ht="18" customHeight="1" x14ac:dyDescent="0.55000000000000004">
      <c r="A4" s="57" t="s">
        <v>141</v>
      </c>
      <c r="B4" s="60" t="e">
        <f>(VLOOKUP(D1,'2015 Grievance Tracking'!1:1048576,13,FALSE))</f>
        <v>#N/A</v>
      </c>
      <c r="C4" s="59" t="s">
        <v>181</v>
      </c>
      <c r="D4" s="61" t="e">
        <f>CONCATENATE((VLOOKUP(D1,'2015 Grievance Tracking'!1:1048576,6,FALSE))," ~ ",TEXT((VLOOKUP(D1,'2015 Grievance Tracking'!1:1048576,5,FALSE)),"HH:MM am/pm"))</f>
        <v>#N/A</v>
      </c>
      <c r="F4" t="s">
        <v>170</v>
      </c>
    </row>
    <row r="5" spans="1:10" ht="6.75" customHeight="1" x14ac:dyDescent="0.55000000000000004">
      <c r="D5" s="27"/>
    </row>
    <row r="6" spans="1:10" x14ac:dyDescent="0.55000000000000004">
      <c r="A6" s="54" t="s">
        <v>175</v>
      </c>
      <c r="B6" s="55" t="e">
        <f>(VLOOKUP(D1,'2015 Grievance Tracking'!1:1048576,2,FALSE))</f>
        <v>#N/A</v>
      </c>
      <c r="C6" s="19" t="s">
        <v>180</v>
      </c>
      <c r="D6" s="56" t="e">
        <f>(VLOOKUP(D1,'2015 Grievance Tracking'!1:1048576,14,FALSE))</f>
        <v>#N/A</v>
      </c>
      <c r="F6" t="s">
        <v>171</v>
      </c>
    </row>
    <row r="7" spans="1:10" x14ac:dyDescent="0.55000000000000004">
      <c r="A7" s="240" t="e">
        <f>(VLOOKUP(D1,'2015 Grievance Tracking'!1:1048576,16,FALSE))</f>
        <v>#N/A</v>
      </c>
      <c r="B7" s="241"/>
      <c r="C7" s="241"/>
      <c r="D7" s="242"/>
      <c r="F7" t="s">
        <v>172</v>
      </c>
    </row>
    <row r="8" spans="1:10" x14ac:dyDescent="0.55000000000000004">
      <c r="A8" s="243"/>
      <c r="B8" s="244"/>
      <c r="C8" s="244"/>
      <c r="D8" s="245"/>
      <c r="F8" t="s">
        <v>207</v>
      </c>
    </row>
    <row r="9" spans="1:10" x14ac:dyDescent="0.55000000000000004">
      <c r="A9" s="243"/>
      <c r="B9" s="244"/>
      <c r="C9" s="244"/>
      <c r="D9" s="245"/>
    </row>
    <row r="10" spans="1:10" x14ac:dyDescent="0.55000000000000004">
      <c r="A10" s="243"/>
      <c r="B10" s="244"/>
      <c r="C10" s="244"/>
      <c r="D10" s="245"/>
      <c r="F10" t="s">
        <v>176</v>
      </c>
    </row>
    <row r="11" spans="1:10" ht="16.5" customHeight="1" x14ac:dyDescent="0.55000000000000004">
      <c r="A11" s="246"/>
      <c r="B11" s="247"/>
      <c r="C11" s="247"/>
      <c r="D11" s="248"/>
      <c r="F11" t="s">
        <v>177</v>
      </c>
    </row>
    <row r="12" spans="1:10" x14ac:dyDescent="0.55000000000000004">
      <c r="A12" s="19" t="s">
        <v>143</v>
      </c>
      <c r="B12" s="1" t="e">
        <f>(VLOOKUP(D1,'2015 Grievance Tracking'!1:1048576,10,FALSE))</f>
        <v>#N/A</v>
      </c>
      <c r="C12" s="1" t="e">
        <f>(VLOOKUP(D1,'2015 Grievance Tracking'!1:1048576,11,FALSE))</f>
        <v>#N/A</v>
      </c>
      <c r="D12" s="1" t="e">
        <f>(VLOOKUP(D1,'2015 Grievance Tracking'!1:1048576,12,FALSE))</f>
        <v>#N/A</v>
      </c>
    </row>
    <row r="13" spans="1:10" x14ac:dyDescent="0.55000000000000004">
      <c r="A13" s="19" t="s">
        <v>174</v>
      </c>
      <c r="B13" s="249" t="str">
        <f>IFERROR(VLOOKUP(D1,'2015 Grievance Tracking'!1:1048576,9,FALSE),"")</f>
        <v/>
      </c>
      <c r="C13" s="249"/>
      <c r="D13" s="249"/>
    </row>
    <row r="14" spans="1:10" ht="6" customHeight="1" x14ac:dyDescent="0.55000000000000004">
      <c r="A14" s="19"/>
    </row>
    <row r="15" spans="1:10" ht="15" customHeight="1" x14ac:dyDescent="0.55000000000000004">
      <c r="A15" s="250" t="e">
        <f>(VLOOKUP(D1,'2015 Grievance Tracking'!1:1048576,17,FALSE))</f>
        <v>#N/A</v>
      </c>
      <c r="B15" s="251"/>
      <c r="C15" s="251"/>
      <c r="D15" s="252"/>
    </row>
    <row r="16" spans="1:10" x14ac:dyDescent="0.55000000000000004">
      <c r="A16" s="253"/>
      <c r="B16" s="254"/>
      <c r="C16" s="254"/>
      <c r="D16" s="255"/>
    </row>
    <row r="17" spans="1:4" ht="4.5" customHeight="1" x14ac:dyDescent="0.55000000000000004">
      <c r="A17" s="253"/>
      <c r="B17" s="254"/>
      <c r="C17" s="254"/>
      <c r="D17" s="255"/>
    </row>
    <row r="18" spans="1:4" ht="37.5" customHeight="1" x14ac:dyDescent="0.55000000000000004">
      <c r="A18" s="256"/>
      <c r="B18" s="257"/>
      <c r="C18" s="257"/>
      <c r="D18" s="258"/>
    </row>
    <row r="19" spans="1:4" ht="12.75" customHeight="1" x14ac:dyDescent="0.55000000000000004">
      <c r="A19" s="78"/>
      <c r="B19" s="78"/>
      <c r="C19" s="78"/>
      <c r="D19" s="78"/>
    </row>
    <row r="20" spans="1:4" ht="45" customHeight="1" x14ac:dyDescent="0.55000000000000004">
      <c r="A20" s="259" t="s">
        <v>318</v>
      </c>
      <c r="B20" s="259"/>
      <c r="C20" s="259"/>
      <c r="D20" s="259"/>
    </row>
    <row r="21" spans="1:4" ht="20.25" customHeight="1" x14ac:dyDescent="0.55000000000000004">
      <c r="A21" s="19"/>
      <c r="B21" s="19"/>
      <c r="C21" s="19"/>
      <c r="D21" s="19"/>
    </row>
    <row r="22" spans="1:4" ht="15.6" x14ac:dyDescent="0.6">
      <c r="A22" s="38" t="s">
        <v>144</v>
      </c>
      <c r="B22" s="39" t="e">
        <f>(VLOOKUP(D1,'2015 Grievance Tracking'!1:1048576,18,FALSE))</f>
        <v>#N/A</v>
      </c>
      <c r="C22" s="39" t="e">
        <f>(VLOOKUP(D1,'2015 Grievance Tracking'!1:1048576,19,FALSE))</f>
        <v>#N/A</v>
      </c>
      <c r="D22" s="47" t="e">
        <f>(VLOOKUP(D1,'2015 Grievance Tracking'!1:1048576,20,FALSE))</f>
        <v>#N/A</v>
      </c>
    </row>
    <row r="23" spans="1:4" ht="35.25" customHeight="1" x14ac:dyDescent="0.6">
      <c r="A23" s="37" t="s">
        <v>145</v>
      </c>
    </row>
    <row r="24" spans="1:4" ht="15.6" x14ac:dyDescent="0.6">
      <c r="A24" s="53"/>
      <c r="B24" s="19"/>
      <c r="C24" s="19"/>
    </row>
    <row r="25" spans="1:4" ht="15.6" x14ac:dyDescent="0.6">
      <c r="A25" s="37" t="s">
        <v>69</v>
      </c>
    </row>
  </sheetData>
  <mergeCells count="4">
    <mergeCell ref="A7:D11"/>
    <mergeCell ref="B13:D13"/>
    <mergeCell ref="A15:D18"/>
    <mergeCell ref="A20:D20"/>
  </mergeCells>
  <pageMargins left="0.11458333333333333" right="0.10416666666666667" top="7.2916666666666671E-2" bottom="9.375E-2"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'2015 Grievance Tracking'!$A:$A</xm:f>
          </x14:formula1>
          <xm:sqref>D1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6" tint="0.59999389629810485"/>
  </sheetPr>
  <dimension ref="A1:J45"/>
  <sheetViews>
    <sheetView zoomScaleNormal="100" workbookViewId="0">
      <selection activeCell="D1" sqref="D1"/>
    </sheetView>
  </sheetViews>
  <sheetFormatPr defaultRowHeight="14.4" x14ac:dyDescent="0.55000000000000004"/>
  <cols>
    <col min="1" max="1" width="19.15625" customWidth="1"/>
    <col min="2" max="2" width="26.7890625" customWidth="1"/>
    <col min="3" max="3" width="27.734375" customWidth="1"/>
    <col min="4" max="4" width="27.5234375" customWidth="1"/>
  </cols>
  <sheetData>
    <row r="1" spans="1:10" x14ac:dyDescent="0.55000000000000004">
      <c r="A1" t="s">
        <v>153</v>
      </c>
      <c r="C1" s="46" t="s">
        <v>135</v>
      </c>
      <c r="D1" s="45">
        <v>722</v>
      </c>
    </row>
    <row r="2" spans="1:10" ht="15.6" x14ac:dyDescent="0.6">
      <c r="A2" s="34" t="s">
        <v>165</v>
      </c>
      <c r="B2" s="35"/>
      <c r="C2" s="35"/>
      <c r="D2" s="35"/>
    </row>
    <row r="3" spans="1:10" x14ac:dyDescent="0.55000000000000004">
      <c r="A3" s="57" t="s">
        <v>122</v>
      </c>
      <c r="B3" s="62" t="e">
        <f>(VLOOKUP(D1,'2015 Grievance Tracking'!1:1048576,7,FALSE))</f>
        <v>#N/A</v>
      </c>
      <c r="C3" s="57" t="s">
        <v>142</v>
      </c>
      <c r="D3" s="58" t="e">
        <f>(VLOOKUP(D1,'2015 Grievance Tracking'!1:1048576,3,FALSE))</f>
        <v>#N/A</v>
      </c>
      <c r="F3" s="52" t="s">
        <v>173</v>
      </c>
      <c r="G3" s="52"/>
      <c r="H3" s="52"/>
      <c r="I3" s="52"/>
      <c r="J3" s="52"/>
    </row>
    <row r="4" spans="1:10" ht="18" customHeight="1" x14ac:dyDescent="0.55000000000000004">
      <c r="A4" s="57" t="s">
        <v>141</v>
      </c>
      <c r="B4" s="60" t="e">
        <f>(VLOOKUP(D1,'2015 Grievance Tracking'!1:1048576,13,FALSE))</f>
        <v>#N/A</v>
      </c>
      <c r="C4" s="59" t="s">
        <v>181</v>
      </c>
      <c r="D4" s="61" t="e">
        <f>CONCATENATE((VLOOKUP(D1,'2015 Grievance Tracking'!1:1048576,6,FALSE))," ~ ",TEXT((VLOOKUP(D1,'2015 Grievance Tracking'!1:1048576,5,FALSE)),"HH:MM am/pm"))</f>
        <v>#N/A</v>
      </c>
      <c r="F4" t="s">
        <v>170</v>
      </c>
    </row>
    <row r="5" spans="1:10" ht="6.75" customHeight="1" x14ac:dyDescent="0.55000000000000004">
      <c r="D5" s="27"/>
    </row>
    <row r="6" spans="1:10" x14ac:dyDescent="0.55000000000000004">
      <c r="A6" s="54" t="s">
        <v>175</v>
      </c>
      <c r="B6" s="55" t="e">
        <f>(VLOOKUP(D1,'2015 Grievance Tracking'!1:1048576,2,FALSE))</f>
        <v>#N/A</v>
      </c>
      <c r="C6" s="19" t="s">
        <v>180</v>
      </c>
      <c r="D6" s="56" t="e">
        <f>(VLOOKUP(D1,'2015 Grievance Tracking'!1:1048576,14,FALSE))</f>
        <v>#N/A</v>
      </c>
      <c r="F6" t="s">
        <v>171</v>
      </c>
    </row>
    <row r="7" spans="1:10" x14ac:dyDescent="0.55000000000000004">
      <c r="A7" s="240" t="e">
        <f>(VLOOKUP(D1,'2015 Grievance Tracking'!1:1048576,16,FALSE))</f>
        <v>#N/A</v>
      </c>
      <c r="B7" s="241"/>
      <c r="C7" s="241"/>
      <c r="D7" s="242"/>
      <c r="F7" t="s">
        <v>172</v>
      </c>
    </row>
    <row r="8" spans="1:10" x14ac:dyDescent="0.55000000000000004">
      <c r="A8" s="243"/>
      <c r="B8" s="244"/>
      <c r="C8" s="244"/>
      <c r="D8" s="245"/>
      <c r="F8" t="s">
        <v>207</v>
      </c>
    </row>
    <row r="9" spans="1:10" x14ac:dyDescent="0.55000000000000004">
      <c r="A9" s="243"/>
      <c r="B9" s="244"/>
      <c r="C9" s="244"/>
      <c r="D9" s="245"/>
    </row>
    <row r="10" spans="1:10" x14ac:dyDescent="0.55000000000000004">
      <c r="A10" s="243"/>
      <c r="B10" s="244"/>
      <c r="C10" s="244"/>
      <c r="D10" s="245"/>
      <c r="F10" t="s">
        <v>176</v>
      </c>
    </row>
    <row r="11" spans="1:10" ht="15.75" customHeight="1" x14ac:dyDescent="0.55000000000000004">
      <c r="A11" s="246"/>
      <c r="B11" s="247"/>
      <c r="C11" s="247"/>
      <c r="D11" s="248"/>
      <c r="F11" t="s">
        <v>177</v>
      </c>
    </row>
    <row r="12" spans="1:10" x14ac:dyDescent="0.55000000000000004">
      <c r="A12" s="19" t="s">
        <v>143</v>
      </c>
      <c r="B12" s="1" t="e">
        <f>(VLOOKUP(D1,'2015 Grievance Tracking'!1:1048576,10,FALSE))</f>
        <v>#N/A</v>
      </c>
      <c r="C12" s="1" t="e">
        <f>(VLOOKUP(D1,'2015 Grievance Tracking'!1:1048576,11,FALSE))</f>
        <v>#N/A</v>
      </c>
      <c r="D12" s="1" t="e">
        <f>(VLOOKUP(D1,'2015 Grievance Tracking'!1:1048576,12,FALSE))</f>
        <v>#N/A</v>
      </c>
    </row>
    <row r="13" spans="1:10" x14ac:dyDescent="0.55000000000000004">
      <c r="A13" s="19" t="s">
        <v>174</v>
      </c>
      <c r="B13" s="249" t="str">
        <f>IFERROR(VLOOKUP(D1,'2015 Grievance Tracking'!1:1048576,9,FALSE),"")</f>
        <v/>
      </c>
      <c r="C13" s="249"/>
      <c r="D13" s="249"/>
    </row>
    <row r="14" spans="1:10" ht="6" customHeight="1" x14ac:dyDescent="0.55000000000000004">
      <c r="A14" s="19"/>
    </row>
    <row r="15" spans="1:10" ht="15" customHeight="1" x14ac:dyDescent="0.55000000000000004">
      <c r="A15" s="250" t="e">
        <f>(VLOOKUP(D1,'2015 Grievance Tracking'!1:1048576,17,FALSE))</f>
        <v>#N/A</v>
      </c>
      <c r="B15" s="251"/>
      <c r="C15" s="251"/>
      <c r="D15" s="252"/>
    </row>
    <row r="16" spans="1:10" x14ac:dyDescent="0.55000000000000004">
      <c r="A16" s="253"/>
      <c r="B16" s="254"/>
      <c r="C16" s="254"/>
      <c r="D16" s="255"/>
    </row>
    <row r="17" spans="1:4" ht="4.5" customHeight="1" x14ac:dyDescent="0.55000000000000004">
      <c r="A17" s="253"/>
      <c r="B17" s="254"/>
      <c r="C17" s="254"/>
      <c r="D17" s="255"/>
    </row>
    <row r="18" spans="1:4" ht="4.5" customHeight="1" x14ac:dyDescent="0.55000000000000004">
      <c r="A18" s="256"/>
      <c r="B18" s="257"/>
      <c r="C18" s="257"/>
      <c r="D18" s="258"/>
    </row>
    <row r="19" spans="1:4" ht="16.5" customHeight="1" x14ac:dyDescent="0.55000000000000004">
      <c r="A19" s="19" t="s">
        <v>271</v>
      </c>
      <c r="B19" s="19"/>
      <c r="C19" s="19"/>
      <c r="D19" s="19"/>
    </row>
    <row r="20" spans="1:4" ht="15.6" x14ac:dyDescent="0.6">
      <c r="A20" s="38" t="s">
        <v>144</v>
      </c>
      <c r="B20" s="39" t="e">
        <f>(VLOOKUP(D1,'2015 Grievance Tracking'!1:1048576,18,FALSE))</f>
        <v>#N/A</v>
      </c>
      <c r="C20" s="39" t="e">
        <f>(VLOOKUP(D1,'2015 Grievance Tracking'!1:1048576,19,FALSE))</f>
        <v>#N/A</v>
      </c>
      <c r="D20" s="47" t="e">
        <f>(VLOOKUP(D1,'2015 Grievance Tracking'!1:1048576,20,FALSE))</f>
        <v>#N/A</v>
      </c>
    </row>
    <row r="21" spans="1:4" ht="22.5" customHeight="1" x14ac:dyDescent="0.6">
      <c r="A21" s="37" t="s">
        <v>145</v>
      </c>
    </row>
    <row r="22" spans="1:4" ht="15.6" x14ac:dyDescent="0.6">
      <c r="A22" s="34" t="s">
        <v>166</v>
      </c>
      <c r="B22" s="36" t="s">
        <v>273</v>
      </c>
      <c r="C22" s="35"/>
      <c r="D22" s="35"/>
    </row>
    <row r="23" spans="1:4" ht="15.6" x14ac:dyDescent="0.6">
      <c r="A23" s="37" t="s">
        <v>146</v>
      </c>
    </row>
    <row r="24" spans="1:4" ht="15.6" x14ac:dyDescent="0.6">
      <c r="A24" s="37" t="s">
        <v>147</v>
      </c>
    </row>
    <row r="25" spans="1:4" x14ac:dyDescent="0.55000000000000004">
      <c r="A25" s="240" t="e">
        <f>(VLOOKUP(D1,'2015 Grievance Tracking'!1:1048576,21,FALSE))</f>
        <v>#N/A</v>
      </c>
      <c r="B25" s="241"/>
      <c r="C25" s="241"/>
      <c r="D25" s="242"/>
    </row>
    <row r="26" spans="1:4" x14ac:dyDescent="0.55000000000000004">
      <c r="A26" s="243"/>
      <c r="B26" s="244"/>
      <c r="C26" s="244"/>
      <c r="D26" s="245"/>
    </row>
    <row r="27" spans="1:4" x14ac:dyDescent="0.55000000000000004">
      <c r="A27" s="243"/>
      <c r="B27" s="244"/>
      <c r="C27" s="244"/>
      <c r="D27" s="245"/>
    </row>
    <row r="28" spans="1:4" x14ac:dyDescent="0.55000000000000004">
      <c r="A28" s="243"/>
      <c r="B28" s="244"/>
      <c r="C28" s="244"/>
      <c r="D28" s="245"/>
    </row>
    <row r="29" spans="1:4" x14ac:dyDescent="0.55000000000000004">
      <c r="A29" s="243"/>
      <c r="B29" s="244"/>
      <c r="C29" s="244"/>
      <c r="D29" s="245"/>
    </row>
    <row r="30" spans="1:4" x14ac:dyDescent="0.55000000000000004">
      <c r="A30" s="246"/>
      <c r="B30" s="247"/>
      <c r="C30" s="247"/>
      <c r="D30" s="248"/>
    </row>
    <row r="31" spans="1:4" ht="15.6" x14ac:dyDescent="0.6">
      <c r="A31" s="34" t="s">
        <v>167</v>
      </c>
      <c r="B31" s="36" t="s">
        <v>276</v>
      </c>
      <c r="C31" s="35"/>
      <c r="D31" s="35"/>
    </row>
    <row r="32" spans="1:4" ht="45.75" customHeight="1" x14ac:dyDescent="0.55000000000000004">
      <c r="A32" s="261" t="e">
        <f>(VLOOKUP(D1,'2015 Grievance Tracking'!1:1048576,22,FALSE))</f>
        <v>#N/A</v>
      </c>
      <c r="B32" s="261"/>
      <c r="C32" s="261"/>
      <c r="D32" s="261"/>
    </row>
    <row r="33" spans="1:4" ht="5.25" customHeight="1" x14ac:dyDescent="0.6">
      <c r="A33" s="37"/>
    </row>
    <row r="34" spans="1:4" ht="15.6" x14ac:dyDescent="0.6">
      <c r="A34" s="34" t="s">
        <v>168</v>
      </c>
      <c r="B34" s="36" t="s">
        <v>148</v>
      </c>
      <c r="C34" s="35"/>
      <c r="D34" s="35"/>
    </row>
    <row r="35" spans="1:4" ht="131.25" customHeight="1" x14ac:dyDescent="0.55000000000000004">
      <c r="A35" s="260" t="e">
        <f>(VLOOKUP(D1,'2015 Grievance Tracking'!1:1048576,24,FALSE))</f>
        <v>#N/A</v>
      </c>
      <c r="B35" s="260"/>
      <c r="C35" s="260"/>
      <c r="D35" s="260"/>
    </row>
    <row r="36" spans="1:4" ht="22.5" customHeight="1" x14ac:dyDescent="0.6">
      <c r="A36" s="34" t="s">
        <v>169</v>
      </c>
      <c r="B36" s="36" t="s">
        <v>149</v>
      </c>
      <c r="C36" s="35"/>
      <c r="D36" s="35"/>
    </row>
    <row r="37" spans="1:4" ht="22.5" customHeight="1" x14ac:dyDescent="0.6">
      <c r="A37" s="41" t="s">
        <v>163</v>
      </c>
      <c r="C37" s="37"/>
    </row>
    <row r="38" spans="1:4" ht="15.6" x14ac:dyDescent="0.6">
      <c r="A38" s="42" t="s">
        <v>164</v>
      </c>
      <c r="B38" s="40"/>
      <c r="C38" s="40"/>
      <c r="D38" s="51"/>
    </row>
    <row r="39" spans="1:4" ht="6.75" customHeight="1" x14ac:dyDescent="0.6">
      <c r="A39" s="37"/>
      <c r="B39" s="37"/>
      <c r="C39" s="37"/>
    </row>
    <row r="40" spans="1:4" ht="15.6" x14ac:dyDescent="0.6">
      <c r="A40" s="43" t="s">
        <v>150</v>
      </c>
      <c r="B40" s="41"/>
      <c r="C40" s="41"/>
      <c r="D40" s="49"/>
    </row>
    <row r="41" spans="1:4" ht="15.6" x14ac:dyDescent="0.6">
      <c r="A41" s="44" t="s">
        <v>151</v>
      </c>
      <c r="B41" s="37"/>
      <c r="C41" s="37"/>
      <c r="D41" s="28"/>
    </row>
    <row r="42" spans="1:4" ht="15.6" x14ac:dyDescent="0.6">
      <c r="A42" s="42" t="s">
        <v>152</v>
      </c>
      <c r="B42" s="40"/>
      <c r="C42" s="40"/>
      <c r="D42" s="50"/>
    </row>
    <row r="43" spans="1:4" ht="15.6" x14ac:dyDescent="0.6">
      <c r="A43" s="48" t="s">
        <v>272</v>
      </c>
      <c r="B43" s="37"/>
      <c r="C43" s="37"/>
    </row>
    <row r="44" spans="1:4" ht="15.6" x14ac:dyDescent="0.6">
      <c r="A44" s="53" t="s">
        <v>69</v>
      </c>
      <c r="B44" s="19"/>
      <c r="C44" s="19"/>
    </row>
    <row r="45" spans="1:4" ht="15.6" x14ac:dyDescent="0.6">
      <c r="A45" s="37" t="s">
        <v>69</v>
      </c>
    </row>
  </sheetData>
  <mergeCells count="6">
    <mergeCell ref="A35:D35"/>
    <mergeCell ref="A7:D11"/>
    <mergeCell ref="B13:D13"/>
    <mergeCell ref="A15:D18"/>
    <mergeCell ref="A25:D30"/>
    <mergeCell ref="A32:D32"/>
  </mergeCells>
  <pageMargins left="0.11458333333333333" right="0.10416666666666667" top="7.2916666666666671E-2" bottom="9.375E-2"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Check Box 1">
              <controlPr defaultSize="0" autoFill="0" autoLine="0" autoPict="0">
                <anchor moveWithCells="1">
                  <from>
                    <xdr:col>0</xdr:col>
                    <xdr:colOff>49530</xdr:colOff>
                    <xdr:row>18</xdr:row>
                    <xdr:rowOff>0</xdr:rowOff>
                  </from>
                  <to>
                    <xdr:col>0</xdr:col>
                    <xdr:colOff>285750</xdr:colOff>
                    <xdr:row>19</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'2015 Grievance Tracking'!$A:$A</xm:f>
          </x14:formula1>
          <xm:sqref>D1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theme="6" tint="0.59999389629810485"/>
  </sheetPr>
  <dimension ref="A1:J52"/>
  <sheetViews>
    <sheetView tabSelected="1" zoomScaleNormal="100" workbookViewId="0">
      <selection activeCell="K49" sqref="K49"/>
    </sheetView>
  </sheetViews>
  <sheetFormatPr defaultRowHeight="14.4" x14ac:dyDescent="0.55000000000000004"/>
  <cols>
    <col min="1" max="1" width="19.15625" customWidth="1"/>
    <col min="2" max="2" width="26.7890625" customWidth="1"/>
    <col min="3" max="3" width="27.734375" customWidth="1"/>
    <col min="4" max="4" width="27.5234375" customWidth="1"/>
  </cols>
  <sheetData>
    <row r="1" spans="1:10" x14ac:dyDescent="0.55000000000000004">
      <c r="A1" t="s">
        <v>153</v>
      </c>
      <c r="C1" s="46" t="s">
        <v>135</v>
      </c>
      <c r="D1" s="45">
        <v>142.19999999999999</v>
      </c>
    </row>
    <row r="2" spans="1:10" ht="15.6" x14ac:dyDescent="0.6">
      <c r="A2" s="34" t="s">
        <v>165</v>
      </c>
      <c r="B2" s="35"/>
      <c r="C2" s="35"/>
      <c r="D2" s="35"/>
    </row>
    <row r="3" spans="1:10" x14ac:dyDescent="0.55000000000000004">
      <c r="A3" s="57" t="s">
        <v>122</v>
      </c>
      <c r="B3" s="62" t="e">
        <f>(VLOOKUP(D1,'2015 Grievance Tracking'!1:1048576,7,FALSE))</f>
        <v>#N/A</v>
      </c>
      <c r="C3" s="57" t="s">
        <v>142</v>
      </c>
      <c r="D3" s="58" t="e">
        <f>(VLOOKUP(D1,'2015 Grievance Tracking'!1:1048576,3,FALSE))</f>
        <v>#N/A</v>
      </c>
      <c r="F3" s="52" t="s">
        <v>173</v>
      </c>
      <c r="G3" s="52"/>
      <c r="H3" s="52"/>
      <c r="I3" s="52"/>
      <c r="J3" s="52"/>
    </row>
    <row r="4" spans="1:10" ht="18" customHeight="1" x14ac:dyDescent="0.55000000000000004">
      <c r="A4" s="57" t="s">
        <v>141</v>
      </c>
      <c r="B4" s="60" t="e">
        <f>(VLOOKUP(D1,'2015 Grievance Tracking'!1:1048576,13,FALSE))</f>
        <v>#N/A</v>
      </c>
      <c r="C4" s="59" t="s">
        <v>181</v>
      </c>
      <c r="D4" s="61" t="e">
        <f>CONCATENATE((VLOOKUP(D1,'2015 Grievance Tracking'!1:1048576,6,FALSE))," ~ ",TEXT((VLOOKUP(D1,'2015 Grievance Tracking'!1:1048576,5,FALSE)),"HH:MM am/pm"))</f>
        <v>#N/A</v>
      </c>
      <c r="F4" t="s">
        <v>170</v>
      </c>
    </row>
    <row r="5" spans="1:10" ht="6.75" customHeight="1" x14ac:dyDescent="0.55000000000000004">
      <c r="D5" s="27"/>
    </row>
    <row r="6" spans="1:10" x14ac:dyDescent="0.55000000000000004">
      <c r="A6" s="54" t="s">
        <v>175</v>
      </c>
      <c r="B6" s="55" t="e">
        <f>(VLOOKUP(D1,'2015 Grievance Tracking'!1:1048576,2,FALSE))</f>
        <v>#N/A</v>
      </c>
      <c r="C6" s="19" t="s">
        <v>180</v>
      </c>
      <c r="D6" s="56" t="e">
        <f>(VLOOKUP(D1,'2015 Grievance Tracking'!1:1048576,14,FALSE))</f>
        <v>#N/A</v>
      </c>
      <c r="F6" t="s">
        <v>171</v>
      </c>
    </row>
    <row r="7" spans="1:10" x14ac:dyDescent="0.55000000000000004">
      <c r="A7" s="240" t="e">
        <f>(VLOOKUP(D1,'2015 Grievance Tracking'!1:1048576,16,FALSE))</f>
        <v>#N/A</v>
      </c>
      <c r="B7" s="241"/>
      <c r="C7" s="241"/>
      <c r="D7" s="242"/>
      <c r="F7" t="s">
        <v>172</v>
      </c>
    </row>
    <row r="8" spans="1:10" x14ac:dyDescent="0.55000000000000004">
      <c r="A8" s="243"/>
      <c r="B8" s="244"/>
      <c r="C8" s="244"/>
      <c r="D8" s="245"/>
      <c r="F8" t="s">
        <v>207</v>
      </c>
    </row>
    <row r="9" spans="1:10" x14ac:dyDescent="0.55000000000000004">
      <c r="A9" s="243"/>
      <c r="B9" s="244"/>
      <c r="C9" s="244"/>
      <c r="D9" s="245"/>
    </row>
    <row r="10" spans="1:10" x14ac:dyDescent="0.55000000000000004">
      <c r="A10" s="243"/>
      <c r="B10" s="244"/>
      <c r="C10" s="244"/>
      <c r="D10" s="245"/>
      <c r="F10" t="s">
        <v>176</v>
      </c>
    </row>
    <row r="11" spans="1:10" ht="15.75" customHeight="1" x14ac:dyDescent="0.55000000000000004">
      <c r="A11" s="246"/>
      <c r="B11" s="247"/>
      <c r="C11" s="247"/>
      <c r="D11" s="248"/>
      <c r="F11" t="s">
        <v>177</v>
      </c>
    </row>
    <row r="12" spans="1:10" ht="6" customHeight="1" x14ac:dyDescent="0.55000000000000004">
      <c r="A12" s="19"/>
    </row>
    <row r="13" spans="1:10" ht="15" customHeight="1" x14ac:dyDescent="0.55000000000000004">
      <c r="A13" s="250" t="e">
        <f>(VLOOKUP(D1,'2015 Grievance Tracking'!1:1048576,17,FALSE))</f>
        <v>#N/A</v>
      </c>
      <c r="B13" s="251"/>
      <c r="C13" s="251"/>
      <c r="D13" s="252"/>
    </row>
    <row r="14" spans="1:10" x14ac:dyDescent="0.55000000000000004">
      <c r="A14" s="253"/>
      <c r="B14" s="254"/>
      <c r="C14" s="254"/>
      <c r="D14" s="255"/>
    </row>
    <row r="15" spans="1:10" ht="4.5" customHeight="1" x14ac:dyDescent="0.55000000000000004">
      <c r="A15" s="253"/>
      <c r="B15" s="254"/>
      <c r="C15" s="254"/>
      <c r="D15" s="255"/>
    </row>
    <row r="16" spans="1:10" ht="4.5" customHeight="1" x14ac:dyDescent="0.55000000000000004">
      <c r="A16" s="256"/>
      <c r="B16" s="257"/>
      <c r="C16" s="257"/>
      <c r="D16" s="258"/>
    </row>
    <row r="17" spans="1:4" ht="16.5" customHeight="1" x14ac:dyDescent="0.55000000000000004">
      <c r="A17" s="19" t="s">
        <v>271</v>
      </c>
      <c r="B17" s="19"/>
      <c r="C17" s="19"/>
      <c r="D17" s="19"/>
    </row>
    <row r="18" spans="1:4" ht="15.6" x14ac:dyDescent="0.6">
      <c r="A18" s="38" t="s">
        <v>144</v>
      </c>
      <c r="B18" s="39" t="e">
        <f>(VLOOKUP(D1,'2015 Grievance Tracking'!1:1048576,18,FALSE))</f>
        <v>#N/A</v>
      </c>
      <c r="C18" s="39" t="e">
        <f>(VLOOKUP(D1,'2015 Grievance Tracking'!1:1048576,19,FALSE))</f>
        <v>#N/A</v>
      </c>
      <c r="D18" s="47" t="e">
        <f>(VLOOKUP(D1,'2015 Grievance Tracking'!1:1048576,20,FALSE))</f>
        <v>#N/A</v>
      </c>
    </row>
    <row r="19" spans="1:4" ht="22.5" customHeight="1" x14ac:dyDescent="0.6">
      <c r="A19" s="37" t="s">
        <v>145</v>
      </c>
    </row>
    <row r="20" spans="1:4" ht="15.6" x14ac:dyDescent="0.6">
      <c r="A20" s="34" t="s">
        <v>166</v>
      </c>
      <c r="B20" s="36" t="s">
        <v>273</v>
      </c>
      <c r="C20" s="35"/>
      <c r="D20" s="35"/>
    </row>
    <row r="21" spans="1:4" ht="15.6" x14ac:dyDescent="0.6">
      <c r="A21" s="37" t="s">
        <v>146</v>
      </c>
    </row>
    <row r="22" spans="1:4" ht="15.6" x14ac:dyDescent="0.6">
      <c r="A22" s="37" t="s">
        <v>147</v>
      </c>
    </row>
    <row r="23" spans="1:4" x14ac:dyDescent="0.55000000000000004">
      <c r="A23" s="262" t="e">
        <f>(VLOOKUP(D1,'2015 Grievance Tracking'!1:1048576,21,FALSE))</f>
        <v>#N/A</v>
      </c>
      <c r="B23" s="263"/>
      <c r="C23" s="263"/>
      <c r="D23" s="264"/>
    </row>
    <row r="24" spans="1:4" x14ac:dyDescent="0.55000000000000004">
      <c r="A24" s="265"/>
      <c r="B24" s="266"/>
      <c r="C24" s="266"/>
      <c r="D24" s="267"/>
    </row>
    <row r="25" spans="1:4" x14ac:dyDescent="0.55000000000000004">
      <c r="A25" s="265"/>
      <c r="B25" s="266"/>
      <c r="C25" s="266"/>
      <c r="D25" s="267"/>
    </row>
    <row r="26" spans="1:4" x14ac:dyDescent="0.55000000000000004">
      <c r="A26" s="265"/>
      <c r="B26" s="266"/>
      <c r="C26" s="266"/>
      <c r="D26" s="267"/>
    </row>
    <row r="27" spans="1:4" x14ac:dyDescent="0.55000000000000004">
      <c r="A27" s="265"/>
      <c r="B27" s="266"/>
      <c r="C27" s="266"/>
      <c r="D27" s="267"/>
    </row>
    <row r="28" spans="1:4" x14ac:dyDescent="0.55000000000000004">
      <c r="A28" s="268"/>
      <c r="B28" s="269"/>
      <c r="C28" s="269"/>
      <c r="D28" s="270"/>
    </row>
    <row r="29" spans="1:4" ht="15.6" x14ac:dyDescent="0.6">
      <c r="A29" s="34" t="s">
        <v>167</v>
      </c>
      <c r="B29" s="36" t="s">
        <v>276</v>
      </c>
      <c r="C29" s="35"/>
      <c r="D29" s="35"/>
    </row>
    <row r="30" spans="1:4" ht="15.6" x14ac:dyDescent="0.6">
      <c r="A30" s="37" t="s">
        <v>154</v>
      </c>
    </row>
    <row r="31" spans="1:4" ht="15.6" x14ac:dyDescent="0.6">
      <c r="A31" s="37" t="s">
        <v>155</v>
      </c>
    </row>
    <row r="32" spans="1:4" ht="6" customHeight="1" x14ac:dyDescent="0.6">
      <c r="A32" s="37"/>
      <c r="B32" s="37"/>
    </row>
    <row r="33" spans="1:4" ht="15.6" x14ac:dyDescent="0.6">
      <c r="A33" s="37" t="s">
        <v>156</v>
      </c>
    </row>
    <row r="34" spans="1:4" ht="15.6" x14ac:dyDescent="0.6">
      <c r="A34" s="37" t="s">
        <v>157</v>
      </c>
    </row>
    <row r="35" spans="1:4" ht="15.6" x14ac:dyDescent="0.6">
      <c r="A35" s="37" t="s">
        <v>159</v>
      </c>
    </row>
    <row r="36" spans="1:4" ht="5.25" customHeight="1" x14ac:dyDescent="0.6">
      <c r="A36" s="37"/>
      <c r="B36" s="37"/>
    </row>
    <row r="37" spans="1:4" ht="15.6" x14ac:dyDescent="0.6">
      <c r="A37" s="37" t="s">
        <v>158</v>
      </c>
    </row>
    <row r="38" spans="1:4" ht="15.6" x14ac:dyDescent="0.6">
      <c r="A38" s="34" t="s">
        <v>168</v>
      </c>
      <c r="B38" s="36" t="s">
        <v>148</v>
      </c>
      <c r="C38" s="35"/>
      <c r="D38" s="35"/>
    </row>
    <row r="39" spans="1:4" ht="15.6" x14ac:dyDescent="0.6">
      <c r="A39" s="37" t="s">
        <v>160</v>
      </c>
      <c r="C39" s="37"/>
    </row>
    <row r="40" spans="1:4" ht="16.5" customHeight="1" x14ac:dyDescent="0.6">
      <c r="A40" s="37" t="s">
        <v>161</v>
      </c>
      <c r="C40" s="37" t="s">
        <v>275</v>
      </c>
    </row>
    <row r="41" spans="1:4" ht="15.6" x14ac:dyDescent="0.6">
      <c r="A41" s="37" t="s">
        <v>274</v>
      </c>
      <c r="C41" s="37"/>
    </row>
    <row r="42" spans="1:4" ht="15.6" x14ac:dyDescent="0.6">
      <c r="A42" s="37" t="s">
        <v>162</v>
      </c>
      <c r="C42" s="37"/>
    </row>
    <row r="43" spans="1:4" ht="15.6" x14ac:dyDescent="0.6">
      <c r="A43" s="34" t="s">
        <v>169</v>
      </c>
      <c r="B43" s="36" t="s">
        <v>149</v>
      </c>
      <c r="C43" s="35"/>
      <c r="D43" s="35"/>
    </row>
    <row r="44" spans="1:4" ht="15.6" x14ac:dyDescent="0.6">
      <c r="A44" s="41" t="s">
        <v>163</v>
      </c>
      <c r="C44" s="37"/>
    </row>
    <row r="45" spans="1:4" ht="15.6" x14ac:dyDescent="0.6">
      <c r="A45" s="42" t="s">
        <v>164</v>
      </c>
      <c r="B45" s="40"/>
      <c r="C45" s="40"/>
      <c r="D45" s="51"/>
    </row>
    <row r="46" spans="1:4" ht="6.75" customHeight="1" x14ac:dyDescent="0.6">
      <c r="A46" s="37"/>
      <c r="B46" s="37"/>
      <c r="C46" s="37"/>
    </row>
    <row r="47" spans="1:4" ht="15.6" x14ac:dyDescent="0.6">
      <c r="A47" s="43" t="s">
        <v>150</v>
      </c>
      <c r="B47" s="41"/>
      <c r="C47" s="41"/>
      <c r="D47" s="49"/>
    </row>
    <row r="48" spans="1:4" ht="15.6" x14ac:dyDescent="0.6">
      <c r="A48" s="44" t="s">
        <v>151</v>
      </c>
      <c r="B48" s="37"/>
      <c r="C48" s="37"/>
      <c r="D48" s="28"/>
    </row>
    <row r="49" spans="1:4" ht="15.6" x14ac:dyDescent="0.6">
      <c r="A49" s="42" t="s">
        <v>152</v>
      </c>
      <c r="B49" s="40"/>
      <c r="C49" s="40"/>
      <c r="D49" s="50"/>
    </row>
    <row r="50" spans="1:4" ht="15.6" x14ac:dyDescent="0.6">
      <c r="A50" s="48" t="s">
        <v>272</v>
      </c>
      <c r="B50" s="37"/>
      <c r="C50" s="37"/>
    </row>
    <row r="51" spans="1:4" ht="15.6" x14ac:dyDescent="0.6">
      <c r="A51" s="53" t="s">
        <v>69</v>
      </c>
      <c r="B51" s="19"/>
      <c r="C51" s="19"/>
    </row>
    <row r="52" spans="1:4" ht="15.6" x14ac:dyDescent="0.6">
      <c r="A52" s="37" t="s">
        <v>69</v>
      </c>
    </row>
  </sheetData>
  <mergeCells count="3">
    <mergeCell ref="A7:D11"/>
    <mergeCell ref="A13:D16"/>
    <mergeCell ref="A23:D28"/>
  </mergeCells>
  <pageMargins left="0.11458333333333333" right="0.10416666666666667" top="7.2916666666666671E-2" bottom="9.375E-2"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Check Box 1">
              <controlPr defaultSize="0" autoFill="0" autoLine="0" autoPict="0">
                <anchor moveWithCells="1">
                  <from>
                    <xdr:col>0</xdr:col>
                    <xdr:colOff>49530</xdr:colOff>
                    <xdr:row>16</xdr:row>
                    <xdr:rowOff>0</xdr:rowOff>
                  </from>
                  <to>
                    <xdr:col>0</xdr:col>
                    <xdr:colOff>285750</xdr:colOff>
                    <xdr:row>17</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'2015 Grievance Tracking'!$A:$A</xm:f>
          </x14:formula1>
          <xm:sqref>D1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theme="4"/>
  </sheetPr>
  <dimension ref="A1:B46"/>
  <sheetViews>
    <sheetView workbookViewId="0">
      <selection activeCell="A2" sqref="A2:XFD2"/>
    </sheetView>
  </sheetViews>
  <sheetFormatPr defaultRowHeight="14.4" x14ac:dyDescent="0.55000000000000004"/>
  <cols>
    <col min="1" max="1" width="17.7890625" customWidth="1"/>
    <col min="2" max="2" width="9.47265625" customWidth="1"/>
    <col min="3" max="3" width="9.26171875" customWidth="1"/>
    <col min="6" max="6" width="9.734375" customWidth="1"/>
    <col min="9" max="9" width="10.5234375" customWidth="1"/>
    <col min="12" max="12" width="10.734375" customWidth="1"/>
    <col min="15" max="15" width="12" customWidth="1"/>
    <col min="28" max="28" width="9.7890625" customWidth="1"/>
    <col min="39" max="39" width="10.734375" customWidth="1"/>
    <col min="41" max="41" width="17" customWidth="1"/>
  </cols>
  <sheetData>
    <row r="1" spans="1:2" x14ac:dyDescent="0.55000000000000004">
      <c r="A1" t="s">
        <v>333</v>
      </c>
    </row>
    <row r="2" spans="1:2" ht="5.5" customHeight="1" x14ac:dyDescent="0.55000000000000004"/>
    <row r="3" spans="1:2" s="35" customFormat="1" ht="9" customHeight="1" x14ac:dyDescent="0.55000000000000004"/>
    <row r="5" spans="1:2" x14ac:dyDescent="0.55000000000000004">
      <c r="A5" t="s">
        <v>290</v>
      </c>
    </row>
    <row r="7" spans="1:2" x14ac:dyDescent="0.55000000000000004">
      <c r="A7" s="1" t="s">
        <v>125</v>
      </c>
      <c r="B7">
        <f>COUNTIF('2015 Grievance Tracking'!N:N, "Bathroom")</f>
        <v>0</v>
      </c>
    </row>
    <row r="8" spans="1:2" x14ac:dyDescent="0.55000000000000004">
      <c r="A8" s="1" t="s">
        <v>123</v>
      </c>
      <c r="B8">
        <f>COUNTIF('2015 Grievance Tracking'!N:N, "Bedroom")</f>
        <v>0</v>
      </c>
    </row>
    <row r="9" spans="1:2" x14ac:dyDescent="0.55000000000000004">
      <c r="A9" s="1" t="s">
        <v>124</v>
      </c>
      <c r="B9">
        <f>COUNTIF('2015 Grievance Tracking'!N:N, "Cafeteria")</f>
        <v>0</v>
      </c>
    </row>
    <row r="10" spans="1:2" x14ac:dyDescent="0.55000000000000004">
      <c r="A10" s="1" t="s">
        <v>68</v>
      </c>
      <c r="B10">
        <f>COUNTIF('2015 Grievance Tracking'!N:N, "Classroom")</f>
        <v>0</v>
      </c>
    </row>
    <row r="11" spans="1:2" x14ac:dyDescent="0.55000000000000004">
      <c r="A11" s="1" t="s">
        <v>67</v>
      </c>
      <c r="B11">
        <f>COUNTIF('2015 Grievance Tracking'!N:N, "Closet")</f>
        <v>0</v>
      </c>
    </row>
    <row r="12" spans="1:2" x14ac:dyDescent="0.55000000000000004">
      <c r="A12" s="1" t="s">
        <v>65</v>
      </c>
      <c r="B12">
        <f>COUNTIF('2015 Grievance Tracking'!N:N, "Dayroom")</f>
        <v>0</v>
      </c>
    </row>
    <row r="13" spans="1:2" x14ac:dyDescent="0.55000000000000004">
      <c r="A13" s="1" t="s">
        <v>66</v>
      </c>
      <c r="B13">
        <f>COUNTIF('2015 Grievance Tracking'!N:N, "Hallway")</f>
        <v>0</v>
      </c>
    </row>
    <row r="14" spans="1:2" x14ac:dyDescent="0.55000000000000004">
      <c r="A14" s="1" t="s">
        <v>138</v>
      </c>
      <c r="B14">
        <f>COUNTIF('2015 Grievance Tracking'!N:N, "Control Station")</f>
        <v>0</v>
      </c>
    </row>
    <row r="15" spans="1:2" x14ac:dyDescent="0.55000000000000004">
      <c r="A15" s="1" t="s">
        <v>198</v>
      </c>
      <c r="B15">
        <f>COUNTIF('2015 Grievance Tracking'!N:N, "Front Field")</f>
        <v>0</v>
      </c>
    </row>
    <row r="16" spans="1:2" x14ac:dyDescent="0.55000000000000004">
      <c r="A16" s="1" t="s">
        <v>237</v>
      </c>
      <c r="B16">
        <f>COUNTIF('2015 Grievance Tracking'!N:N, "Stairwell")</f>
        <v>0</v>
      </c>
    </row>
    <row r="17" spans="1:2" x14ac:dyDescent="0.55000000000000004">
      <c r="A17" s="1" t="s">
        <v>287</v>
      </c>
      <c r="B17">
        <f>COUNTIF('2015 Grievance Tracking'!N:N, "General Unit")</f>
        <v>0</v>
      </c>
    </row>
    <row r="20" spans="1:2" s="35" customFormat="1" ht="7.5" customHeight="1" x14ac:dyDescent="0.55000000000000004"/>
    <row r="22" spans="1:2" x14ac:dyDescent="0.55000000000000004">
      <c r="A22" t="s">
        <v>292</v>
      </c>
    </row>
    <row r="23" spans="1:2" x14ac:dyDescent="0.55000000000000004">
      <c r="B23" s="27" t="s">
        <v>205</v>
      </c>
    </row>
    <row r="24" spans="1:2" x14ac:dyDescent="0.55000000000000004">
      <c r="A24" s="1" t="s">
        <v>114</v>
      </c>
      <c r="B24" s="27">
        <f>COUNTIF('2015 Grievance Tracking'!O:O, "Direct Care")</f>
        <v>0</v>
      </c>
    </row>
    <row r="25" spans="1:2" ht="28.8" x14ac:dyDescent="0.55000000000000004">
      <c r="A25" s="1" t="s">
        <v>308</v>
      </c>
      <c r="B25" s="27">
        <f>COUNTIF('2015 Grievance Tracking'!O:O, "Programming")</f>
        <v>0</v>
      </c>
    </row>
    <row r="26" spans="1:2" x14ac:dyDescent="0.55000000000000004">
      <c r="A26" s="1" t="s">
        <v>116</v>
      </c>
      <c r="B26" s="27">
        <f>COUNTIF('2015 Grievance Tracking'!O:O, "Environment")</f>
        <v>0</v>
      </c>
    </row>
    <row r="27" spans="1:2" x14ac:dyDescent="0.55000000000000004">
      <c r="A27" s="1" t="s">
        <v>117</v>
      </c>
      <c r="B27" s="27">
        <f>COUNTIF('2015 Grievance Tracking'!O:O, "Dietary")</f>
        <v>0</v>
      </c>
    </row>
    <row r="28" spans="1:2" x14ac:dyDescent="0.55000000000000004">
      <c r="A28" s="1" t="s">
        <v>288</v>
      </c>
      <c r="B28" s="27">
        <f>COUNTIF('2015 Grievance Tracking'!O:O, "Safety")</f>
        <v>0</v>
      </c>
    </row>
    <row r="29" spans="1:2" ht="28.8" x14ac:dyDescent="0.55000000000000004">
      <c r="A29" s="1" t="s">
        <v>309</v>
      </c>
      <c r="B29" s="27">
        <f>COUNTIF('2015 Grievance Tracking'!O:O, "Education")</f>
        <v>0</v>
      </c>
    </row>
    <row r="30" spans="1:2" x14ac:dyDescent="0.55000000000000004">
      <c r="A30" s="1" t="s">
        <v>312</v>
      </c>
      <c r="B30" s="27">
        <f>COUNTIF('2015 Grievance Tracking'!O:O, "Religious")</f>
        <v>0</v>
      </c>
    </row>
    <row r="31" spans="1:2" x14ac:dyDescent="0.55000000000000004">
      <c r="A31" s="1" t="s">
        <v>313</v>
      </c>
      <c r="B31" s="27">
        <f>COUNTIF('2015 Grievance Tracking'!O:O, "Physical Health")</f>
        <v>0</v>
      </c>
    </row>
    <row r="36" spans="1:2" s="35" customFormat="1" x14ac:dyDescent="0.55000000000000004"/>
    <row r="38" spans="1:2" x14ac:dyDescent="0.55000000000000004">
      <c r="A38" s="19" t="s">
        <v>320</v>
      </c>
    </row>
    <row r="39" spans="1:2" x14ac:dyDescent="0.55000000000000004">
      <c r="A39" s="185" t="s">
        <v>332</v>
      </c>
    </row>
    <row r="40" spans="1:2" x14ac:dyDescent="0.55000000000000004">
      <c r="A40" s="1" t="s">
        <v>323</v>
      </c>
      <c r="B40">
        <f>COUNTIF('2015 Grievance Tracking'!Q:Q, "Internal Investigation; Designated lead investigator will coordinate and pursue documented evidence. ")</f>
        <v>0</v>
      </c>
    </row>
    <row r="41" spans="1:2" x14ac:dyDescent="0.55000000000000004">
      <c r="A41" s="1" t="s">
        <v>324</v>
      </c>
      <c r="B41">
        <f>COUNTIF('2015 Grievance Tracking'!Q:Q, "Grievance Process;There is evidence of something which could be non-therapeutic. Supervisor, Manager, or Director will determine if staff behavior and/or programming was carried out appropriately.")</f>
        <v>0</v>
      </c>
    </row>
    <row r="42" spans="1:2" x14ac:dyDescent="0.55000000000000004">
      <c r="A42" s="1" t="s">
        <v>325</v>
      </c>
      <c r="B42">
        <f>COUNTIF('2015 Grievance Tracking'!Q:Q, "Safety Concern; This does not fit the description of a rights-based concern but is still being passed along as a resident's expression of a potential safety concern. ")</f>
        <v>0</v>
      </c>
    </row>
    <row r="43" spans="1:2" x14ac:dyDescent="0.55000000000000004">
      <c r="A43" s="1" t="s">
        <v>326</v>
      </c>
      <c r="B43">
        <f>COUNTIF('2015 Grievance Tracking'!Q:Q, "Therapeutic Concern; This does not fit the description of a rights-based concern but is still being passed along as a resident's expression of a concern which could impact treatment. ")</f>
        <v>0</v>
      </c>
    </row>
    <row r="44" spans="1:2" x14ac:dyDescent="0.55000000000000004">
      <c r="A44" s="1" t="s">
        <v>327</v>
      </c>
      <c r="B44">
        <f>COUNTIF('2015 Grievance Tracking'!Q:Q, "Self-Advocacy: The resident expressed struggling with a challenge or provided a suggestion for improving something related to his or her care.")</f>
        <v>0</v>
      </c>
    </row>
    <row r="45" spans="1:2" x14ac:dyDescent="0.55000000000000004">
      <c r="A45" s="1" t="s">
        <v>328</v>
      </c>
      <c r="B45">
        <f>COUNTIF('2015 Grievance Tracking'!Q:Q, "Appeal; Resident has appealed results of a prior complaint, grievance, or investigation.  Appeal committee will be notified.")</f>
        <v>0</v>
      </c>
    </row>
    <row r="46" spans="1:2" x14ac:dyDescent="0.55000000000000004">
      <c r="A46" s="1" t="s">
        <v>329</v>
      </c>
      <c r="B46">
        <f>COUNTIF('2015 Grievance Tracking'!Q:Q, "Dismissal; There is no merit in pursuing this concern. It is dismissed due to the nature of the situation or through the resident's own request. ")</f>
        <v>0</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theme="4"/>
  </sheetPr>
  <dimension ref="A2:H368"/>
  <sheetViews>
    <sheetView topLeftCell="A7" workbookViewId="0">
      <selection activeCell="C78" sqref="C78"/>
    </sheetView>
  </sheetViews>
  <sheetFormatPr defaultRowHeight="14.4" x14ac:dyDescent="0.55000000000000004"/>
  <cols>
    <col min="1" max="1" width="17.734375" customWidth="1"/>
    <col min="2" max="2" width="9.15625" style="93" customWidth="1"/>
    <col min="4" max="4" width="5.26171875" customWidth="1"/>
  </cols>
  <sheetData>
    <row r="2" spans="1:8" x14ac:dyDescent="0.55000000000000004">
      <c r="A2" s="156" t="s">
        <v>295</v>
      </c>
      <c r="B2" s="163"/>
      <c r="C2" s="157"/>
      <c r="D2" s="157"/>
      <c r="E2" s="157"/>
      <c r="F2" s="158"/>
    </row>
    <row r="3" spans="1:8" x14ac:dyDescent="0.55000000000000004">
      <c r="A3" s="166" t="s">
        <v>296</v>
      </c>
      <c r="B3" s="168" t="s">
        <v>60</v>
      </c>
      <c r="C3" s="159"/>
      <c r="D3" s="159"/>
      <c r="E3" s="170" t="s">
        <v>63</v>
      </c>
      <c r="F3" s="160"/>
    </row>
    <row r="4" spans="1:8" x14ac:dyDescent="0.55000000000000004">
      <c r="A4" s="166" t="s">
        <v>49</v>
      </c>
      <c r="B4" s="168" t="s">
        <v>61</v>
      </c>
      <c r="C4" s="159"/>
      <c r="D4" s="159"/>
      <c r="E4" s="159"/>
      <c r="F4" s="160"/>
      <c r="H4" t="s">
        <v>306</v>
      </c>
    </row>
    <row r="5" spans="1:8" x14ac:dyDescent="0.55000000000000004">
      <c r="A5" s="166" t="s">
        <v>50</v>
      </c>
      <c r="B5" s="168" t="s">
        <v>62</v>
      </c>
      <c r="C5" s="159"/>
      <c r="D5" s="159"/>
      <c r="E5" s="159"/>
      <c r="F5" s="160"/>
    </row>
    <row r="6" spans="1:8" x14ac:dyDescent="0.55000000000000004">
      <c r="A6" s="167" t="s">
        <v>51</v>
      </c>
      <c r="B6" s="169" t="s">
        <v>64</v>
      </c>
      <c r="C6" s="161"/>
      <c r="D6" s="161"/>
      <c r="E6" s="161"/>
      <c r="F6" s="162"/>
    </row>
    <row r="7" spans="1:8" s="35" customFormat="1" x14ac:dyDescent="0.55000000000000004">
      <c r="B7" s="164"/>
    </row>
    <row r="8" spans="1:8" x14ac:dyDescent="0.55000000000000004">
      <c r="A8" s="19" t="s">
        <v>293</v>
      </c>
    </row>
    <row r="9" spans="1:8" x14ac:dyDescent="0.55000000000000004">
      <c r="A9" t="s">
        <v>270</v>
      </c>
    </row>
    <row r="10" spans="1:8" x14ac:dyDescent="0.55000000000000004">
      <c r="A10" s="19" t="s">
        <v>244</v>
      </c>
      <c r="B10" s="132" t="s">
        <v>245</v>
      </c>
    </row>
    <row r="11" spans="1:8" x14ac:dyDescent="0.55000000000000004">
      <c r="A11" s="128" t="s">
        <v>246</v>
      </c>
      <c r="B11" s="93">
        <f>COUNTIFS('2015 Grievance Tracking'!E:E, "&gt;="&amp;TIME(0,0,0),'2015 Grievance Tracking'!E:E, "&lt;"&amp;TIME(1,0,0))</f>
        <v>0</v>
      </c>
    </row>
    <row r="12" spans="1:8" x14ac:dyDescent="0.55000000000000004">
      <c r="A12" s="128" t="s">
        <v>247</v>
      </c>
      <c r="B12" s="93">
        <f>COUNTIFS('2015 Grievance Tracking'!E:E, "&gt;="&amp;TIME(1,0,0),'2015 Grievance Tracking'!E:E, "&lt;"&amp;TIME(2,0,0))</f>
        <v>0</v>
      </c>
    </row>
    <row r="13" spans="1:8" x14ac:dyDescent="0.55000000000000004">
      <c r="A13" s="128" t="s">
        <v>248</v>
      </c>
      <c r="B13" s="93">
        <f>COUNTIFS('2015 Grievance Tracking'!E:E, "&gt;="&amp;TIME(2,0,0),'2015 Grievance Tracking'!E:E, "&lt;"&amp;TIME(3,0,0))</f>
        <v>0</v>
      </c>
    </row>
    <row r="14" spans="1:8" x14ac:dyDescent="0.55000000000000004">
      <c r="A14" s="128" t="s">
        <v>249</v>
      </c>
      <c r="B14" s="93">
        <f>COUNTIFS('2015 Grievance Tracking'!E:E,"&gt;="&amp;TIME(3,0,0),'2015 Grievance Tracking'!E:E, "&lt;"&amp;TIME(4,0,0))</f>
        <v>0</v>
      </c>
    </row>
    <row r="15" spans="1:8" x14ac:dyDescent="0.55000000000000004">
      <c r="A15" s="128" t="s">
        <v>250</v>
      </c>
      <c r="B15" s="93">
        <f>COUNTIFS('2015 Grievance Tracking'!E:E, "&gt;="&amp;TIME(4,0,0),'2015 Grievance Tracking'!E:E, "&lt;"&amp;TIME(5,0,0))</f>
        <v>0</v>
      </c>
    </row>
    <row r="16" spans="1:8" x14ac:dyDescent="0.55000000000000004">
      <c r="A16" s="128" t="s">
        <v>251</v>
      </c>
      <c r="B16" s="93">
        <f>COUNTIFS('2015 Grievance Tracking'!E:E, "&gt;="&amp;TIME(5,0,0),'2015 Grievance Tracking'!E:E, "&lt;"&amp;TIME(6,0,0))</f>
        <v>0</v>
      </c>
    </row>
    <row r="17" spans="1:2" x14ac:dyDescent="0.55000000000000004">
      <c r="A17" s="128" t="s">
        <v>252</v>
      </c>
      <c r="B17" s="93">
        <f>COUNTIFS('2015 Grievance Tracking'!E:E, "&gt;="&amp;TIME(6,0,0),'2015 Grievance Tracking'!E:E, "&lt;"&amp;TIME(7,0,0))</f>
        <v>0</v>
      </c>
    </row>
    <row r="18" spans="1:2" x14ac:dyDescent="0.55000000000000004">
      <c r="A18" s="128" t="s">
        <v>253</v>
      </c>
      <c r="B18" s="93">
        <f>COUNTIFS('2015 Grievance Tracking'!E:E, "&gt;="&amp;TIME(7,0,0),'2015 Grievance Tracking'!E:E, "&lt;"&amp;TIME(8,0,0))</f>
        <v>0</v>
      </c>
    </row>
    <row r="19" spans="1:2" x14ac:dyDescent="0.55000000000000004">
      <c r="A19" s="128" t="s">
        <v>269</v>
      </c>
      <c r="B19" s="93">
        <f>COUNTIFS('2015 Grievance Tracking'!E:E, "&gt;="&amp;TIME(8,0,0),'2015 Grievance Tracking'!E:E, "&lt;"&amp;TIME(9,0,0))</f>
        <v>0</v>
      </c>
    </row>
    <row r="20" spans="1:2" x14ac:dyDescent="0.55000000000000004">
      <c r="A20" s="128" t="s">
        <v>254</v>
      </c>
      <c r="B20" s="93">
        <f>COUNTIFS('2015 Grievance Tracking'!E:E, "&gt;="&amp;TIME(9,0,0),'2015 Grievance Tracking'!E:E, "&lt;"&amp;TIME(10,0,0))</f>
        <v>0</v>
      </c>
    </row>
    <row r="21" spans="1:2" x14ac:dyDescent="0.55000000000000004">
      <c r="A21" s="128" t="s">
        <v>255</v>
      </c>
      <c r="B21" s="93">
        <f>COUNTIFS('2015 Grievance Tracking'!E:E, "&gt;="&amp;TIME(10,0,0),'2015 Grievance Tracking'!E:E, "&lt;"&amp;TIME(11,0,0))</f>
        <v>0</v>
      </c>
    </row>
    <row r="22" spans="1:2" x14ac:dyDescent="0.55000000000000004">
      <c r="A22" s="128" t="s">
        <v>256</v>
      </c>
      <c r="B22" s="93">
        <f>COUNTIFS('2015 Grievance Tracking'!E:E, "&gt;="&amp;TIME(11,0,0),'2015 Grievance Tracking'!E:E, "&lt;"&amp;TIME(12,0,0))</f>
        <v>0</v>
      </c>
    </row>
    <row r="23" spans="1:2" x14ac:dyDescent="0.55000000000000004">
      <c r="A23" s="128" t="s">
        <v>257</v>
      </c>
      <c r="B23" s="93">
        <f>COUNTIFS('2015 Grievance Tracking'!E:E, "&gt;="&amp;TIME(12,0,0),'2015 Grievance Tracking'!E:E, "&lt;"&amp;TIME(13,0,0))</f>
        <v>0</v>
      </c>
    </row>
    <row r="24" spans="1:2" x14ac:dyDescent="0.55000000000000004">
      <c r="A24" s="128" t="s">
        <v>258</v>
      </c>
      <c r="B24" s="93">
        <f>COUNTIFS('2015 Grievance Tracking'!E:E, "&gt;="&amp;TIME(13,0,0),'2015 Grievance Tracking'!E:E, "&lt;"&amp;TIME(14,0,0))</f>
        <v>0</v>
      </c>
    </row>
    <row r="25" spans="1:2" x14ac:dyDescent="0.55000000000000004">
      <c r="A25" s="128" t="s">
        <v>259</v>
      </c>
      <c r="B25" s="93">
        <f>COUNTIFS('2015 Grievance Tracking'!E:E, "&gt;="&amp;TIME(14,0,0),'2015 Grievance Tracking'!E:E, "&lt;"&amp;TIME(15,0,0))</f>
        <v>0</v>
      </c>
    </row>
    <row r="26" spans="1:2" x14ac:dyDescent="0.55000000000000004">
      <c r="A26" s="128" t="s">
        <v>260</v>
      </c>
      <c r="B26" s="93">
        <f>COUNTIFS('2015 Grievance Tracking'!E:E, "&gt;="&amp;TIME(15,0,0),'2015 Grievance Tracking'!E:E, "&lt;"&amp;TIME(16,0,0))</f>
        <v>0</v>
      </c>
    </row>
    <row r="27" spans="1:2" x14ac:dyDescent="0.55000000000000004">
      <c r="A27" s="128" t="s">
        <v>261</v>
      </c>
      <c r="B27" s="93">
        <f>COUNTIFS('2015 Grievance Tracking'!E:E, "&gt;="&amp;TIME(16,0,0),'2015 Grievance Tracking'!E:E, "&lt;"&amp;TIME(17,0,0))</f>
        <v>0</v>
      </c>
    </row>
    <row r="28" spans="1:2" x14ac:dyDescent="0.55000000000000004">
      <c r="A28" s="128" t="s">
        <v>262</v>
      </c>
      <c r="B28" s="93">
        <f>COUNTIFS('2015 Grievance Tracking'!E:E, "&gt;="&amp;TIME(17,0,0),'2015 Grievance Tracking'!E:E, "&lt;"&amp;TIME(18,0,0))</f>
        <v>0</v>
      </c>
    </row>
    <row r="29" spans="1:2" x14ac:dyDescent="0.55000000000000004">
      <c r="A29" s="128" t="s">
        <v>263</v>
      </c>
      <c r="B29" s="93">
        <f>COUNTIFS('2015 Grievance Tracking'!E:E, "&gt;="&amp;TIME(18,0,0),'2015 Grievance Tracking'!E:E, "&lt;"&amp;TIME(19,0,0))</f>
        <v>0</v>
      </c>
    </row>
    <row r="30" spans="1:2" x14ac:dyDescent="0.55000000000000004">
      <c r="A30" s="128" t="s">
        <v>264</v>
      </c>
      <c r="B30" s="93">
        <f>COUNTIFS('2015 Grievance Tracking'!E:E, "&gt;="&amp;TIME(19,0,0),'2015 Grievance Tracking'!E:E, "&lt;"&amp;TIME(20,0,0))</f>
        <v>0</v>
      </c>
    </row>
    <row r="31" spans="1:2" x14ac:dyDescent="0.55000000000000004">
      <c r="A31" s="128" t="s">
        <v>265</v>
      </c>
      <c r="B31" s="93">
        <f>COUNTIFS('2015 Grievance Tracking'!E:E, "&gt;="&amp;TIME(20,0,0),'2015 Grievance Tracking'!E:E, "&lt;"&amp;TIME(21,0,0))</f>
        <v>0</v>
      </c>
    </row>
    <row r="32" spans="1:2" x14ac:dyDescent="0.55000000000000004">
      <c r="A32" s="128" t="s">
        <v>266</v>
      </c>
      <c r="B32" s="93">
        <f>COUNTIFS('2015 Grievance Tracking'!E:E, "&gt;="&amp;TIME(21,0,0),'2015 Grievance Tracking'!E:E, "&lt;"&amp;TIME(22,0,0))</f>
        <v>0</v>
      </c>
    </row>
    <row r="33" spans="1:2" x14ac:dyDescent="0.55000000000000004">
      <c r="A33" s="128" t="s">
        <v>267</v>
      </c>
      <c r="B33" s="93">
        <f>COUNTIFS('2015 Grievance Tracking'!E:E, "&gt;="&amp;TIME(22,0,0),'2015 Grievance Tracking'!E:E, "&lt;"&amp;TIME(23,0,0))</f>
        <v>0</v>
      </c>
    </row>
    <row r="34" spans="1:2" x14ac:dyDescent="0.55000000000000004">
      <c r="A34" s="128" t="s">
        <v>268</v>
      </c>
      <c r="B34" s="93">
        <f>COUNTIFS('2015 Grievance Tracking'!E:E, "&gt;="&amp;TIME(23,0,0),'2015 Grievance Tracking'!E:E, "&lt;"&amp;TIME(0,0,0))</f>
        <v>0</v>
      </c>
    </row>
    <row r="35" spans="1:2" x14ac:dyDescent="0.55000000000000004">
      <c r="A35" s="128"/>
    </row>
    <row r="36" spans="1:2" x14ac:dyDescent="0.55000000000000004">
      <c r="A36" s="128"/>
    </row>
    <row r="37" spans="1:2" x14ac:dyDescent="0.55000000000000004">
      <c r="A37" s="128" t="s">
        <v>304</v>
      </c>
    </row>
    <row r="38" spans="1:2" x14ac:dyDescent="0.55000000000000004">
      <c r="A38" s="19" t="s">
        <v>200</v>
      </c>
    </row>
    <row r="39" spans="1:2" x14ac:dyDescent="0.55000000000000004">
      <c r="A39" s="1" t="s">
        <v>41</v>
      </c>
      <c r="B39" s="93">
        <f>COUNTIF('2015 Grievance Tracking'!D:D, "Monday")</f>
        <v>0</v>
      </c>
    </row>
    <row r="40" spans="1:2" x14ac:dyDescent="0.55000000000000004">
      <c r="A40" s="1" t="s">
        <v>42</v>
      </c>
      <c r="B40" s="93">
        <f>COUNTIF('2015 Grievance Tracking'!D:D, "Tuesday")</f>
        <v>0</v>
      </c>
    </row>
    <row r="41" spans="1:2" ht="21" customHeight="1" x14ac:dyDescent="0.55000000000000004">
      <c r="A41" s="1" t="s">
        <v>43</v>
      </c>
      <c r="B41" s="93">
        <f>COUNTIF('2015 Grievance Tracking'!D:D, "Wednesday")</f>
        <v>0</v>
      </c>
    </row>
    <row r="42" spans="1:2" x14ac:dyDescent="0.55000000000000004">
      <c r="A42" s="1" t="s">
        <v>44</v>
      </c>
      <c r="B42" s="93">
        <f>COUNTIF('2015 Grievance Tracking'!D:D, "Thursday")</f>
        <v>0</v>
      </c>
    </row>
    <row r="43" spans="1:2" x14ac:dyDescent="0.55000000000000004">
      <c r="A43" s="1" t="s">
        <v>45</v>
      </c>
      <c r="B43" s="93">
        <f>COUNTIF('2015 Grievance Tracking'!D:D, "Friday")</f>
        <v>0</v>
      </c>
    </row>
    <row r="44" spans="1:2" x14ac:dyDescent="0.55000000000000004">
      <c r="A44" s="1" t="s">
        <v>46</v>
      </c>
      <c r="B44" s="93">
        <f>COUNTIF('2015 Grievance Tracking'!D:D, "Saturday")</f>
        <v>0</v>
      </c>
    </row>
    <row r="45" spans="1:2" x14ac:dyDescent="0.55000000000000004">
      <c r="A45" s="1" t="s">
        <v>47</v>
      </c>
      <c r="B45" s="93">
        <f>COUNTIF('2015 Grievance Tracking'!D:D, "Sunday")</f>
        <v>0</v>
      </c>
    </row>
    <row r="46" spans="1:2" ht="27.75" customHeight="1" x14ac:dyDescent="0.55000000000000004">
      <c r="A46" s="1" t="s">
        <v>201</v>
      </c>
      <c r="B46" s="93">
        <f>COUNTIF('2015 Grievance Tracking'!D:D, "Over a period of time")</f>
        <v>0</v>
      </c>
    </row>
    <row r="48" spans="1:2" x14ac:dyDescent="0.55000000000000004">
      <c r="A48" s="165" t="s">
        <v>305</v>
      </c>
    </row>
    <row r="49" spans="1:2" s="35" customFormat="1" ht="6" customHeight="1" x14ac:dyDescent="0.55000000000000004">
      <c r="B49" s="164"/>
    </row>
    <row r="51" spans="1:2" x14ac:dyDescent="0.55000000000000004">
      <c r="A51" s="19" t="s">
        <v>294</v>
      </c>
    </row>
    <row r="52" spans="1:2" x14ac:dyDescent="0.55000000000000004">
      <c r="A52" s="19" t="s">
        <v>244</v>
      </c>
      <c r="B52" s="132" t="s">
        <v>245</v>
      </c>
    </row>
    <row r="53" spans="1:2" x14ac:dyDescent="0.55000000000000004">
      <c r="A53" s="128" t="s">
        <v>246</v>
      </c>
      <c r="B53" s="93">
        <f>COUNTIFS('2015 Grievance Tracking'!M:M, "New Choices",'2015 Grievance Tracking'!E:E, "&gt;="&amp;TIME(0,0,0),'2015 Grievance Tracking'!E:E, "&lt;"&amp;TIME(1,0,0))</f>
        <v>0</v>
      </c>
    </row>
    <row r="54" spans="1:2" x14ac:dyDescent="0.55000000000000004">
      <c r="A54" s="128" t="s">
        <v>247</v>
      </c>
      <c r="B54" s="93">
        <f>COUNTIFS('2015 Grievance Tracking'!M:M, "New Choices",'2015 Grievance Tracking'!E:E, "&gt;="&amp;TIME(1,0,0),'2015 Grievance Tracking'!E:E, "&lt;"&amp;TIME(2,0,0))</f>
        <v>0</v>
      </c>
    </row>
    <row r="55" spans="1:2" x14ac:dyDescent="0.55000000000000004">
      <c r="A55" s="128" t="s">
        <v>248</v>
      </c>
      <c r="B55" s="93">
        <f>COUNTIFS('2015 Grievance Tracking'!M:M, "New Choices",'2015 Grievance Tracking'!E:E, "&gt;="&amp;TIME(2,0,0),'2015 Grievance Tracking'!E:E, "&lt;"&amp;TIME(3,0,0))</f>
        <v>0</v>
      </c>
    </row>
    <row r="56" spans="1:2" x14ac:dyDescent="0.55000000000000004">
      <c r="A56" s="128" t="s">
        <v>249</v>
      </c>
      <c r="B56" s="93">
        <f>COUNTIFS('2015 Grievance Tracking'!M:M, "New Choices",'2015 Grievance Tracking'!E:E,"&gt;="&amp;TIME(3,0,0),'2015 Grievance Tracking'!E:E, "&lt;"&amp;TIME(4,0,0))</f>
        <v>0</v>
      </c>
    </row>
    <row r="57" spans="1:2" x14ac:dyDescent="0.55000000000000004">
      <c r="A57" s="128" t="s">
        <v>250</v>
      </c>
      <c r="B57" s="93">
        <f>COUNTIFS('2015 Grievance Tracking'!M:M, "New Choices",'2015 Grievance Tracking'!E:E, "&gt;="&amp;TIME(4,0,0),'2015 Grievance Tracking'!E:E, "&lt;"&amp;TIME(5,0,0))</f>
        <v>0</v>
      </c>
    </row>
    <row r="58" spans="1:2" x14ac:dyDescent="0.55000000000000004">
      <c r="A58" s="128" t="s">
        <v>251</v>
      </c>
      <c r="B58" s="93">
        <f>COUNTIFS('2015 Grievance Tracking'!M:M, "New Choices",'2015 Grievance Tracking'!E:E, "&gt;="&amp;TIME(5,0,0),'2015 Grievance Tracking'!E:E, "&lt;"&amp;TIME(6,0,0))</f>
        <v>0</v>
      </c>
    </row>
    <row r="59" spans="1:2" x14ac:dyDescent="0.55000000000000004">
      <c r="A59" s="128" t="s">
        <v>252</v>
      </c>
      <c r="B59" s="93">
        <f>COUNTIFS('2015 Grievance Tracking'!M:M, "New Choices",'2015 Grievance Tracking'!E:E, "&gt;="&amp;TIME(6,0,0),'2015 Grievance Tracking'!E:E, "&lt;"&amp;TIME(7,0,0))</f>
        <v>0</v>
      </c>
    </row>
    <row r="60" spans="1:2" x14ac:dyDescent="0.55000000000000004">
      <c r="A60" s="128" t="s">
        <v>253</v>
      </c>
      <c r="B60" s="93">
        <f>COUNTIFS('2015 Grievance Tracking'!M:M, "New Choices",'2015 Grievance Tracking'!E:E, "&gt;="&amp;TIME(7,0,0),'2015 Grievance Tracking'!E:E, "&lt;"&amp;TIME(8,0,0))</f>
        <v>0</v>
      </c>
    </row>
    <row r="61" spans="1:2" x14ac:dyDescent="0.55000000000000004">
      <c r="A61" s="128" t="s">
        <v>269</v>
      </c>
      <c r="B61" s="93">
        <f>COUNTIFS('2015 Grievance Tracking'!M:M, "New Choices",'2015 Grievance Tracking'!E:E, "&gt;="&amp;TIME(8,0,0),'2015 Grievance Tracking'!E:E, "&lt;"&amp;TIME(9,0,0))</f>
        <v>0</v>
      </c>
    </row>
    <row r="62" spans="1:2" x14ac:dyDescent="0.55000000000000004">
      <c r="A62" s="128" t="s">
        <v>254</v>
      </c>
      <c r="B62" s="93">
        <f>COUNTIFS('2015 Grievance Tracking'!M:M, "New Choices",'2015 Grievance Tracking'!E:E, "&gt;="&amp;TIME(9,0,0),'2015 Grievance Tracking'!E:E, "&lt;"&amp;TIME(10,0,0))</f>
        <v>0</v>
      </c>
    </row>
    <row r="63" spans="1:2" x14ac:dyDescent="0.55000000000000004">
      <c r="A63" s="128" t="s">
        <v>255</v>
      </c>
      <c r="B63" s="93">
        <f>COUNTIFS('2015 Grievance Tracking'!M:M, "New Choices",'2015 Grievance Tracking'!E:E, "&gt;="&amp;TIME(10,0,0),'2015 Grievance Tracking'!E:E, "&lt;"&amp;TIME(11,0,0))</f>
        <v>0</v>
      </c>
    </row>
    <row r="64" spans="1:2" x14ac:dyDescent="0.55000000000000004">
      <c r="A64" s="128" t="s">
        <v>256</v>
      </c>
      <c r="B64" s="93">
        <f>COUNTIFS('2015 Grievance Tracking'!M:M, "New Choices",'2015 Grievance Tracking'!E:E, "&gt;="&amp;TIME(11,0,0),'2015 Grievance Tracking'!E:E, "&lt;"&amp;TIME(12,0,0))</f>
        <v>0</v>
      </c>
    </row>
    <row r="65" spans="1:2" x14ac:dyDescent="0.55000000000000004">
      <c r="A65" s="128" t="s">
        <v>257</v>
      </c>
      <c r="B65" s="93">
        <f>COUNTIFS('2015 Grievance Tracking'!M:M, "New Choices",'2015 Grievance Tracking'!E:E, "&gt;="&amp;TIME(12,0,0),'2015 Grievance Tracking'!E:E, "&lt;"&amp;TIME(13,0,0))</f>
        <v>0</v>
      </c>
    </row>
    <row r="66" spans="1:2" x14ac:dyDescent="0.55000000000000004">
      <c r="A66" s="128" t="s">
        <v>258</v>
      </c>
      <c r="B66" s="93">
        <f>COUNTIFS('2015 Grievance Tracking'!M:M, "New Choices",'2015 Grievance Tracking'!E:E, "&gt;="&amp;TIME(13,0,0),'2015 Grievance Tracking'!E:E, "&lt;"&amp;TIME(14,0,0))</f>
        <v>0</v>
      </c>
    </row>
    <row r="67" spans="1:2" x14ac:dyDescent="0.55000000000000004">
      <c r="A67" s="128" t="s">
        <v>259</v>
      </c>
      <c r="B67" s="93">
        <f>COUNTIFS('2015 Grievance Tracking'!M:M, "New Choices",'2015 Grievance Tracking'!E:E, "&gt;="&amp;TIME(14,0,0),'2015 Grievance Tracking'!E:E, "&lt;"&amp;TIME(15,0,0))</f>
        <v>0</v>
      </c>
    </row>
    <row r="68" spans="1:2" x14ac:dyDescent="0.55000000000000004">
      <c r="A68" s="128" t="s">
        <v>260</v>
      </c>
      <c r="B68" s="93">
        <f>COUNTIFS('2015 Grievance Tracking'!M:M, "New Choices",'2015 Grievance Tracking'!E:E, "&gt;="&amp;TIME(15,0,0),'2015 Grievance Tracking'!E:E, "&lt;"&amp;TIME(16,0,0))</f>
        <v>0</v>
      </c>
    </row>
    <row r="69" spans="1:2" x14ac:dyDescent="0.55000000000000004">
      <c r="A69" s="128" t="s">
        <v>261</v>
      </c>
      <c r="B69" s="93">
        <f>COUNTIFS('2015 Grievance Tracking'!M:M, "New Choices",'2015 Grievance Tracking'!E:E, "&gt;="&amp;TIME(16,0,0),'2015 Grievance Tracking'!E:E, "&lt;"&amp;TIME(17,0,0))</f>
        <v>0</v>
      </c>
    </row>
    <row r="70" spans="1:2" x14ac:dyDescent="0.55000000000000004">
      <c r="A70" s="128" t="s">
        <v>262</v>
      </c>
      <c r="B70" s="93">
        <f>COUNTIFS('2015 Grievance Tracking'!M:M, "New Choices",'2015 Grievance Tracking'!E:E, "&gt;="&amp;TIME(17,0,0),'2015 Grievance Tracking'!E:E, "&lt;"&amp;TIME(18,0,0))</f>
        <v>0</v>
      </c>
    </row>
    <row r="71" spans="1:2" x14ac:dyDescent="0.55000000000000004">
      <c r="A71" s="128" t="s">
        <v>263</v>
      </c>
      <c r="B71" s="93">
        <f>COUNTIFS('2015 Grievance Tracking'!M:M, "New Choices",'2015 Grievance Tracking'!E:E, "&gt;="&amp;TIME(18,0,0),'2015 Grievance Tracking'!E:E, "&lt;"&amp;TIME(19,0,0))</f>
        <v>0</v>
      </c>
    </row>
    <row r="72" spans="1:2" x14ac:dyDescent="0.55000000000000004">
      <c r="A72" s="128" t="s">
        <v>264</v>
      </c>
      <c r="B72" s="93">
        <f>COUNTIFS('2015 Grievance Tracking'!M:M, "New Choices",'2015 Grievance Tracking'!E:E, "&gt;="&amp;TIME(19,0,0),'2015 Grievance Tracking'!E:E, "&lt;"&amp;TIME(20,0,0))</f>
        <v>0</v>
      </c>
    </row>
    <row r="73" spans="1:2" x14ac:dyDescent="0.55000000000000004">
      <c r="A73" s="128" t="s">
        <v>265</v>
      </c>
      <c r="B73" s="93">
        <f>COUNTIFS('2015 Grievance Tracking'!M:M, "New Choices",'2015 Grievance Tracking'!E:E, "&gt;="&amp;TIME(20,0,0),'2015 Grievance Tracking'!E:E, "&lt;"&amp;TIME(21,0,0))</f>
        <v>0</v>
      </c>
    </row>
    <row r="74" spans="1:2" x14ac:dyDescent="0.55000000000000004">
      <c r="A74" s="128" t="s">
        <v>266</v>
      </c>
      <c r="B74" s="93">
        <f>COUNTIFS('2015 Grievance Tracking'!M:M, "New Choices",'2015 Grievance Tracking'!E:E, "&gt;="&amp;TIME(21,0,0),'2015 Grievance Tracking'!E:E, "&lt;"&amp;TIME(22,0,0))</f>
        <v>0</v>
      </c>
    </row>
    <row r="75" spans="1:2" x14ac:dyDescent="0.55000000000000004">
      <c r="A75" s="128" t="s">
        <v>267</v>
      </c>
      <c r="B75" s="93">
        <f>COUNTIFS('2015 Grievance Tracking'!M:M, "New Choices",'2015 Grievance Tracking'!E:E, "&gt;="&amp;TIME(22,0,0),'2015 Grievance Tracking'!E:E, "&lt;"&amp;TIME(23,0,0))</f>
        <v>0</v>
      </c>
    </row>
    <row r="76" spans="1:2" x14ac:dyDescent="0.55000000000000004">
      <c r="A76" s="128" t="s">
        <v>268</v>
      </c>
      <c r="B76" s="93">
        <f>COUNTIFS('2015 Grievance Tracking'!M:M, "New Choices",'2015 Grievance Tracking'!E:E, "&gt;="&amp;TIME(23,0,0),'2015 Grievance Tracking'!E:E, "&lt;"&amp;TIME(0,0,0))</f>
        <v>0</v>
      </c>
    </row>
    <row r="78" spans="1:2" x14ac:dyDescent="0.55000000000000004">
      <c r="A78" s="19" t="s">
        <v>200</v>
      </c>
    </row>
    <row r="79" spans="1:2" x14ac:dyDescent="0.55000000000000004">
      <c r="A79" s="1" t="s">
        <v>41</v>
      </c>
      <c r="B79" s="93">
        <f>COUNTIFS('2015 Grievance Tracking'!M:M, "New Choices",'2015 Grievance Tracking'!D:D, "Monday")</f>
        <v>0</v>
      </c>
    </row>
    <row r="80" spans="1:2" x14ac:dyDescent="0.55000000000000004">
      <c r="A80" s="1" t="s">
        <v>42</v>
      </c>
      <c r="B80" s="93">
        <f>COUNTIFS('2015 Grievance Tracking'!M:M, "New Choices",'2015 Grievance Tracking'!D:D, "Tuesday")</f>
        <v>0</v>
      </c>
    </row>
    <row r="81" spans="1:2" x14ac:dyDescent="0.55000000000000004">
      <c r="A81" s="1" t="s">
        <v>43</v>
      </c>
      <c r="B81" s="93">
        <f>COUNTIFS('2015 Grievance Tracking'!M:M, "New Choices",'2015 Grievance Tracking'!D:D, "Wednesday")</f>
        <v>0</v>
      </c>
    </row>
    <row r="82" spans="1:2" x14ac:dyDescent="0.55000000000000004">
      <c r="A82" s="1" t="s">
        <v>44</v>
      </c>
      <c r="B82" s="93">
        <f>COUNTIFS('2015 Grievance Tracking'!M:M, "New Choices",'2015 Grievance Tracking'!D:D, "Thursday")</f>
        <v>0</v>
      </c>
    </row>
    <row r="83" spans="1:2" x14ac:dyDescent="0.55000000000000004">
      <c r="A83" s="1" t="s">
        <v>45</v>
      </c>
      <c r="B83" s="93">
        <f>COUNTIFS('2015 Grievance Tracking'!M:M, "New Choices",'2015 Grievance Tracking'!D:D, "Friday")</f>
        <v>0</v>
      </c>
    </row>
    <row r="84" spans="1:2" x14ac:dyDescent="0.55000000000000004">
      <c r="A84" s="1" t="s">
        <v>46</v>
      </c>
      <c r="B84" s="93">
        <f>COUNTIFS('2015 Grievance Tracking'!M:M, "New Choices",'2015 Grievance Tracking'!D:D, "Saturday")</f>
        <v>0</v>
      </c>
    </row>
    <row r="85" spans="1:2" x14ac:dyDescent="0.55000000000000004">
      <c r="A85" s="1" t="s">
        <v>47</v>
      </c>
      <c r="B85" s="93">
        <f>COUNTIFS('2015 Grievance Tracking'!M:M, "New Choices",'2015 Grievance Tracking'!D:D, "Sunday")</f>
        <v>0</v>
      </c>
    </row>
    <row r="86" spans="1:2" x14ac:dyDescent="0.55000000000000004">
      <c r="A86" s="1" t="s">
        <v>201</v>
      </c>
      <c r="B86" s="93">
        <f>COUNTIFS('2015 Grievance Tracking'!M:M, "New Choices",'2015 Grievance Tracking'!D:D, "Over a period of time")</f>
        <v>0</v>
      </c>
    </row>
    <row r="87" spans="1:2" x14ac:dyDescent="0.55000000000000004">
      <c r="A87" s="1"/>
    </row>
    <row r="88" spans="1:2" x14ac:dyDescent="0.55000000000000004">
      <c r="A88" s="165" t="s">
        <v>305</v>
      </c>
    </row>
    <row r="89" spans="1:2" s="35" customFormat="1" ht="6.75" customHeight="1" x14ac:dyDescent="0.55000000000000004">
      <c r="B89" s="164"/>
    </row>
    <row r="91" spans="1:2" x14ac:dyDescent="0.55000000000000004">
      <c r="A91" s="19" t="s">
        <v>297</v>
      </c>
    </row>
    <row r="92" spans="1:2" x14ac:dyDescent="0.55000000000000004">
      <c r="A92" s="19" t="s">
        <v>244</v>
      </c>
      <c r="B92" s="132" t="s">
        <v>245</v>
      </c>
    </row>
    <row r="93" spans="1:2" x14ac:dyDescent="0.55000000000000004">
      <c r="A93" s="128" t="s">
        <v>246</v>
      </c>
      <c r="B93" s="93">
        <f>COUNTIFS('2015 Grievance Tracking'!M:M, "Safe Harbor",'2015 Grievance Tracking'!E:E, "&gt;="&amp;TIME(0,0,0),'2015 Grievance Tracking'!E:E, "&lt;"&amp;TIME(1,0,0))</f>
        <v>0</v>
      </c>
    </row>
    <row r="94" spans="1:2" x14ac:dyDescent="0.55000000000000004">
      <c r="A94" s="128" t="s">
        <v>247</v>
      </c>
      <c r="B94" s="93">
        <f>COUNTIFS('2015 Grievance Tracking'!M:M, "Safe Harbor",'2015 Grievance Tracking'!E:E, "&gt;="&amp;TIME(1,0,0),'2015 Grievance Tracking'!E:E, "&lt;"&amp;TIME(2,0,0))</f>
        <v>0</v>
      </c>
    </row>
    <row r="95" spans="1:2" x14ac:dyDescent="0.55000000000000004">
      <c r="A95" s="128" t="s">
        <v>248</v>
      </c>
      <c r="B95" s="93">
        <f>COUNTIFS('2015 Grievance Tracking'!M:M, "Safe Harbor",'2015 Grievance Tracking'!E:E, "&gt;="&amp;TIME(2,0,0),'2015 Grievance Tracking'!E:E, "&lt;"&amp;TIME(3,0,0))</f>
        <v>0</v>
      </c>
    </row>
    <row r="96" spans="1:2" x14ac:dyDescent="0.55000000000000004">
      <c r="A96" s="128" t="s">
        <v>249</v>
      </c>
      <c r="B96" s="93">
        <f>COUNTIFS('2015 Grievance Tracking'!M:M, "Safe Harbor",'2015 Grievance Tracking'!E:E,"&gt;="&amp;TIME(3,0,0),'2015 Grievance Tracking'!E:E, "&lt;"&amp;TIME(4,0,0))</f>
        <v>0</v>
      </c>
    </row>
    <row r="97" spans="1:2" x14ac:dyDescent="0.55000000000000004">
      <c r="A97" s="128" t="s">
        <v>250</v>
      </c>
      <c r="B97" s="93">
        <f>COUNTIFS('2015 Grievance Tracking'!M:M, "Safe Harbor",'2015 Grievance Tracking'!E:E, "&gt;="&amp;TIME(4,0,0),'2015 Grievance Tracking'!E:E, "&lt;"&amp;TIME(5,0,0))</f>
        <v>0</v>
      </c>
    </row>
    <row r="98" spans="1:2" x14ac:dyDescent="0.55000000000000004">
      <c r="A98" s="128" t="s">
        <v>251</v>
      </c>
      <c r="B98" s="93">
        <f>COUNTIFS('2015 Grievance Tracking'!M:M, "Safe Harbor",'2015 Grievance Tracking'!E:E, "&gt;="&amp;TIME(5,0,0),'2015 Grievance Tracking'!E:E, "&lt;"&amp;TIME(6,0,0))</f>
        <v>0</v>
      </c>
    </row>
    <row r="99" spans="1:2" x14ac:dyDescent="0.55000000000000004">
      <c r="A99" s="128" t="s">
        <v>252</v>
      </c>
      <c r="B99" s="93">
        <f>COUNTIFS('2015 Grievance Tracking'!M:M, "Safe Harbor",'2015 Grievance Tracking'!E:E, "&gt;="&amp;TIME(6,0,0),'2015 Grievance Tracking'!E:E, "&lt;"&amp;TIME(7,0,0))</f>
        <v>0</v>
      </c>
    </row>
    <row r="100" spans="1:2" x14ac:dyDescent="0.55000000000000004">
      <c r="A100" s="128" t="s">
        <v>253</v>
      </c>
      <c r="B100" s="93">
        <f>COUNTIFS('2015 Grievance Tracking'!M:M, "Safe Harbor",'2015 Grievance Tracking'!E:E, "&gt;="&amp;TIME(7,0,0),'2015 Grievance Tracking'!E:E, "&lt;"&amp;TIME(8,0,0))</f>
        <v>0</v>
      </c>
    </row>
    <row r="101" spans="1:2" x14ac:dyDescent="0.55000000000000004">
      <c r="A101" s="128" t="s">
        <v>269</v>
      </c>
      <c r="B101" s="93">
        <f>COUNTIFS('2015 Grievance Tracking'!M:M, "Safe Harbor",'2015 Grievance Tracking'!E:E, "&gt;="&amp;TIME(8,0,0),'2015 Grievance Tracking'!E:E, "&lt;"&amp;TIME(9,0,0))</f>
        <v>0</v>
      </c>
    </row>
    <row r="102" spans="1:2" x14ac:dyDescent="0.55000000000000004">
      <c r="A102" s="128" t="s">
        <v>254</v>
      </c>
      <c r="B102" s="93">
        <f>COUNTIFS('2015 Grievance Tracking'!M:M, "Safe Harbor",'2015 Grievance Tracking'!E:E, "&gt;="&amp;TIME(9,0,0),'2015 Grievance Tracking'!E:E, "&lt;"&amp;TIME(10,0,0))</f>
        <v>0</v>
      </c>
    </row>
    <row r="103" spans="1:2" x14ac:dyDescent="0.55000000000000004">
      <c r="A103" s="128" t="s">
        <v>255</v>
      </c>
      <c r="B103" s="93">
        <f>COUNTIFS('2015 Grievance Tracking'!M:M, "Safe Harbor",'2015 Grievance Tracking'!E:E, "&gt;="&amp;TIME(10,0,0),'2015 Grievance Tracking'!E:E, "&lt;"&amp;TIME(11,0,0))</f>
        <v>0</v>
      </c>
    </row>
    <row r="104" spans="1:2" x14ac:dyDescent="0.55000000000000004">
      <c r="A104" s="128" t="s">
        <v>256</v>
      </c>
      <c r="B104" s="93">
        <f>COUNTIFS('2015 Grievance Tracking'!M:M, "Safe Harbor",'2015 Grievance Tracking'!E:E, "&gt;="&amp;TIME(11,0,0),'2015 Grievance Tracking'!E:E, "&lt;"&amp;TIME(12,0,0))</f>
        <v>0</v>
      </c>
    </row>
    <row r="105" spans="1:2" x14ac:dyDescent="0.55000000000000004">
      <c r="A105" s="128" t="s">
        <v>257</v>
      </c>
      <c r="B105" s="93">
        <f>COUNTIFS('2015 Grievance Tracking'!M:M, "Safe Harbor",'2015 Grievance Tracking'!E:E, "&gt;="&amp;TIME(12,0,0),'2015 Grievance Tracking'!E:E, "&lt;"&amp;TIME(13,0,0))</f>
        <v>0</v>
      </c>
    </row>
    <row r="106" spans="1:2" x14ac:dyDescent="0.55000000000000004">
      <c r="A106" s="128" t="s">
        <v>258</v>
      </c>
      <c r="B106" s="93">
        <f>COUNTIFS('2015 Grievance Tracking'!M:M, "Safe Harbor",'2015 Grievance Tracking'!E:E, "&gt;="&amp;TIME(13,0,0),'2015 Grievance Tracking'!E:E, "&lt;"&amp;TIME(14,0,0))</f>
        <v>0</v>
      </c>
    </row>
    <row r="107" spans="1:2" x14ac:dyDescent="0.55000000000000004">
      <c r="A107" s="128" t="s">
        <v>259</v>
      </c>
      <c r="B107" s="93">
        <f>COUNTIFS('2015 Grievance Tracking'!M:M, "Safe Harbor",'2015 Grievance Tracking'!E:E, "&gt;="&amp;TIME(14,0,0),'2015 Grievance Tracking'!E:E, "&lt;"&amp;TIME(15,0,0))</f>
        <v>0</v>
      </c>
    </row>
    <row r="108" spans="1:2" x14ac:dyDescent="0.55000000000000004">
      <c r="A108" s="128" t="s">
        <v>260</v>
      </c>
      <c r="B108" s="93">
        <f>COUNTIFS('2015 Grievance Tracking'!M:M, "Safe Harbor",'2015 Grievance Tracking'!E:E, "&gt;="&amp;TIME(15,0,0),'2015 Grievance Tracking'!E:E, "&lt;"&amp;TIME(16,0,0))</f>
        <v>0</v>
      </c>
    </row>
    <row r="109" spans="1:2" x14ac:dyDescent="0.55000000000000004">
      <c r="A109" s="128" t="s">
        <v>261</v>
      </c>
      <c r="B109" s="93">
        <f>COUNTIFS('2015 Grievance Tracking'!M:M, "Safe Harbor",'2015 Grievance Tracking'!E:E, "&gt;="&amp;TIME(16,0,0),'2015 Grievance Tracking'!E:E, "&lt;"&amp;TIME(17,0,0))</f>
        <v>0</v>
      </c>
    </row>
    <row r="110" spans="1:2" x14ac:dyDescent="0.55000000000000004">
      <c r="A110" s="128" t="s">
        <v>262</v>
      </c>
      <c r="B110" s="93">
        <f>COUNTIFS('2015 Grievance Tracking'!M:M, "Safe Harbor",'2015 Grievance Tracking'!E:E, "&gt;="&amp;TIME(17,0,0),'2015 Grievance Tracking'!E:E, "&lt;"&amp;TIME(18,0,0))</f>
        <v>0</v>
      </c>
    </row>
    <row r="111" spans="1:2" x14ac:dyDescent="0.55000000000000004">
      <c r="A111" s="128" t="s">
        <v>263</v>
      </c>
      <c r="B111" s="93">
        <f>COUNTIFS('2015 Grievance Tracking'!M:M, "Safe Harbor",'2015 Grievance Tracking'!E:E, "&gt;="&amp;TIME(18,0,0),'2015 Grievance Tracking'!E:E, "&lt;"&amp;TIME(19,0,0))</f>
        <v>0</v>
      </c>
    </row>
    <row r="112" spans="1:2" x14ac:dyDescent="0.55000000000000004">
      <c r="A112" s="128" t="s">
        <v>264</v>
      </c>
      <c r="B112" s="93">
        <f>COUNTIFS('2015 Grievance Tracking'!M:M, "Safe Harbor",'2015 Grievance Tracking'!E:E, "&gt;="&amp;TIME(19,0,0),'2015 Grievance Tracking'!E:E, "&lt;"&amp;TIME(20,0,0))</f>
        <v>0</v>
      </c>
    </row>
    <row r="113" spans="1:2" x14ac:dyDescent="0.55000000000000004">
      <c r="A113" s="128" t="s">
        <v>265</v>
      </c>
      <c r="B113" s="93">
        <f>COUNTIFS('2015 Grievance Tracking'!M:M, "Safe Harbor",'2015 Grievance Tracking'!E:E, "&gt;="&amp;TIME(20,0,0),'2015 Grievance Tracking'!E:E, "&lt;"&amp;TIME(21,0,0))</f>
        <v>0</v>
      </c>
    </row>
    <row r="114" spans="1:2" x14ac:dyDescent="0.55000000000000004">
      <c r="A114" s="128" t="s">
        <v>266</v>
      </c>
      <c r="B114" s="93">
        <f>COUNTIFS('2015 Grievance Tracking'!M:M, "Safe Harbor",'2015 Grievance Tracking'!E:E, "&gt;="&amp;TIME(21,0,0),'2015 Grievance Tracking'!E:E, "&lt;"&amp;TIME(22,0,0))</f>
        <v>0</v>
      </c>
    </row>
    <row r="115" spans="1:2" x14ac:dyDescent="0.55000000000000004">
      <c r="A115" s="128" t="s">
        <v>267</v>
      </c>
      <c r="B115" s="93">
        <f>COUNTIFS('2015 Grievance Tracking'!M:M, "Safe Harbor",'2015 Grievance Tracking'!E:E, "&gt;="&amp;TIME(22,0,0),'2015 Grievance Tracking'!E:E, "&lt;"&amp;TIME(23,0,0))</f>
        <v>0</v>
      </c>
    </row>
    <row r="116" spans="1:2" x14ac:dyDescent="0.55000000000000004">
      <c r="A116" s="128" t="s">
        <v>268</v>
      </c>
      <c r="B116" s="93">
        <f>COUNTIFS('2015 Grievance Tracking'!M:M, "Safe Harbor",'2015 Grievance Tracking'!E:E, "&gt;="&amp;TIME(23,0,0),'2015 Grievance Tracking'!E:E, "&lt;"&amp;TIME(0,0,0))</f>
        <v>0</v>
      </c>
    </row>
    <row r="118" spans="1:2" x14ac:dyDescent="0.55000000000000004">
      <c r="A118" s="19" t="s">
        <v>200</v>
      </c>
    </row>
    <row r="119" spans="1:2" x14ac:dyDescent="0.55000000000000004">
      <c r="A119" s="1" t="s">
        <v>41</v>
      </c>
      <c r="B119" s="93">
        <f>COUNTIFS('2015 Grievance Tracking'!M:M, "Safe Harbor",'2015 Grievance Tracking'!D:D, "Monday")</f>
        <v>0</v>
      </c>
    </row>
    <row r="120" spans="1:2" x14ac:dyDescent="0.55000000000000004">
      <c r="A120" s="1" t="s">
        <v>42</v>
      </c>
      <c r="B120" s="93">
        <f>COUNTIFS('2015 Grievance Tracking'!M:M, "Safe Harbor",'2015 Grievance Tracking'!D:D, "Tuesday")</f>
        <v>0</v>
      </c>
    </row>
    <row r="121" spans="1:2" x14ac:dyDescent="0.55000000000000004">
      <c r="A121" s="1" t="s">
        <v>43</v>
      </c>
      <c r="B121" s="93">
        <f>COUNTIFS('2015 Grievance Tracking'!M:M, "Safe Harbor",'2015 Grievance Tracking'!D:D, "Wednesday")</f>
        <v>0</v>
      </c>
    </row>
    <row r="122" spans="1:2" x14ac:dyDescent="0.55000000000000004">
      <c r="A122" s="1" t="s">
        <v>44</v>
      </c>
      <c r="B122" s="93">
        <f>COUNTIFS('2015 Grievance Tracking'!M:M, "Safe Harbor",'2015 Grievance Tracking'!D:D, "Thursday")</f>
        <v>0</v>
      </c>
    </row>
    <row r="123" spans="1:2" x14ac:dyDescent="0.55000000000000004">
      <c r="A123" s="1" t="s">
        <v>45</v>
      </c>
      <c r="B123" s="93">
        <f>COUNTIFS('2015 Grievance Tracking'!M:M, "Safe Harbor",'2015 Grievance Tracking'!D:D, "Friday")</f>
        <v>0</v>
      </c>
    </row>
    <row r="124" spans="1:2" x14ac:dyDescent="0.55000000000000004">
      <c r="A124" s="1" t="s">
        <v>46</v>
      </c>
      <c r="B124" s="93">
        <f>COUNTIFS('2015 Grievance Tracking'!M:M, "Safe Harbor",'2015 Grievance Tracking'!D:D, "Saturday")</f>
        <v>0</v>
      </c>
    </row>
    <row r="125" spans="1:2" x14ac:dyDescent="0.55000000000000004">
      <c r="A125" s="1" t="s">
        <v>47</v>
      </c>
      <c r="B125" s="93">
        <f>COUNTIFS('2015 Grievance Tracking'!M:M, "Safe Harbor",'2015 Grievance Tracking'!D:D, "Sunday")</f>
        <v>0</v>
      </c>
    </row>
    <row r="126" spans="1:2" x14ac:dyDescent="0.55000000000000004">
      <c r="A126" s="1" t="s">
        <v>201</v>
      </c>
      <c r="B126" s="93">
        <f>COUNTIFS('2015 Grievance Tracking'!M:M, "Safe Harbor",'2015 Grievance Tracking'!D:D, "Over a period of time")</f>
        <v>0</v>
      </c>
    </row>
    <row r="128" spans="1:2" x14ac:dyDescent="0.55000000000000004">
      <c r="A128" s="165" t="s">
        <v>305</v>
      </c>
    </row>
    <row r="129" spans="1:2" s="35" customFormat="1" x14ac:dyDescent="0.55000000000000004">
      <c r="B129" s="164"/>
    </row>
    <row r="131" spans="1:2" x14ac:dyDescent="0.55000000000000004">
      <c r="A131" s="19" t="s">
        <v>298</v>
      </c>
    </row>
    <row r="132" spans="1:2" x14ac:dyDescent="0.55000000000000004">
      <c r="A132" s="19" t="s">
        <v>244</v>
      </c>
      <c r="B132" s="132" t="s">
        <v>245</v>
      </c>
    </row>
    <row r="133" spans="1:2" x14ac:dyDescent="0.55000000000000004">
      <c r="A133" s="128" t="s">
        <v>246</v>
      </c>
      <c r="B133" s="93">
        <f>COUNTIFS('2015 Grievance Tracking'!M:M, "Starting Point",'2015 Grievance Tracking'!E:E, "&gt;="&amp;TIME(0,0,0),'2015 Grievance Tracking'!E:E, "&lt;"&amp;TIME(1,0,0))</f>
        <v>0</v>
      </c>
    </row>
    <row r="134" spans="1:2" x14ac:dyDescent="0.55000000000000004">
      <c r="A134" s="128" t="s">
        <v>247</v>
      </c>
      <c r="B134" s="93">
        <f>COUNTIFS('2015 Grievance Tracking'!M:M, "Starting Point",'2015 Grievance Tracking'!E:E, "&gt;="&amp;TIME(1,0,0),'2015 Grievance Tracking'!E:E, "&lt;"&amp;TIME(2,0,0))</f>
        <v>0</v>
      </c>
    </row>
    <row r="135" spans="1:2" x14ac:dyDescent="0.55000000000000004">
      <c r="A135" s="128" t="s">
        <v>248</v>
      </c>
      <c r="B135" s="93">
        <f>COUNTIFS('2015 Grievance Tracking'!M:M, "Starting Point",'2015 Grievance Tracking'!E:E, "&gt;="&amp;TIME(2,0,0),'2015 Grievance Tracking'!E:E, "&lt;"&amp;TIME(3,0,0))</f>
        <v>0</v>
      </c>
    </row>
    <row r="136" spans="1:2" x14ac:dyDescent="0.55000000000000004">
      <c r="A136" s="128" t="s">
        <v>249</v>
      </c>
      <c r="B136" s="93">
        <f>COUNTIFS('2015 Grievance Tracking'!M:M, "Starting Point",'2015 Grievance Tracking'!E:E,"&gt;="&amp;TIME(3,0,0),'2015 Grievance Tracking'!E:E, "&lt;"&amp;TIME(4,0,0))</f>
        <v>0</v>
      </c>
    </row>
    <row r="137" spans="1:2" x14ac:dyDescent="0.55000000000000004">
      <c r="A137" s="128" t="s">
        <v>250</v>
      </c>
      <c r="B137" s="93">
        <f>COUNTIFS('2015 Grievance Tracking'!M:M, "Starting Point",'2015 Grievance Tracking'!E:E, "&gt;="&amp;TIME(4,0,0),'2015 Grievance Tracking'!E:E, "&lt;"&amp;TIME(5,0,0))</f>
        <v>0</v>
      </c>
    </row>
    <row r="138" spans="1:2" x14ac:dyDescent="0.55000000000000004">
      <c r="A138" s="128" t="s">
        <v>251</v>
      </c>
      <c r="B138" s="93">
        <f>COUNTIFS('2015 Grievance Tracking'!M:M, "Starting Point",'2015 Grievance Tracking'!E:E, "&gt;="&amp;TIME(5,0,0),'2015 Grievance Tracking'!E:E, "&lt;"&amp;TIME(6,0,0))</f>
        <v>0</v>
      </c>
    </row>
    <row r="139" spans="1:2" x14ac:dyDescent="0.55000000000000004">
      <c r="A139" s="128" t="s">
        <v>252</v>
      </c>
      <c r="B139" s="93">
        <f>COUNTIFS('2015 Grievance Tracking'!M:M, "Starting Point",'2015 Grievance Tracking'!E:E, "&gt;="&amp;TIME(6,0,0),'2015 Grievance Tracking'!E:E, "&lt;"&amp;TIME(7,0,0))</f>
        <v>0</v>
      </c>
    </row>
    <row r="140" spans="1:2" x14ac:dyDescent="0.55000000000000004">
      <c r="A140" s="128" t="s">
        <v>253</v>
      </c>
      <c r="B140" s="93">
        <f>COUNTIFS('2015 Grievance Tracking'!M:M, "Starting Point",'2015 Grievance Tracking'!E:E, "&gt;="&amp;TIME(7,0,0),'2015 Grievance Tracking'!E:E, "&lt;"&amp;TIME(8,0,0))</f>
        <v>0</v>
      </c>
    </row>
    <row r="141" spans="1:2" x14ac:dyDescent="0.55000000000000004">
      <c r="A141" s="128" t="s">
        <v>269</v>
      </c>
      <c r="B141" s="93">
        <f>COUNTIFS('2015 Grievance Tracking'!M:M, "Starting Point",'2015 Grievance Tracking'!E:E, "&gt;="&amp;TIME(8,0,0),'2015 Grievance Tracking'!E:E, "&lt;"&amp;TIME(9,0,0))</f>
        <v>0</v>
      </c>
    </row>
    <row r="142" spans="1:2" x14ac:dyDescent="0.55000000000000004">
      <c r="A142" s="128" t="s">
        <v>254</v>
      </c>
      <c r="B142" s="93">
        <f>COUNTIFS('2015 Grievance Tracking'!M:M, "Starting Point",'2015 Grievance Tracking'!E:E, "&gt;="&amp;TIME(9,0,0),'2015 Grievance Tracking'!E:E, "&lt;"&amp;TIME(10,0,0))</f>
        <v>0</v>
      </c>
    </row>
    <row r="143" spans="1:2" x14ac:dyDescent="0.55000000000000004">
      <c r="A143" s="128" t="s">
        <v>255</v>
      </c>
      <c r="B143" s="93">
        <f>COUNTIFS('2015 Grievance Tracking'!M:M, "Starting Point",'2015 Grievance Tracking'!E:E, "&gt;="&amp;TIME(10,0,0),'2015 Grievance Tracking'!E:E, "&lt;"&amp;TIME(11,0,0))</f>
        <v>0</v>
      </c>
    </row>
    <row r="144" spans="1:2" x14ac:dyDescent="0.55000000000000004">
      <c r="A144" s="128" t="s">
        <v>256</v>
      </c>
      <c r="B144" s="93">
        <f>COUNTIFS('2015 Grievance Tracking'!M:M, "Starting Point",'2015 Grievance Tracking'!E:E, "&gt;="&amp;TIME(11,0,0),'2015 Grievance Tracking'!E:E, "&lt;"&amp;TIME(12,0,0))</f>
        <v>0</v>
      </c>
    </row>
    <row r="145" spans="1:2" x14ac:dyDescent="0.55000000000000004">
      <c r="A145" s="128" t="s">
        <v>257</v>
      </c>
      <c r="B145" s="93">
        <f>COUNTIFS('2015 Grievance Tracking'!M:M, "Starting Point",'2015 Grievance Tracking'!E:E, "&gt;="&amp;TIME(12,0,0),'2015 Grievance Tracking'!E:E, "&lt;"&amp;TIME(13,0,0))</f>
        <v>0</v>
      </c>
    </row>
    <row r="146" spans="1:2" x14ac:dyDescent="0.55000000000000004">
      <c r="A146" s="128" t="s">
        <v>258</v>
      </c>
      <c r="B146" s="93">
        <f>COUNTIFS('2015 Grievance Tracking'!M:M, "Starting Point",'2015 Grievance Tracking'!E:E, "&gt;="&amp;TIME(13,0,0),'2015 Grievance Tracking'!E:E, "&lt;"&amp;TIME(14,0,0))</f>
        <v>0</v>
      </c>
    </row>
    <row r="147" spans="1:2" x14ac:dyDescent="0.55000000000000004">
      <c r="A147" s="128" t="s">
        <v>259</v>
      </c>
      <c r="B147" s="93">
        <f>COUNTIFS('2015 Grievance Tracking'!M:M, "Starting Point",'2015 Grievance Tracking'!E:E, "&gt;="&amp;TIME(14,0,0),'2015 Grievance Tracking'!E:E, "&lt;"&amp;TIME(15,0,0))</f>
        <v>0</v>
      </c>
    </row>
    <row r="148" spans="1:2" x14ac:dyDescent="0.55000000000000004">
      <c r="A148" s="128" t="s">
        <v>260</v>
      </c>
      <c r="B148" s="93">
        <f>COUNTIFS('2015 Grievance Tracking'!M:M, "Starting Point",'2015 Grievance Tracking'!E:E, "&gt;="&amp;TIME(15,0,0),'2015 Grievance Tracking'!E:E, "&lt;"&amp;TIME(16,0,0))</f>
        <v>0</v>
      </c>
    </row>
    <row r="149" spans="1:2" x14ac:dyDescent="0.55000000000000004">
      <c r="A149" s="128" t="s">
        <v>261</v>
      </c>
      <c r="B149" s="93">
        <f>COUNTIFS('2015 Grievance Tracking'!M:M, "Starting Point",'2015 Grievance Tracking'!E:E, "&gt;="&amp;TIME(16,0,0),'2015 Grievance Tracking'!E:E, "&lt;"&amp;TIME(17,0,0))</f>
        <v>0</v>
      </c>
    </row>
    <row r="150" spans="1:2" x14ac:dyDescent="0.55000000000000004">
      <c r="A150" s="128" t="s">
        <v>262</v>
      </c>
      <c r="B150" s="93">
        <f>COUNTIFS('2015 Grievance Tracking'!M:M, "Starting Point",'2015 Grievance Tracking'!E:E, "&gt;="&amp;TIME(17,0,0),'2015 Grievance Tracking'!E:E, "&lt;"&amp;TIME(18,0,0))</f>
        <v>0</v>
      </c>
    </row>
    <row r="151" spans="1:2" x14ac:dyDescent="0.55000000000000004">
      <c r="A151" s="128" t="s">
        <v>263</v>
      </c>
      <c r="B151" s="93">
        <f>COUNTIFS('2015 Grievance Tracking'!M:M, "Starting Point",'2015 Grievance Tracking'!E:E, "&gt;="&amp;TIME(18,0,0),'2015 Grievance Tracking'!E:E, "&lt;"&amp;TIME(19,0,0))</f>
        <v>0</v>
      </c>
    </row>
    <row r="152" spans="1:2" x14ac:dyDescent="0.55000000000000004">
      <c r="A152" s="128" t="s">
        <v>264</v>
      </c>
      <c r="B152" s="93">
        <f>COUNTIFS('2015 Grievance Tracking'!M:M, "Starting Point",'2015 Grievance Tracking'!E:E, "&gt;="&amp;TIME(19,0,0),'2015 Grievance Tracking'!E:E, "&lt;"&amp;TIME(20,0,0))</f>
        <v>0</v>
      </c>
    </row>
    <row r="153" spans="1:2" x14ac:dyDescent="0.55000000000000004">
      <c r="A153" s="128" t="s">
        <v>265</v>
      </c>
      <c r="B153" s="93">
        <f>COUNTIFS('2015 Grievance Tracking'!M:M, "Starting Point",'2015 Grievance Tracking'!E:E, "&gt;="&amp;TIME(20,0,0),'2015 Grievance Tracking'!E:E, "&lt;"&amp;TIME(21,0,0))</f>
        <v>0</v>
      </c>
    </row>
    <row r="154" spans="1:2" x14ac:dyDescent="0.55000000000000004">
      <c r="A154" s="128" t="s">
        <v>266</v>
      </c>
      <c r="B154" s="93">
        <f>COUNTIFS('2015 Grievance Tracking'!M:M, "Starting Point",'2015 Grievance Tracking'!E:E, "&gt;="&amp;TIME(21,0,0),'2015 Grievance Tracking'!E:E, "&lt;"&amp;TIME(22,0,0))</f>
        <v>0</v>
      </c>
    </row>
    <row r="155" spans="1:2" x14ac:dyDescent="0.55000000000000004">
      <c r="A155" s="128" t="s">
        <v>267</v>
      </c>
      <c r="B155" s="93">
        <f>COUNTIFS('2015 Grievance Tracking'!M:M, "Starting Point",'2015 Grievance Tracking'!E:E, "&gt;="&amp;TIME(22,0,0),'2015 Grievance Tracking'!E:E, "&lt;"&amp;TIME(23,0,0))</f>
        <v>0</v>
      </c>
    </row>
    <row r="156" spans="1:2" x14ac:dyDescent="0.55000000000000004">
      <c r="A156" s="128" t="s">
        <v>268</v>
      </c>
      <c r="B156" s="93">
        <f>COUNTIFS('2015 Grievance Tracking'!M:M, "Starting Point",'2015 Grievance Tracking'!E:E, "&gt;="&amp;TIME(23,0,0),'2015 Grievance Tracking'!E:E, "&lt;"&amp;TIME(0,0,0))</f>
        <v>0</v>
      </c>
    </row>
    <row r="158" spans="1:2" x14ac:dyDescent="0.55000000000000004">
      <c r="A158" s="19" t="s">
        <v>200</v>
      </c>
    </row>
    <row r="159" spans="1:2" x14ac:dyDescent="0.55000000000000004">
      <c r="A159" s="1" t="s">
        <v>41</v>
      </c>
      <c r="B159" s="93">
        <f>COUNTIFS('2015 Grievance Tracking'!M:M, "Starting Point",'2015 Grievance Tracking'!D:D, "Monday")</f>
        <v>0</v>
      </c>
    </row>
    <row r="160" spans="1:2" x14ac:dyDescent="0.55000000000000004">
      <c r="A160" s="1" t="s">
        <v>42</v>
      </c>
      <c r="B160" s="93">
        <f>COUNTIFS('2015 Grievance Tracking'!M:M, "Starting Point",'2015 Grievance Tracking'!D:D, "Tuesday")</f>
        <v>0</v>
      </c>
    </row>
    <row r="161" spans="1:2" x14ac:dyDescent="0.55000000000000004">
      <c r="A161" s="1" t="s">
        <v>43</v>
      </c>
      <c r="B161" s="93">
        <f>COUNTIFS('2015 Grievance Tracking'!M:M, "Starting Point",'2015 Grievance Tracking'!D:D, "Wednesday")</f>
        <v>0</v>
      </c>
    </row>
    <row r="162" spans="1:2" x14ac:dyDescent="0.55000000000000004">
      <c r="A162" s="1" t="s">
        <v>44</v>
      </c>
      <c r="B162" s="93">
        <f>COUNTIFS('2015 Grievance Tracking'!M:M, "Starting Point",'2015 Grievance Tracking'!D:D, "Thursday")</f>
        <v>0</v>
      </c>
    </row>
    <row r="163" spans="1:2" x14ac:dyDescent="0.55000000000000004">
      <c r="A163" s="1" t="s">
        <v>45</v>
      </c>
      <c r="B163" s="93">
        <f>COUNTIFS('2015 Grievance Tracking'!M:M, "Starting Point",'2015 Grievance Tracking'!D:D, "Friday")</f>
        <v>0</v>
      </c>
    </row>
    <row r="164" spans="1:2" x14ac:dyDescent="0.55000000000000004">
      <c r="A164" s="1" t="s">
        <v>46</v>
      </c>
      <c r="B164" s="93">
        <f>COUNTIFS('2015 Grievance Tracking'!M:M, "Starting Point",'2015 Grievance Tracking'!D:D, "Saturday")</f>
        <v>0</v>
      </c>
    </row>
    <row r="165" spans="1:2" x14ac:dyDescent="0.55000000000000004">
      <c r="A165" s="1" t="s">
        <v>47</v>
      </c>
      <c r="B165" s="93">
        <f>COUNTIFS('2015 Grievance Tracking'!M:M, "Starting Point",'2015 Grievance Tracking'!D:D, "Sunday")</f>
        <v>0</v>
      </c>
    </row>
    <row r="166" spans="1:2" x14ac:dyDescent="0.55000000000000004">
      <c r="A166" s="1" t="s">
        <v>201</v>
      </c>
      <c r="B166" s="93">
        <f>COUNTIFS('2015 Grievance Tracking'!M:M, "Starting Point",'2015 Grievance Tracking'!D:D, "Over a period of time")</f>
        <v>0</v>
      </c>
    </row>
    <row r="168" spans="1:2" x14ac:dyDescent="0.55000000000000004">
      <c r="A168" s="165" t="s">
        <v>305</v>
      </c>
    </row>
    <row r="169" spans="1:2" s="35" customFormat="1" x14ac:dyDescent="0.55000000000000004">
      <c r="B169" s="164"/>
    </row>
    <row r="171" spans="1:2" x14ac:dyDescent="0.55000000000000004">
      <c r="A171" s="19" t="s">
        <v>299</v>
      </c>
    </row>
    <row r="172" spans="1:2" x14ac:dyDescent="0.55000000000000004">
      <c r="A172" s="19" t="s">
        <v>244</v>
      </c>
      <c r="B172" s="132" t="s">
        <v>245</v>
      </c>
    </row>
    <row r="173" spans="1:2" x14ac:dyDescent="0.55000000000000004">
      <c r="A173" s="128" t="s">
        <v>246</v>
      </c>
      <c r="B173" s="93">
        <f>COUNTIFS('2015 Grievance Tracking'!M:M, "Transformations 1",'2015 Grievance Tracking'!E:E, "&gt;="&amp;TIME(0,0,0),'2015 Grievance Tracking'!E:E, "&lt;"&amp;TIME(1,0,0))</f>
        <v>0</v>
      </c>
    </row>
    <row r="174" spans="1:2" x14ac:dyDescent="0.55000000000000004">
      <c r="A174" s="128" t="s">
        <v>247</v>
      </c>
      <c r="B174" s="93">
        <f>COUNTIFS('2015 Grievance Tracking'!M:M, "Transformations 1",'2015 Grievance Tracking'!E:E, "&gt;="&amp;TIME(1,0,0),'2015 Grievance Tracking'!E:E, "&lt;"&amp;TIME(2,0,0))</f>
        <v>0</v>
      </c>
    </row>
    <row r="175" spans="1:2" x14ac:dyDescent="0.55000000000000004">
      <c r="A175" s="128" t="s">
        <v>248</v>
      </c>
      <c r="B175" s="93">
        <f>COUNTIFS('2015 Grievance Tracking'!M:M, "Transformations 1",'2015 Grievance Tracking'!E:E, "&gt;="&amp;TIME(2,0,0),'2015 Grievance Tracking'!E:E, "&lt;"&amp;TIME(3,0,0))</f>
        <v>0</v>
      </c>
    </row>
    <row r="176" spans="1:2" x14ac:dyDescent="0.55000000000000004">
      <c r="A176" s="128" t="s">
        <v>249</v>
      </c>
      <c r="B176" s="93">
        <f>COUNTIFS('2015 Grievance Tracking'!M:M, "Transformations 1",'2015 Grievance Tracking'!E:E,"&gt;="&amp;TIME(3,0,0),'2015 Grievance Tracking'!E:E, "&lt;"&amp;TIME(4,0,0))</f>
        <v>0</v>
      </c>
    </row>
    <row r="177" spans="1:2" x14ac:dyDescent="0.55000000000000004">
      <c r="A177" s="128" t="s">
        <v>250</v>
      </c>
      <c r="B177" s="93">
        <f>COUNTIFS('2015 Grievance Tracking'!M:M, "Transformations 1",'2015 Grievance Tracking'!E:E, "&gt;="&amp;TIME(4,0,0),'2015 Grievance Tracking'!E:E, "&lt;"&amp;TIME(5,0,0))</f>
        <v>0</v>
      </c>
    </row>
    <row r="178" spans="1:2" x14ac:dyDescent="0.55000000000000004">
      <c r="A178" s="128" t="s">
        <v>251</v>
      </c>
      <c r="B178" s="93">
        <f>COUNTIFS('2015 Grievance Tracking'!M:M, "Transformations 1",'2015 Grievance Tracking'!E:E, "&gt;="&amp;TIME(5,0,0),'2015 Grievance Tracking'!E:E, "&lt;"&amp;TIME(6,0,0))</f>
        <v>0</v>
      </c>
    </row>
    <row r="179" spans="1:2" x14ac:dyDescent="0.55000000000000004">
      <c r="A179" s="128" t="s">
        <v>252</v>
      </c>
      <c r="B179" s="93">
        <f>COUNTIFS('2015 Grievance Tracking'!M:M, "Transformations 1",'2015 Grievance Tracking'!E:E, "&gt;="&amp;TIME(6,0,0),'2015 Grievance Tracking'!E:E, "&lt;"&amp;TIME(7,0,0))</f>
        <v>0</v>
      </c>
    </row>
    <row r="180" spans="1:2" x14ac:dyDescent="0.55000000000000004">
      <c r="A180" s="128" t="s">
        <v>253</v>
      </c>
      <c r="B180" s="93">
        <f>COUNTIFS('2015 Grievance Tracking'!M:M, "Transformations 1",'2015 Grievance Tracking'!E:E, "&gt;="&amp;TIME(7,0,0),'2015 Grievance Tracking'!E:E, "&lt;"&amp;TIME(8,0,0))</f>
        <v>0</v>
      </c>
    </row>
    <row r="181" spans="1:2" x14ac:dyDescent="0.55000000000000004">
      <c r="A181" s="128" t="s">
        <v>269</v>
      </c>
      <c r="B181" s="93">
        <f>COUNTIFS('2015 Grievance Tracking'!M:M, "Transformations 1",'2015 Grievance Tracking'!E:E, "&gt;="&amp;TIME(8,0,0),'2015 Grievance Tracking'!E:E, "&lt;"&amp;TIME(9,0,0))</f>
        <v>0</v>
      </c>
    </row>
    <row r="182" spans="1:2" x14ac:dyDescent="0.55000000000000004">
      <c r="A182" s="128" t="s">
        <v>254</v>
      </c>
      <c r="B182" s="93">
        <f>COUNTIFS('2015 Grievance Tracking'!M:M, "Transformations 1",'2015 Grievance Tracking'!E:E, "&gt;="&amp;TIME(9,0,0),'2015 Grievance Tracking'!E:E, "&lt;"&amp;TIME(10,0,0))</f>
        <v>0</v>
      </c>
    </row>
    <row r="183" spans="1:2" x14ac:dyDescent="0.55000000000000004">
      <c r="A183" s="128" t="s">
        <v>255</v>
      </c>
      <c r="B183" s="93">
        <f>COUNTIFS('2015 Grievance Tracking'!M:M, "Transformations 1",'2015 Grievance Tracking'!E:E, "&gt;="&amp;TIME(10,0,0),'2015 Grievance Tracking'!E:E, "&lt;"&amp;TIME(11,0,0))</f>
        <v>0</v>
      </c>
    </row>
    <row r="184" spans="1:2" x14ac:dyDescent="0.55000000000000004">
      <c r="A184" s="128" t="s">
        <v>256</v>
      </c>
      <c r="B184" s="93">
        <f>COUNTIFS('2015 Grievance Tracking'!M:M, "Transformations 1",'2015 Grievance Tracking'!E:E, "&gt;="&amp;TIME(11,0,0),'2015 Grievance Tracking'!E:E, "&lt;"&amp;TIME(12,0,0))</f>
        <v>0</v>
      </c>
    </row>
    <row r="185" spans="1:2" x14ac:dyDescent="0.55000000000000004">
      <c r="A185" s="128" t="s">
        <v>257</v>
      </c>
      <c r="B185" s="93">
        <f>COUNTIFS('2015 Grievance Tracking'!M:M, "Transformations 1",'2015 Grievance Tracking'!E:E, "&gt;="&amp;TIME(12,0,0),'2015 Grievance Tracking'!E:E, "&lt;"&amp;TIME(13,0,0))</f>
        <v>0</v>
      </c>
    </row>
    <row r="186" spans="1:2" x14ac:dyDescent="0.55000000000000004">
      <c r="A186" s="128" t="s">
        <v>258</v>
      </c>
      <c r="B186" s="93">
        <f>COUNTIFS('2015 Grievance Tracking'!M:M, "Transformations 1",'2015 Grievance Tracking'!E:E, "&gt;="&amp;TIME(13,0,0),'2015 Grievance Tracking'!E:E, "&lt;"&amp;TIME(14,0,0))</f>
        <v>0</v>
      </c>
    </row>
    <row r="187" spans="1:2" x14ac:dyDescent="0.55000000000000004">
      <c r="A187" s="128" t="s">
        <v>259</v>
      </c>
      <c r="B187" s="93">
        <f>COUNTIFS('2015 Grievance Tracking'!M:M, "Transformations 1",'2015 Grievance Tracking'!E:E, "&gt;="&amp;TIME(14,0,0),'2015 Grievance Tracking'!E:E, "&lt;"&amp;TIME(15,0,0))</f>
        <v>0</v>
      </c>
    </row>
    <row r="188" spans="1:2" x14ac:dyDescent="0.55000000000000004">
      <c r="A188" s="128" t="s">
        <v>260</v>
      </c>
      <c r="B188" s="93">
        <f>COUNTIFS('2015 Grievance Tracking'!M:M, "Transformations 1",'2015 Grievance Tracking'!E:E, "&gt;="&amp;TIME(15,0,0),'2015 Grievance Tracking'!E:E, "&lt;"&amp;TIME(16,0,0))</f>
        <v>0</v>
      </c>
    </row>
    <row r="189" spans="1:2" x14ac:dyDescent="0.55000000000000004">
      <c r="A189" s="128" t="s">
        <v>261</v>
      </c>
      <c r="B189" s="93">
        <f>COUNTIFS('2015 Grievance Tracking'!M:M, "Transformations 1",'2015 Grievance Tracking'!E:E, "&gt;="&amp;TIME(16,0,0),'2015 Grievance Tracking'!E:E, "&lt;"&amp;TIME(17,0,0))</f>
        <v>0</v>
      </c>
    </row>
    <row r="190" spans="1:2" x14ac:dyDescent="0.55000000000000004">
      <c r="A190" s="128" t="s">
        <v>262</v>
      </c>
      <c r="B190" s="93">
        <f>COUNTIFS('2015 Grievance Tracking'!M:M, "Transformations 1",'2015 Grievance Tracking'!E:E, "&gt;="&amp;TIME(17,0,0),'2015 Grievance Tracking'!E:E, "&lt;"&amp;TIME(18,0,0))</f>
        <v>0</v>
      </c>
    </row>
    <row r="191" spans="1:2" x14ac:dyDescent="0.55000000000000004">
      <c r="A191" s="128" t="s">
        <v>263</v>
      </c>
      <c r="B191" s="93">
        <f>COUNTIFS('2015 Grievance Tracking'!M:M, "Transformations 1",'2015 Grievance Tracking'!E:E, "&gt;="&amp;TIME(18,0,0),'2015 Grievance Tracking'!E:E, "&lt;"&amp;TIME(19,0,0))</f>
        <v>0</v>
      </c>
    </row>
    <row r="192" spans="1:2" x14ac:dyDescent="0.55000000000000004">
      <c r="A192" s="128" t="s">
        <v>264</v>
      </c>
      <c r="B192" s="93">
        <f>COUNTIFS('2015 Grievance Tracking'!M:M, "Transformations 1",'2015 Grievance Tracking'!E:E, "&gt;="&amp;TIME(19,0,0),'2015 Grievance Tracking'!E:E, "&lt;"&amp;TIME(20,0,0))</f>
        <v>0</v>
      </c>
    </row>
    <row r="193" spans="1:2" x14ac:dyDescent="0.55000000000000004">
      <c r="A193" s="128" t="s">
        <v>265</v>
      </c>
      <c r="B193" s="93">
        <f>COUNTIFS('2015 Grievance Tracking'!M:M, "Transformations 1",'2015 Grievance Tracking'!E:E, "&gt;="&amp;TIME(20,0,0),'2015 Grievance Tracking'!E:E, "&lt;"&amp;TIME(21,0,0))</f>
        <v>0</v>
      </c>
    </row>
    <row r="194" spans="1:2" x14ac:dyDescent="0.55000000000000004">
      <c r="A194" s="128" t="s">
        <v>266</v>
      </c>
      <c r="B194" s="93">
        <f>COUNTIFS('2015 Grievance Tracking'!M:M, "Transformations 1",'2015 Grievance Tracking'!E:E, "&gt;="&amp;TIME(21,0,0),'2015 Grievance Tracking'!E:E, "&lt;"&amp;TIME(22,0,0))</f>
        <v>0</v>
      </c>
    </row>
    <row r="195" spans="1:2" x14ac:dyDescent="0.55000000000000004">
      <c r="A195" s="128" t="s">
        <v>267</v>
      </c>
      <c r="B195" s="93">
        <f>COUNTIFS('2015 Grievance Tracking'!M:M, "Transformations 1",'2015 Grievance Tracking'!E:E, "&gt;="&amp;TIME(22,0,0),'2015 Grievance Tracking'!E:E, "&lt;"&amp;TIME(23,0,0))</f>
        <v>0</v>
      </c>
    </row>
    <row r="196" spans="1:2" x14ac:dyDescent="0.55000000000000004">
      <c r="A196" s="128" t="s">
        <v>268</v>
      </c>
      <c r="B196" s="93">
        <f>COUNTIFS('2015 Grievance Tracking'!M:M, "Transformations 1",'2015 Grievance Tracking'!E:E, "&gt;="&amp;TIME(23,0,0),'2015 Grievance Tracking'!E:E, "&lt;"&amp;TIME(0,0,0))</f>
        <v>0</v>
      </c>
    </row>
    <row r="198" spans="1:2" x14ac:dyDescent="0.55000000000000004">
      <c r="A198" s="19" t="s">
        <v>200</v>
      </c>
    </row>
    <row r="199" spans="1:2" x14ac:dyDescent="0.55000000000000004">
      <c r="A199" s="1" t="s">
        <v>41</v>
      </c>
      <c r="B199" s="93">
        <f>COUNTIFS('2015 Grievance Tracking'!M:M, "Transformations 1",'2015 Grievance Tracking'!D:D, "Monday")</f>
        <v>0</v>
      </c>
    </row>
    <row r="200" spans="1:2" x14ac:dyDescent="0.55000000000000004">
      <c r="A200" s="1" t="s">
        <v>42</v>
      </c>
      <c r="B200" s="93">
        <f>COUNTIFS('2015 Grievance Tracking'!M:M, "Transformations 1",'2015 Grievance Tracking'!D:D, "Tuesday")</f>
        <v>0</v>
      </c>
    </row>
    <row r="201" spans="1:2" x14ac:dyDescent="0.55000000000000004">
      <c r="A201" s="1" t="s">
        <v>43</v>
      </c>
      <c r="B201" s="93">
        <f>COUNTIFS('2015 Grievance Tracking'!M:M, "Transformations 1",'2015 Grievance Tracking'!D:D, "Wednesday")</f>
        <v>0</v>
      </c>
    </row>
    <row r="202" spans="1:2" x14ac:dyDescent="0.55000000000000004">
      <c r="A202" s="1" t="s">
        <v>44</v>
      </c>
      <c r="B202" s="93">
        <f>COUNTIFS('2015 Grievance Tracking'!M:M, "Transformations 1",'2015 Grievance Tracking'!D:D, "Thursday")</f>
        <v>0</v>
      </c>
    </row>
    <row r="203" spans="1:2" x14ac:dyDescent="0.55000000000000004">
      <c r="A203" s="1" t="s">
        <v>45</v>
      </c>
      <c r="B203" s="93">
        <f>COUNTIFS('2015 Grievance Tracking'!M:M, "Transformations 1",'2015 Grievance Tracking'!D:D, "Friday")</f>
        <v>0</v>
      </c>
    </row>
    <row r="204" spans="1:2" x14ac:dyDescent="0.55000000000000004">
      <c r="A204" s="1" t="s">
        <v>46</v>
      </c>
      <c r="B204" s="93">
        <f>COUNTIFS('2015 Grievance Tracking'!M:M, "Transformations 1",'2015 Grievance Tracking'!D:D, "Saturday")</f>
        <v>0</v>
      </c>
    </row>
    <row r="205" spans="1:2" x14ac:dyDescent="0.55000000000000004">
      <c r="A205" s="1" t="s">
        <v>47</v>
      </c>
      <c r="B205" s="93">
        <f>COUNTIFS('2015 Grievance Tracking'!M:M, "Transformations 1",'2015 Grievance Tracking'!D:D, "Sunday")</f>
        <v>0</v>
      </c>
    </row>
    <row r="206" spans="1:2" x14ac:dyDescent="0.55000000000000004">
      <c r="A206" s="1" t="s">
        <v>201</v>
      </c>
      <c r="B206" s="93">
        <f>COUNTIFS('2015 Grievance Tracking'!M:M, "Transformations 1",'2015 Grievance Tracking'!D:D, "Over a period of time")</f>
        <v>0</v>
      </c>
    </row>
    <row r="208" spans="1:2" x14ac:dyDescent="0.55000000000000004">
      <c r="A208" s="165" t="s">
        <v>305</v>
      </c>
    </row>
    <row r="209" spans="1:2" s="35" customFormat="1" x14ac:dyDescent="0.55000000000000004">
      <c r="B209" s="164"/>
    </row>
    <row r="211" spans="1:2" x14ac:dyDescent="0.55000000000000004">
      <c r="A211" s="19" t="s">
        <v>300</v>
      </c>
    </row>
    <row r="212" spans="1:2" x14ac:dyDescent="0.55000000000000004">
      <c r="A212" s="19" t="s">
        <v>244</v>
      </c>
      <c r="B212" s="132" t="s">
        <v>245</v>
      </c>
    </row>
    <row r="213" spans="1:2" x14ac:dyDescent="0.55000000000000004">
      <c r="A213" s="128" t="s">
        <v>246</v>
      </c>
      <c r="B213" s="93">
        <f>COUNTIFS('2015 Grievance Tracking'!M:M, "Transformations 2",'2015 Grievance Tracking'!E:E, "&gt;="&amp;TIME(0,0,0),'2015 Grievance Tracking'!E:E, "&lt;"&amp;TIME(1,0,0))</f>
        <v>0</v>
      </c>
    </row>
    <row r="214" spans="1:2" x14ac:dyDescent="0.55000000000000004">
      <c r="A214" s="128" t="s">
        <v>247</v>
      </c>
      <c r="B214" s="93">
        <f>COUNTIFS('2015 Grievance Tracking'!M:M, "Transformations 2",'2015 Grievance Tracking'!E:E, "&gt;="&amp;TIME(1,0,0),'2015 Grievance Tracking'!E:E, "&lt;"&amp;TIME(2,0,0))</f>
        <v>0</v>
      </c>
    </row>
    <row r="215" spans="1:2" x14ac:dyDescent="0.55000000000000004">
      <c r="A215" s="128" t="s">
        <v>248</v>
      </c>
      <c r="B215" s="93">
        <f>COUNTIFS('2015 Grievance Tracking'!M:M, "Transformations 2",'2015 Grievance Tracking'!E:E, "&gt;="&amp;TIME(2,0,0),'2015 Grievance Tracking'!E:E, "&lt;"&amp;TIME(3,0,0))</f>
        <v>0</v>
      </c>
    </row>
    <row r="216" spans="1:2" x14ac:dyDescent="0.55000000000000004">
      <c r="A216" s="128" t="s">
        <v>249</v>
      </c>
      <c r="B216" s="93">
        <f>COUNTIFS('2015 Grievance Tracking'!M:M, "Transformations 2",'2015 Grievance Tracking'!E:E,"&gt;="&amp;TIME(3,0,0),'2015 Grievance Tracking'!E:E, "&lt;"&amp;TIME(4,0,0))</f>
        <v>0</v>
      </c>
    </row>
    <row r="217" spans="1:2" x14ac:dyDescent="0.55000000000000004">
      <c r="A217" s="128" t="s">
        <v>250</v>
      </c>
      <c r="B217" s="93">
        <f>COUNTIFS('2015 Grievance Tracking'!M:M, "Transformations 2",'2015 Grievance Tracking'!E:E, "&gt;="&amp;TIME(4,0,0),'2015 Grievance Tracking'!E:E, "&lt;"&amp;TIME(5,0,0))</f>
        <v>0</v>
      </c>
    </row>
    <row r="218" spans="1:2" x14ac:dyDescent="0.55000000000000004">
      <c r="A218" s="128" t="s">
        <v>251</v>
      </c>
      <c r="B218" s="93">
        <f>COUNTIFS('2015 Grievance Tracking'!M:M, "Transformations 2",'2015 Grievance Tracking'!E:E, "&gt;="&amp;TIME(5,0,0),'2015 Grievance Tracking'!E:E, "&lt;"&amp;TIME(6,0,0))</f>
        <v>0</v>
      </c>
    </row>
    <row r="219" spans="1:2" x14ac:dyDescent="0.55000000000000004">
      <c r="A219" s="128" t="s">
        <v>252</v>
      </c>
      <c r="B219" s="93">
        <f>COUNTIFS('2015 Grievance Tracking'!M:M, "Transformations 2",'2015 Grievance Tracking'!E:E, "&gt;="&amp;TIME(6,0,0),'2015 Grievance Tracking'!E:E, "&lt;"&amp;TIME(7,0,0))</f>
        <v>0</v>
      </c>
    </row>
    <row r="220" spans="1:2" x14ac:dyDescent="0.55000000000000004">
      <c r="A220" s="128" t="s">
        <v>253</v>
      </c>
      <c r="B220" s="93">
        <f>COUNTIFS('2015 Grievance Tracking'!M:M, "Transformations 2",'2015 Grievance Tracking'!E:E, "&gt;="&amp;TIME(7,0,0),'2015 Grievance Tracking'!E:E, "&lt;"&amp;TIME(8,0,0))</f>
        <v>0</v>
      </c>
    </row>
    <row r="221" spans="1:2" x14ac:dyDescent="0.55000000000000004">
      <c r="A221" s="128" t="s">
        <v>269</v>
      </c>
      <c r="B221" s="93">
        <f>COUNTIFS('2015 Grievance Tracking'!M:M, "Transformations 2",'2015 Grievance Tracking'!E:E, "&gt;="&amp;TIME(8,0,0),'2015 Grievance Tracking'!E:E, "&lt;"&amp;TIME(9,0,0))</f>
        <v>0</v>
      </c>
    </row>
    <row r="222" spans="1:2" x14ac:dyDescent="0.55000000000000004">
      <c r="A222" s="128" t="s">
        <v>254</v>
      </c>
      <c r="B222" s="93">
        <f>COUNTIFS('2015 Grievance Tracking'!M:M, "Transformations 2",'2015 Grievance Tracking'!E:E, "&gt;="&amp;TIME(9,0,0),'2015 Grievance Tracking'!E:E, "&lt;"&amp;TIME(10,0,0))</f>
        <v>0</v>
      </c>
    </row>
    <row r="223" spans="1:2" x14ac:dyDescent="0.55000000000000004">
      <c r="A223" s="128" t="s">
        <v>255</v>
      </c>
      <c r="B223" s="93">
        <f>COUNTIFS('2015 Grievance Tracking'!M:M, "Transformations 2",'2015 Grievance Tracking'!E:E, "&gt;="&amp;TIME(10,0,0),'2015 Grievance Tracking'!E:E, "&lt;"&amp;TIME(11,0,0))</f>
        <v>0</v>
      </c>
    </row>
    <row r="224" spans="1:2" x14ac:dyDescent="0.55000000000000004">
      <c r="A224" s="128" t="s">
        <v>256</v>
      </c>
      <c r="B224" s="93">
        <f>COUNTIFS('2015 Grievance Tracking'!M:M, "Transformations 2",'2015 Grievance Tracking'!E:E, "&gt;="&amp;TIME(11,0,0),'2015 Grievance Tracking'!E:E, "&lt;"&amp;TIME(12,0,0))</f>
        <v>0</v>
      </c>
    </row>
    <row r="225" spans="1:2" x14ac:dyDescent="0.55000000000000004">
      <c r="A225" s="128" t="s">
        <v>257</v>
      </c>
      <c r="B225" s="93">
        <f>COUNTIFS('2015 Grievance Tracking'!M:M, "Transformations 2",'2015 Grievance Tracking'!E:E, "&gt;="&amp;TIME(12,0,0),'2015 Grievance Tracking'!E:E, "&lt;"&amp;TIME(13,0,0))</f>
        <v>0</v>
      </c>
    </row>
    <row r="226" spans="1:2" x14ac:dyDescent="0.55000000000000004">
      <c r="A226" s="128" t="s">
        <v>258</v>
      </c>
      <c r="B226" s="93">
        <f>COUNTIFS('2015 Grievance Tracking'!M:M, "Transformations 2",'2015 Grievance Tracking'!E:E, "&gt;="&amp;TIME(13,0,0),'2015 Grievance Tracking'!E:E, "&lt;"&amp;TIME(14,0,0))</f>
        <v>0</v>
      </c>
    </row>
    <row r="227" spans="1:2" x14ac:dyDescent="0.55000000000000004">
      <c r="A227" s="128" t="s">
        <v>259</v>
      </c>
      <c r="B227" s="93">
        <f>COUNTIFS('2015 Grievance Tracking'!M:M, "Transformations 2",'2015 Grievance Tracking'!E:E, "&gt;="&amp;TIME(14,0,0),'2015 Grievance Tracking'!E:E, "&lt;"&amp;TIME(15,0,0))</f>
        <v>0</v>
      </c>
    </row>
    <row r="228" spans="1:2" x14ac:dyDescent="0.55000000000000004">
      <c r="A228" s="128" t="s">
        <v>260</v>
      </c>
      <c r="B228" s="93">
        <f>COUNTIFS('2015 Grievance Tracking'!M:M, "Transformations 2",'2015 Grievance Tracking'!E:E, "&gt;="&amp;TIME(15,0,0),'2015 Grievance Tracking'!E:E, "&lt;"&amp;TIME(16,0,0))</f>
        <v>0</v>
      </c>
    </row>
    <row r="229" spans="1:2" x14ac:dyDescent="0.55000000000000004">
      <c r="A229" s="128" t="s">
        <v>261</v>
      </c>
      <c r="B229" s="93">
        <f>COUNTIFS('2015 Grievance Tracking'!M:M, "Transformations 2",'2015 Grievance Tracking'!E:E, "&gt;="&amp;TIME(16,0,0),'2015 Grievance Tracking'!E:E, "&lt;"&amp;TIME(17,0,0))</f>
        <v>0</v>
      </c>
    </row>
    <row r="230" spans="1:2" x14ac:dyDescent="0.55000000000000004">
      <c r="A230" s="128" t="s">
        <v>262</v>
      </c>
      <c r="B230" s="93">
        <f>COUNTIFS('2015 Grievance Tracking'!M:M, "Transformations 2",'2015 Grievance Tracking'!E:E, "&gt;="&amp;TIME(17,0,0),'2015 Grievance Tracking'!E:E, "&lt;"&amp;TIME(18,0,0))</f>
        <v>0</v>
      </c>
    </row>
    <row r="231" spans="1:2" x14ac:dyDescent="0.55000000000000004">
      <c r="A231" s="128" t="s">
        <v>263</v>
      </c>
      <c r="B231" s="93">
        <f>COUNTIFS('2015 Grievance Tracking'!M:M, "Transformations 2",'2015 Grievance Tracking'!E:E, "&gt;="&amp;TIME(18,0,0),'2015 Grievance Tracking'!E:E, "&lt;"&amp;TIME(19,0,0))</f>
        <v>0</v>
      </c>
    </row>
    <row r="232" spans="1:2" x14ac:dyDescent="0.55000000000000004">
      <c r="A232" s="128" t="s">
        <v>264</v>
      </c>
      <c r="B232" s="93">
        <f>COUNTIFS('2015 Grievance Tracking'!M:M, "Transformations 2",'2015 Grievance Tracking'!E:E, "&gt;="&amp;TIME(19,0,0),'2015 Grievance Tracking'!E:E, "&lt;"&amp;TIME(20,0,0))</f>
        <v>0</v>
      </c>
    </row>
    <row r="233" spans="1:2" x14ac:dyDescent="0.55000000000000004">
      <c r="A233" s="128" t="s">
        <v>265</v>
      </c>
      <c r="B233" s="93">
        <f>COUNTIFS('2015 Grievance Tracking'!M:M, "Transformations 2",'2015 Grievance Tracking'!E:E, "&gt;="&amp;TIME(20,0,0),'2015 Grievance Tracking'!E:E, "&lt;"&amp;TIME(21,0,0))</f>
        <v>0</v>
      </c>
    </row>
    <row r="234" spans="1:2" x14ac:dyDescent="0.55000000000000004">
      <c r="A234" s="128" t="s">
        <v>266</v>
      </c>
      <c r="B234" s="93">
        <f>COUNTIFS('2015 Grievance Tracking'!M:M, "Transformations 2",'2015 Grievance Tracking'!E:E, "&gt;="&amp;TIME(21,0,0),'2015 Grievance Tracking'!E:E, "&lt;"&amp;TIME(22,0,0))</f>
        <v>0</v>
      </c>
    </row>
    <row r="235" spans="1:2" x14ac:dyDescent="0.55000000000000004">
      <c r="A235" s="128" t="s">
        <v>267</v>
      </c>
      <c r="B235" s="93">
        <f>COUNTIFS('2015 Grievance Tracking'!M:M, "Transformations 2",'2015 Grievance Tracking'!E:E, "&gt;="&amp;TIME(22,0,0),'2015 Grievance Tracking'!E:E, "&lt;"&amp;TIME(23,0,0))</f>
        <v>0</v>
      </c>
    </row>
    <row r="236" spans="1:2" x14ac:dyDescent="0.55000000000000004">
      <c r="A236" s="128" t="s">
        <v>268</v>
      </c>
      <c r="B236" s="93">
        <f>COUNTIFS('2015 Grievance Tracking'!M:M, "Transformations 2",'2015 Grievance Tracking'!E:E, "&gt;="&amp;TIME(23,0,0),'2015 Grievance Tracking'!E:E, "&lt;"&amp;TIME(0,0,0))</f>
        <v>0</v>
      </c>
    </row>
    <row r="238" spans="1:2" x14ac:dyDescent="0.55000000000000004">
      <c r="A238" s="19" t="s">
        <v>200</v>
      </c>
    </row>
    <row r="239" spans="1:2" x14ac:dyDescent="0.55000000000000004">
      <c r="A239" s="1" t="s">
        <v>41</v>
      </c>
      <c r="B239" s="93">
        <f>COUNTIFS('2015 Grievance Tracking'!M:M, "Transformations 2",'2015 Grievance Tracking'!D:D, "Monday")</f>
        <v>0</v>
      </c>
    </row>
    <row r="240" spans="1:2" x14ac:dyDescent="0.55000000000000004">
      <c r="A240" s="1" t="s">
        <v>42</v>
      </c>
      <c r="B240" s="93">
        <f>COUNTIFS('2015 Grievance Tracking'!M:M, "Transformations 2",'2015 Grievance Tracking'!D:D, "Tuesday")</f>
        <v>0</v>
      </c>
    </row>
    <row r="241" spans="1:2" x14ac:dyDescent="0.55000000000000004">
      <c r="A241" s="1" t="s">
        <v>43</v>
      </c>
      <c r="B241" s="93">
        <f>COUNTIFS('2015 Grievance Tracking'!M:M, "Transformations 2",'2015 Grievance Tracking'!D:D, "Wednesday")</f>
        <v>0</v>
      </c>
    </row>
    <row r="242" spans="1:2" x14ac:dyDescent="0.55000000000000004">
      <c r="A242" s="1" t="s">
        <v>44</v>
      </c>
      <c r="B242" s="93">
        <f>COUNTIFS('2015 Grievance Tracking'!M:M, "Transformations 2",'2015 Grievance Tracking'!D:D, "Thursday")</f>
        <v>0</v>
      </c>
    </row>
    <row r="243" spans="1:2" x14ac:dyDescent="0.55000000000000004">
      <c r="A243" s="1" t="s">
        <v>45</v>
      </c>
      <c r="B243" s="93">
        <f>COUNTIFS('2015 Grievance Tracking'!M:M, "Transformations 2",'2015 Grievance Tracking'!D:D, "Friday")</f>
        <v>0</v>
      </c>
    </row>
    <row r="244" spans="1:2" x14ac:dyDescent="0.55000000000000004">
      <c r="A244" s="1" t="s">
        <v>46</v>
      </c>
      <c r="B244" s="93">
        <f>COUNTIFS('2015 Grievance Tracking'!M:M, "Transformations 2",'2015 Grievance Tracking'!D:D, "Saturday")</f>
        <v>0</v>
      </c>
    </row>
    <row r="245" spans="1:2" x14ac:dyDescent="0.55000000000000004">
      <c r="A245" s="1" t="s">
        <v>47</v>
      </c>
      <c r="B245" s="93">
        <f>COUNTIFS('2015 Grievance Tracking'!M:M, "Transformations 2",'2015 Grievance Tracking'!D:D, "Sunday")</f>
        <v>0</v>
      </c>
    </row>
    <row r="246" spans="1:2" x14ac:dyDescent="0.55000000000000004">
      <c r="A246" s="1" t="s">
        <v>201</v>
      </c>
      <c r="B246" s="93">
        <f>COUNTIFS('2015 Grievance Tracking'!M:M, "Transformations 2",'2015 Grievance Tracking'!D:D, "Over a period of time")</f>
        <v>0</v>
      </c>
    </row>
    <row r="248" spans="1:2" x14ac:dyDescent="0.55000000000000004">
      <c r="A248" s="165" t="s">
        <v>305</v>
      </c>
    </row>
    <row r="249" spans="1:2" s="35" customFormat="1" x14ac:dyDescent="0.55000000000000004">
      <c r="B249" s="164"/>
    </row>
    <row r="251" spans="1:2" x14ac:dyDescent="0.55000000000000004">
      <c r="A251" s="19" t="s">
        <v>301</v>
      </c>
    </row>
    <row r="252" spans="1:2" x14ac:dyDescent="0.55000000000000004">
      <c r="A252" s="19" t="s">
        <v>244</v>
      </c>
      <c r="B252" s="132" t="s">
        <v>245</v>
      </c>
    </row>
    <row r="253" spans="1:2" x14ac:dyDescent="0.55000000000000004">
      <c r="A253" s="128" t="s">
        <v>246</v>
      </c>
      <c r="B253" s="93">
        <f>COUNTIFS('2015 Grievance Tracking'!M:M, "Triad",'2015 Grievance Tracking'!E:E, "&gt;="&amp;TIME(0,0,0),'2015 Grievance Tracking'!E:E, "&lt;"&amp;TIME(1,0,0))</f>
        <v>0</v>
      </c>
    </row>
    <row r="254" spans="1:2" x14ac:dyDescent="0.55000000000000004">
      <c r="A254" s="128" t="s">
        <v>247</v>
      </c>
      <c r="B254" s="93">
        <f>COUNTIFS('2015 Grievance Tracking'!M:M, "Triad",'2015 Grievance Tracking'!E:E, "&gt;="&amp;TIME(1,0,0),'2015 Grievance Tracking'!E:E, "&lt;"&amp;TIME(2,0,0))</f>
        <v>0</v>
      </c>
    </row>
    <row r="255" spans="1:2" x14ac:dyDescent="0.55000000000000004">
      <c r="A255" s="128" t="s">
        <v>248</v>
      </c>
      <c r="B255" s="93">
        <f>COUNTIFS('2015 Grievance Tracking'!M:M, "Triad",'2015 Grievance Tracking'!E:E, "&gt;="&amp;TIME(2,0,0),'2015 Grievance Tracking'!E:E, "&lt;"&amp;TIME(3,0,0))</f>
        <v>0</v>
      </c>
    </row>
    <row r="256" spans="1:2" x14ac:dyDescent="0.55000000000000004">
      <c r="A256" s="128" t="s">
        <v>249</v>
      </c>
      <c r="B256" s="93">
        <f>COUNTIFS('2015 Grievance Tracking'!M:M, "Triad",'2015 Grievance Tracking'!E:E,"&gt;="&amp;TIME(3,0,0),'2015 Grievance Tracking'!E:E, "&lt;"&amp;TIME(4,0,0))</f>
        <v>0</v>
      </c>
    </row>
    <row r="257" spans="1:2" x14ac:dyDescent="0.55000000000000004">
      <c r="A257" s="128" t="s">
        <v>250</v>
      </c>
      <c r="B257" s="93">
        <f>COUNTIFS('2015 Grievance Tracking'!M:M, "Triad",'2015 Grievance Tracking'!E:E, "&gt;="&amp;TIME(4,0,0),'2015 Grievance Tracking'!E:E, "&lt;"&amp;TIME(5,0,0))</f>
        <v>0</v>
      </c>
    </row>
    <row r="258" spans="1:2" x14ac:dyDescent="0.55000000000000004">
      <c r="A258" s="128" t="s">
        <v>251</v>
      </c>
      <c r="B258" s="93">
        <f>COUNTIFS('2015 Grievance Tracking'!M:M, "Triad",'2015 Grievance Tracking'!E:E, "&gt;="&amp;TIME(5,0,0),'2015 Grievance Tracking'!E:E, "&lt;"&amp;TIME(6,0,0))</f>
        <v>0</v>
      </c>
    </row>
    <row r="259" spans="1:2" x14ac:dyDescent="0.55000000000000004">
      <c r="A259" s="128" t="s">
        <v>252</v>
      </c>
      <c r="B259" s="93">
        <f>COUNTIFS('2015 Grievance Tracking'!M:M, "Triad",'2015 Grievance Tracking'!E:E, "&gt;="&amp;TIME(6,0,0),'2015 Grievance Tracking'!E:E, "&lt;"&amp;TIME(7,0,0))</f>
        <v>0</v>
      </c>
    </row>
    <row r="260" spans="1:2" x14ac:dyDescent="0.55000000000000004">
      <c r="A260" s="128" t="s">
        <v>253</v>
      </c>
      <c r="B260" s="93">
        <f>COUNTIFS('2015 Grievance Tracking'!M:M, "Triad",'2015 Grievance Tracking'!E:E, "&gt;="&amp;TIME(7,0,0),'2015 Grievance Tracking'!E:E, "&lt;"&amp;TIME(8,0,0))</f>
        <v>0</v>
      </c>
    </row>
    <row r="261" spans="1:2" x14ac:dyDescent="0.55000000000000004">
      <c r="A261" s="128" t="s">
        <v>269</v>
      </c>
      <c r="B261" s="93">
        <f>COUNTIFS('2015 Grievance Tracking'!M:M, "Triad",'2015 Grievance Tracking'!E:E, "&gt;="&amp;TIME(8,0,0),'2015 Grievance Tracking'!E:E, "&lt;"&amp;TIME(9,0,0))</f>
        <v>0</v>
      </c>
    </row>
    <row r="262" spans="1:2" x14ac:dyDescent="0.55000000000000004">
      <c r="A262" s="128" t="s">
        <v>254</v>
      </c>
      <c r="B262" s="93">
        <f>COUNTIFS('2015 Grievance Tracking'!M:M, "Triad",'2015 Grievance Tracking'!E:E, "&gt;="&amp;TIME(9,0,0),'2015 Grievance Tracking'!E:E, "&lt;"&amp;TIME(10,0,0))</f>
        <v>0</v>
      </c>
    </row>
    <row r="263" spans="1:2" x14ac:dyDescent="0.55000000000000004">
      <c r="A263" s="128" t="s">
        <v>255</v>
      </c>
      <c r="B263" s="93">
        <f>COUNTIFS('2015 Grievance Tracking'!M:M, "Triad",'2015 Grievance Tracking'!E:E, "&gt;="&amp;TIME(10,0,0),'2015 Grievance Tracking'!E:E, "&lt;"&amp;TIME(11,0,0))</f>
        <v>0</v>
      </c>
    </row>
    <row r="264" spans="1:2" x14ac:dyDescent="0.55000000000000004">
      <c r="A264" s="128" t="s">
        <v>256</v>
      </c>
      <c r="B264" s="93">
        <f>COUNTIFS('2015 Grievance Tracking'!M:M, "Triad",'2015 Grievance Tracking'!E:E, "&gt;="&amp;TIME(11,0,0),'2015 Grievance Tracking'!E:E, "&lt;"&amp;TIME(12,0,0))</f>
        <v>0</v>
      </c>
    </row>
    <row r="265" spans="1:2" x14ac:dyDescent="0.55000000000000004">
      <c r="A265" s="128" t="s">
        <v>257</v>
      </c>
      <c r="B265" s="93">
        <f>COUNTIFS('2015 Grievance Tracking'!M:M, "Triad",'2015 Grievance Tracking'!E:E, "&gt;="&amp;TIME(12,0,0),'2015 Grievance Tracking'!E:E, "&lt;"&amp;TIME(13,0,0))</f>
        <v>0</v>
      </c>
    </row>
    <row r="266" spans="1:2" x14ac:dyDescent="0.55000000000000004">
      <c r="A266" s="128" t="s">
        <v>258</v>
      </c>
      <c r="B266" s="93">
        <f>COUNTIFS('2015 Grievance Tracking'!M:M, "Triad",'2015 Grievance Tracking'!E:E, "&gt;="&amp;TIME(13,0,0),'2015 Grievance Tracking'!E:E, "&lt;"&amp;TIME(14,0,0))</f>
        <v>0</v>
      </c>
    </row>
    <row r="267" spans="1:2" x14ac:dyDescent="0.55000000000000004">
      <c r="A267" s="128" t="s">
        <v>259</v>
      </c>
      <c r="B267" s="93">
        <f>COUNTIFS('2015 Grievance Tracking'!M:M, "Triad",'2015 Grievance Tracking'!E:E, "&gt;="&amp;TIME(14,0,0),'2015 Grievance Tracking'!E:E, "&lt;"&amp;TIME(15,0,0))</f>
        <v>0</v>
      </c>
    </row>
    <row r="268" spans="1:2" x14ac:dyDescent="0.55000000000000004">
      <c r="A268" s="128" t="s">
        <v>260</v>
      </c>
      <c r="B268" s="93">
        <f>COUNTIFS('2015 Grievance Tracking'!M:M, "Triad",'2015 Grievance Tracking'!E:E, "&gt;="&amp;TIME(15,0,0),'2015 Grievance Tracking'!E:E, "&lt;"&amp;TIME(16,0,0))</f>
        <v>0</v>
      </c>
    </row>
    <row r="269" spans="1:2" x14ac:dyDescent="0.55000000000000004">
      <c r="A269" s="128" t="s">
        <v>261</v>
      </c>
      <c r="B269" s="93">
        <f>COUNTIFS('2015 Grievance Tracking'!M:M, "Triad",'2015 Grievance Tracking'!E:E, "&gt;="&amp;TIME(16,0,0),'2015 Grievance Tracking'!E:E, "&lt;"&amp;TIME(17,0,0))</f>
        <v>0</v>
      </c>
    </row>
    <row r="270" spans="1:2" x14ac:dyDescent="0.55000000000000004">
      <c r="A270" s="128" t="s">
        <v>262</v>
      </c>
      <c r="B270" s="93">
        <f>COUNTIFS('2015 Grievance Tracking'!M:M, "Triad",'2015 Grievance Tracking'!E:E, "&gt;="&amp;TIME(17,0,0),'2015 Grievance Tracking'!E:E, "&lt;"&amp;TIME(18,0,0))</f>
        <v>0</v>
      </c>
    </row>
    <row r="271" spans="1:2" x14ac:dyDescent="0.55000000000000004">
      <c r="A271" s="128" t="s">
        <v>263</v>
      </c>
      <c r="B271" s="93">
        <f>COUNTIFS('2015 Grievance Tracking'!M:M, "Triad",'2015 Grievance Tracking'!E:E, "&gt;="&amp;TIME(18,0,0),'2015 Grievance Tracking'!E:E, "&lt;"&amp;TIME(19,0,0))</f>
        <v>0</v>
      </c>
    </row>
    <row r="272" spans="1:2" x14ac:dyDescent="0.55000000000000004">
      <c r="A272" s="128" t="s">
        <v>264</v>
      </c>
      <c r="B272" s="93">
        <f>COUNTIFS('2015 Grievance Tracking'!M:M, "Triad",'2015 Grievance Tracking'!E:E, "&gt;="&amp;TIME(19,0,0),'2015 Grievance Tracking'!E:E, "&lt;"&amp;TIME(20,0,0))</f>
        <v>0</v>
      </c>
    </row>
    <row r="273" spans="1:2" x14ac:dyDescent="0.55000000000000004">
      <c r="A273" s="128" t="s">
        <v>265</v>
      </c>
      <c r="B273" s="93">
        <f>COUNTIFS('2015 Grievance Tracking'!M:M, "Triad",'2015 Grievance Tracking'!E:E, "&gt;="&amp;TIME(20,0,0),'2015 Grievance Tracking'!E:E, "&lt;"&amp;TIME(21,0,0))</f>
        <v>0</v>
      </c>
    </row>
    <row r="274" spans="1:2" x14ac:dyDescent="0.55000000000000004">
      <c r="A274" s="128" t="s">
        <v>266</v>
      </c>
      <c r="B274" s="93">
        <f>COUNTIFS('2015 Grievance Tracking'!M:M, "Triad",'2015 Grievance Tracking'!E:E, "&gt;="&amp;TIME(21,0,0),'2015 Grievance Tracking'!E:E, "&lt;"&amp;TIME(22,0,0))</f>
        <v>0</v>
      </c>
    </row>
    <row r="275" spans="1:2" x14ac:dyDescent="0.55000000000000004">
      <c r="A275" s="128" t="s">
        <v>267</v>
      </c>
      <c r="B275" s="93">
        <f>COUNTIFS('2015 Grievance Tracking'!M:M, "Triad",'2015 Grievance Tracking'!E:E, "&gt;="&amp;TIME(22,0,0),'2015 Grievance Tracking'!E:E, "&lt;"&amp;TIME(23,0,0))</f>
        <v>0</v>
      </c>
    </row>
    <row r="276" spans="1:2" x14ac:dyDescent="0.55000000000000004">
      <c r="A276" s="128" t="s">
        <v>268</v>
      </c>
      <c r="B276" s="93">
        <f>COUNTIFS('2015 Grievance Tracking'!M:M, "Triad",'2015 Grievance Tracking'!E:E, "&gt;="&amp;TIME(23,0,0),'2015 Grievance Tracking'!E:E, "&lt;"&amp;TIME(0,0,0))</f>
        <v>0</v>
      </c>
    </row>
    <row r="278" spans="1:2" x14ac:dyDescent="0.55000000000000004">
      <c r="A278" s="19" t="s">
        <v>200</v>
      </c>
    </row>
    <row r="279" spans="1:2" x14ac:dyDescent="0.55000000000000004">
      <c r="A279" s="1" t="s">
        <v>41</v>
      </c>
      <c r="B279" s="93">
        <f>COUNTIFS('2015 Grievance Tracking'!M:M, "Triad",'2015 Grievance Tracking'!D:D, "Monday")</f>
        <v>0</v>
      </c>
    </row>
    <row r="280" spans="1:2" x14ac:dyDescent="0.55000000000000004">
      <c r="A280" s="1" t="s">
        <v>42</v>
      </c>
      <c r="B280" s="93">
        <f>COUNTIFS('2015 Grievance Tracking'!M:M, "Triad",'2015 Grievance Tracking'!D:D, "Tuesday")</f>
        <v>0</v>
      </c>
    </row>
    <row r="281" spans="1:2" x14ac:dyDescent="0.55000000000000004">
      <c r="A281" s="1" t="s">
        <v>43</v>
      </c>
      <c r="B281" s="93">
        <f>COUNTIFS('2015 Grievance Tracking'!M:M, "Triad",'2015 Grievance Tracking'!D:D, "Wednesday")</f>
        <v>0</v>
      </c>
    </row>
    <row r="282" spans="1:2" x14ac:dyDescent="0.55000000000000004">
      <c r="A282" s="1" t="s">
        <v>44</v>
      </c>
      <c r="B282" s="93">
        <f>COUNTIFS('2015 Grievance Tracking'!M:M, "Triad",'2015 Grievance Tracking'!D:D, "Thursday")</f>
        <v>0</v>
      </c>
    </row>
    <row r="283" spans="1:2" x14ac:dyDescent="0.55000000000000004">
      <c r="A283" s="1" t="s">
        <v>45</v>
      </c>
      <c r="B283" s="93">
        <f>COUNTIFS('2015 Grievance Tracking'!M:M, "Triad",'2015 Grievance Tracking'!D:D, "Friday")</f>
        <v>0</v>
      </c>
    </row>
    <row r="284" spans="1:2" x14ac:dyDescent="0.55000000000000004">
      <c r="A284" s="1" t="s">
        <v>46</v>
      </c>
      <c r="B284" s="93">
        <f>COUNTIFS('2015 Grievance Tracking'!M:M, "Triad",'2015 Grievance Tracking'!D:D, "Saturday")</f>
        <v>0</v>
      </c>
    </row>
    <row r="285" spans="1:2" x14ac:dyDescent="0.55000000000000004">
      <c r="A285" s="1" t="s">
        <v>47</v>
      </c>
      <c r="B285" s="93">
        <f>COUNTIFS('2015 Grievance Tracking'!M:M, "Triad",'2015 Grievance Tracking'!D:D, "Sunday")</f>
        <v>0</v>
      </c>
    </row>
    <row r="286" spans="1:2" x14ac:dyDescent="0.55000000000000004">
      <c r="A286" s="1" t="s">
        <v>201</v>
      </c>
      <c r="B286" s="93">
        <f>COUNTIFS('2015 Grievance Tracking'!M:M, "Triad",'2015 Grievance Tracking'!D:D, "Over a period of time")</f>
        <v>0</v>
      </c>
    </row>
    <row r="288" spans="1:2" x14ac:dyDescent="0.55000000000000004">
      <c r="A288" s="165" t="s">
        <v>305</v>
      </c>
    </row>
    <row r="289" spans="1:2" s="35" customFormat="1" x14ac:dyDescent="0.55000000000000004">
      <c r="B289" s="164"/>
    </row>
    <row r="291" spans="1:2" x14ac:dyDescent="0.55000000000000004">
      <c r="A291" s="19" t="s">
        <v>302</v>
      </c>
    </row>
    <row r="292" spans="1:2" x14ac:dyDescent="0.55000000000000004">
      <c r="A292" s="19" t="s">
        <v>244</v>
      </c>
      <c r="B292" s="132" t="s">
        <v>245</v>
      </c>
    </row>
    <row r="293" spans="1:2" x14ac:dyDescent="0.55000000000000004">
      <c r="A293" s="128" t="s">
        <v>246</v>
      </c>
      <c r="B293" s="93">
        <f>COUNTIFS('2015 Grievance Tracking'!M:M, "Turning Point",'2015 Grievance Tracking'!E:E, "&gt;="&amp;TIME(0,0,0),'2015 Grievance Tracking'!E:E, "&lt;"&amp;TIME(1,0,0))</f>
        <v>0</v>
      </c>
    </row>
    <row r="294" spans="1:2" x14ac:dyDescent="0.55000000000000004">
      <c r="A294" s="128" t="s">
        <v>247</v>
      </c>
      <c r="B294" s="93">
        <f>COUNTIFS('2015 Grievance Tracking'!M:M, "Turning Point",'2015 Grievance Tracking'!E:E, "&gt;="&amp;TIME(1,0,0),'2015 Grievance Tracking'!E:E, "&lt;"&amp;TIME(2,0,0))</f>
        <v>0</v>
      </c>
    </row>
    <row r="295" spans="1:2" x14ac:dyDescent="0.55000000000000004">
      <c r="A295" s="128" t="s">
        <v>248</v>
      </c>
      <c r="B295" s="93">
        <f>COUNTIFS('2015 Grievance Tracking'!M:M, "Turning Point",'2015 Grievance Tracking'!E:E, "&gt;="&amp;TIME(2,0,0),'2015 Grievance Tracking'!E:E, "&lt;"&amp;TIME(3,0,0))</f>
        <v>0</v>
      </c>
    </row>
    <row r="296" spans="1:2" x14ac:dyDescent="0.55000000000000004">
      <c r="A296" s="128" t="s">
        <v>249</v>
      </c>
      <c r="B296" s="93">
        <f>COUNTIFS('2015 Grievance Tracking'!M:M, "Turning Point",'2015 Grievance Tracking'!E:E,"&gt;="&amp;TIME(3,0,0),'2015 Grievance Tracking'!E:E, "&lt;"&amp;TIME(4,0,0))</f>
        <v>0</v>
      </c>
    </row>
    <row r="297" spans="1:2" x14ac:dyDescent="0.55000000000000004">
      <c r="A297" s="128" t="s">
        <v>250</v>
      </c>
      <c r="B297" s="93">
        <f>COUNTIFS('2015 Grievance Tracking'!M:M, "Turning Point",'2015 Grievance Tracking'!E:E, "&gt;="&amp;TIME(4,0,0),'2015 Grievance Tracking'!E:E, "&lt;"&amp;TIME(5,0,0))</f>
        <v>0</v>
      </c>
    </row>
    <row r="298" spans="1:2" x14ac:dyDescent="0.55000000000000004">
      <c r="A298" s="128" t="s">
        <v>251</v>
      </c>
      <c r="B298" s="93">
        <f>COUNTIFS('2015 Grievance Tracking'!M:M, "Turning Point",'2015 Grievance Tracking'!E:E, "&gt;="&amp;TIME(5,0,0),'2015 Grievance Tracking'!E:E, "&lt;"&amp;TIME(6,0,0))</f>
        <v>0</v>
      </c>
    </row>
    <row r="299" spans="1:2" x14ac:dyDescent="0.55000000000000004">
      <c r="A299" s="128" t="s">
        <v>252</v>
      </c>
      <c r="B299" s="93">
        <f>COUNTIFS('2015 Grievance Tracking'!M:M, "Turning Point",'2015 Grievance Tracking'!E:E, "&gt;="&amp;TIME(6,0,0),'2015 Grievance Tracking'!E:E, "&lt;"&amp;TIME(7,0,0))</f>
        <v>0</v>
      </c>
    </row>
    <row r="300" spans="1:2" x14ac:dyDescent="0.55000000000000004">
      <c r="A300" s="128" t="s">
        <v>253</v>
      </c>
      <c r="B300" s="93">
        <f>COUNTIFS('2015 Grievance Tracking'!M:M, "Turning Point",'2015 Grievance Tracking'!E:E, "&gt;="&amp;TIME(7,0,0),'2015 Grievance Tracking'!E:E, "&lt;"&amp;TIME(8,0,0))</f>
        <v>0</v>
      </c>
    </row>
    <row r="301" spans="1:2" x14ac:dyDescent="0.55000000000000004">
      <c r="A301" s="128" t="s">
        <v>269</v>
      </c>
      <c r="B301" s="93">
        <f>COUNTIFS('2015 Grievance Tracking'!M:M, "Turning Point",'2015 Grievance Tracking'!E:E, "&gt;="&amp;TIME(8,0,0),'2015 Grievance Tracking'!E:E, "&lt;"&amp;TIME(9,0,0))</f>
        <v>0</v>
      </c>
    </row>
    <row r="302" spans="1:2" x14ac:dyDescent="0.55000000000000004">
      <c r="A302" s="128" t="s">
        <v>254</v>
      </c>
      <c r="B302" s="93">
        <f>COUNTIFS('2015 Grievance Tracking'!M:M, "Turning Point",'2015 Grievance Tracking'!E:E, "&gt;="&amp;TIME(9,0,0),'2015 Grievance Tracking'!E:E, "&lt;"&amp;TIME(10,0,0))</f>
        <v>0</v>
      </c>
    </row>
    <row r="303" spans="1:2" x14ac:dyDescent="0.55000000000000004">
      <c r="A303" s="128" t="s">
        <v>255</v>
      </c>
      <c r="B303" s="93">
        <f>COUNTIFS('2015 Grievance Tracking'!M:M, "Turning Point",'2015 Grievance Tracking'!E:E, "&gt;="&amp;TIME(10,0,0),'2015 Grievance Tracking'!E:E, "&lt;"&amp;TIME(11,0,0))</f>
        <v>0</v>
      </c>
    </row>
    <row r="304" spans="1:2" x14ac:dyDescent="0.55000000000000004">
      <c r="A304" s="128" t="s">
        <v>256</v>
      </c>
      <c r="B304" s="93">
        <f>COUNTIFS('2015 Grievance Tracking'!M:M, "Turning Point",'2015 Grievance Tracking'!E:E, "&gt;="&amp;TIME(11,0,0),'2015 Grievance Tracking'!E:E, "&lt;"&amp;TIME(12,0,0))</f>
        <v>0</v>
      </c>
    </row>
    <row r="305" spans="1:2" x14ac:dyDescent="0.55000000000000004">
      <c r="A305" s="128" t="s">
        <v>257</v>
      </c>
      <c r="B305" s="93">
        <f>COUNTIFS('2015 Grievance Tracking'!M:M, "Turning Point",'2015 Grievance Tracking'!E:E, "&gt;="&amp;TIME(12,0,0),'2015 Grievance Tracking'!E:E, "&lt;"&amp;TIME(13,0,0))</f>
        <v>0</v>
      </c>
    </row>
    <row r="306" spans="1:2" x14ac:dyDescent="0.55000000000000004">
      <c r="A306" s="128" t="s">
        <v>258</v>
      </c>
      <c r="B306" s="93">
        <f>COUNTIFS('2015 Grievance Tracking'!M:M, "Turning Point",'2015 Grievance Tracking'!E:E, "&gt;="&amp;TIME(13,0,0),'2015 Grievance Tracking'!E:E, "&lt;"&amp;TIME(14,0,0))</f>
        <v>0</v>
      </c>
    </row>
    <row r="307" spans="1:2" x14ac:dyDescent="0.55000000000000004">
      <c r="A307" s="128" t="s">
        <v>259</v>
      </c>
      <c r="B307" s="93">
        <f>COUNTIFS('2015 Grievance Tracking'!M:M, "Turning Point",'2015 Grievance Tracking'!E:E, "&gt;="&amp;TIME(14,0,0),'2015 Grievance Tracking'!E:E, "&lt;"&amp;TIME(15,0,0))</f>
        <v>0</v>
      </c>
    </row>
    <row r="308" spans="1:2" x14ac:dyDescent="0.55000000000000004">
      <c r="A308" s="128" t="s">
        <v>260</v>
      </c>
      <c r="B308" s="93">
        <f>COUNTIFS('2015 Grievance Tracking'!M:M, "Turning Point",'2015 Grievance Tracking'!E:E, "&gt;="&amp;TIME(15,0,0),'2015 Grievance Tracking'!E:E, "&lt;"&amp;TIME(16,0,0))</f>
        <v>0</v>
      </c>
    </row>
    <row r="309" spans="1:2" x14ac:dyDescent="0.55000000000000004">
      <c r="A309" s="128" t="s">
        <v>261</v>
      </c>
      <c r="B309" s="93">
        <f>COUNTIFS('2015 Grievance Tracking'!M:M, "Turning Point",'2015 Grievance Tracking'!E:E, "&gt;="&amp;TIME(16,0,0),'2015 Grievance Tracking'!E:E, "&lt;"&amp;TIME(17,0,0))</f>
        <v>0</v>
      </c>
    </row>
    <row r="310" spans="1:2" x14ac:dyDescent="0.55000000000000004">
      <c r="A310" s="128" t="s">
        <v>262</v>
      </c>
      <c r="B310" s="93">
        <f>COUNTIFS('2015 Grievance Tracking'!M:M, "Turning Point",'2015 Grievance Tracking'!E:E, "&gt;="&amp;TIME(17,0,0),'2015 Grievance Tracking'!E:E, "&lt;"&amp;TIME(18,0,0))</f>
        <v>0</v>
      </c>
    </row>
    <row r="311" spans="1:2" x14ac:dyDescent="0.55000000000000004">
      <c r="A311" s="128" t="s">
        <v>263</v>
      </c>
      <c r="B311" s="93">
        <f>COUNTIFS('2015 Grievance Tracking'!M:M, "Turning Point",'2015 Grievance Tracking'!E:E, "&gt;="&amp;TIME(18,0,0),'2015 Grievance Tracking'!E:E, "&lt;"&amp;TIME(19,0,0))</f>
        <v>0</v>
      </c>
    </row>
    <row r="312" spans="1:2" x14ac:dyDescent="0.55000000000000004">
      <c r="A312" s="128" t="s">
        <v>264</v>
      </c>
      <c r="B312" s="93">
        <f>COUNTIFS('2015 Grievance Tracking'!M:M, "Turning Point",'2015 Grievance Tracking'!E:E, "&gt;="&amp;TIME(19,0,0),'2015 Grievance Tracking'!E:E, "&lt;"&amp;TIME(20,0,0))</f>
        <v>0</v>
      </c>
    </row>
    <row r="313" spans="1:2" x14ac:dyDescent="0.55000000000000004">
      <c r="A313" s="128" t="s">
        <v>265</v>
      </c>
      <c r="B313" s="93">
        <f>COUNTIFS('2015 Grievance Tracking'!M:M, "Turning Point",'2015 Grievance Tracking'!E:E, "&gt;="&amp;TIME(20,0,0),'2015 Grievance Tracking'!E:E, "&lt;"&amp;TIME(21,0,0))</f>
        <v>0</v>
      </c>
    </row>
    <row r="314" spans="1:2" x14ac:dyDescent="0.55000000000000004">
      <c r="A314" s="128" t="s">
        <v>266</v>
      </c>
      <c r="B314" s="93">
        <f>COUNTIFS('2015 Grievance Tracking'!M:M, "Turning Point",'2015 Grievance Tracking'!E:E, "&gt;="&amp;TIME(21,0,0),'2015 Grievance Tracking'!E:E, "&lt;"&amp;TIME(22,0,0))</f>
        <v>0</v>
      </c>
    </row>
    <row r="315" spans="1:2" x14ac:dyDescent="0.55000000000000004">
      <c r="A315" s="128" t="s">
        <v>267</v>
      </c>
      <c r="B315" s="93">
        <f>COUNTIFS('2015 Grievance Tracking'!M:M, "Turning Point",'2015 Grievance Tracking'!E:E, "&gt;="&amp;TIME(22,0,0),'2015 Grievance Tracking'!E:E, "&lt;"&amp;TIME(23,0,0))</f>
        <v>0</v>
      </c>
    </row>
    <row r="316" spans="1:2" x14ac:dyDescent="0.55000000000000004">
      <c r="A316" s="128" t="s">
        <v>268</v>
      </c>
      <c r="B316" s="93">
        <f>COUNTIFS('2015 Grievance Tracking'!M:M, "Turning Point",'2015 Grievance Tracking'!E:E, "&gt;="&amp;TIME(23,0,0),'2015 Grievance Tracking'!E:E, "&lt;"&amp;TIME(0,0,0))</f>
        <v>0</v>
      </c>
    </row>
    <row r="318" spans="1:2" x14ac:dyDescent="0.55000000000000004">
      <c r="A318" s="19" t="s">
        <v>200</v>
      </c>
    </row>
    <row r="319" spans="1:2" x14ac:dyDescent="0.55000000000000004">
      <c r="A319" s="1" t="s">
        <v>41</v>
      </c>
      <c r="B319" s="93">
        <f>COUNTIFS('2015 Grievance Tracking'!M:M, "Turning Point",'2015 Grievance Tracking'!D:D, "Monday")</f>
        <v>0</v>
      </c>
    </row>
    <row r="320" spans="1:2" x14ac:dyDescent="0.55000000000000004">
      <c r="A320" s="1" t="s">
        <v>42</v>
      </c>
      <c r="B320" s="93">
        <f>COUNTIFS('2015 Grievance Tracking'!M:M, "Turning Point",'2015 Grievance Tracking'!D:D, "Tuesday")</f>
        <v>0</v>
      </c>
    </row>
    <row r="321" spans="1:2" x14ac:dyDescent="0.55000000000000004">
      <c r="A321" s="1" t="s">
        <v>43</v>
      </c>
      <c r="B321" s="93">
        <f>COUNTIFS('2015 Grievance Tracking'!M:M, "Turning Point",'2015 Grievance Tracking'!D:D, "Wednesday")</f>
        <v>0</v>
      </c>
    </row>
    <row r="322" spans="1:2" x14ac:dyDescent="0.55000000000000004">
      <c r="A322" s="1" t="s">
        <v>44</v>
      </c>
      <c r="B322" s="93">
        <f>COUNTIFS('2015 Grievance Tracking'!M:M, "Turning Point",'2015 Grievance Tracking'!D:D, "Thursday")</f>
        <v>0</v>
      </c>
    </row>
    <row r="323" spans="1:2" x14ac:dyDescent="0.55000000000000004">
      <c r="A323" s="1" t="s">
        <v>45</v>
      </c>
      <c r="B323" s="93">
        <f>COUNTIFS('2015 Grievance Tracking'!M:M, "Turning Point",'2015 Grievance Tracking'!D:D, "Friday")</f>
        <v>0</v>
      </c>
    </row>
    <row r="324" spans="1:2" x14ac:dyDescent="0.55000000000000004">
      <c r="A324" s="1" t="s">
        <v>46</v>
      </c>
      <c r="B324" s="93">
        <f>COUNTIFS('2015 Grievance Tracking'!M:M, "Turning Point",'2015 Grievance Tracking'!D:D, "Saturday")</f>
        <v>0</v>
      </c>
    </row>
    <row r="325" spans="1:2" x14ac:dyDescent="0.55000000000000004">
      <c r="A325" s="1" t="s">
        <v>47</v>
      </c>
      <c r="B325" s="93">
        <f>COUNTIFS('2015 Grievance Tracking'!M:M, "Turning Point",'2015 Grievance Tracking'!D:D, "Sunday")</f>
        <v>0</v>
      </c>
    </row>
    <row r="326" spans="1:2" x14ac:dyDescent="0.55000000000000004">
      <c r="A326" s="1" t="s">
        <v>201</v>
      </c>
      <c r="B326" s="93">
        <f>COUNTIFS('2015 Grievance Tracking'!M:M, "Turning Point",'2015 Grievance Tracking'!D:D, "Over a period of time")</f>
        <v>0</v>
      </c>
    </row>
    <row r="328" spans="1:2" x14ac:dyDescent="0.55000000000000004">
      <c r="A328" s="165" t="s">
        <v>305</v>
      </c>
    </row>
    <row r="329" spans="1:2" s="35" customFormat="1" x14ac:dyDescent="0.55000000000000004">
      <c r="B329" s="164"/>
    </row>
    <row r="331" spans="1:2" x14ac:dyDescent="0.55000000000000004">
      <c r="A331" s="19" t="s">
        <v>303</v>
      </c>
    </row>
    <row r="332" spans="1:2" x14ac:dyDescent="0.55000000000000004">
      <c r="A332" s="19" t="s">
        <v>244</v>
      </c>
      <c r="B332" s="132" t="s">
        <v>245</v>
      </c>
    </row>
    <row r="333" spans="1:2" x14ac:dyDescent="0.55000000000000004">
      <c r="A333" s="128" t="s">
        <v>246</v>
      </c>
      <c r="B333" s="93">
        <f>COUNTIFS('2015 Grievance Tracking'!M:M, "Waypoint",'2015 Grievance Tracking'!E:E, "&gt;="&amp;TIME(0,0,0),'2015 Grievance Tracking'!E:E, "&lt;"&amp;TIME(1,0,0))</f>
        <v>0</v>
      </c>
    </row>
    <row r="334" spans="1:2" x14ac:dyDescent="0.55000000000000004">
      <c r="A334" s="128" t="s">
        <v>247</v>
      </c>
      <c r="B334" s="93">
        <f>COUNTIFS('2015 Grievance Tracking'!M:M, "Waypoint",'2015 Grievance Tracking'!E:E, "&gt;="&amp;TIME(1,0,0),'2015 Grievance Tracking'!E:E, "&lt;"&amp;TIME(2,0,0))</f>
        <v>0</v>
      </c>
    </row>
    <row r="335" spans="1:2" x14ac:dyDescent="0.55000000000000004">
      <c r="A335" s="128" t="s">
        <v>248</v>
      </c>
      <c r="B335" s="93">
        <f>COUNTIFS('2015 Grievance Tracking'!M:M, "Waypoint",'2015 Grievance Tracking'!E:E, "&gt;="&amp;TIME(2,0,0),'2015 Grievance Tracking'!E:E, "&lt;"&amp;TIME(3,0,0))</f>
        <v>0</v>
      </c>
    </row>
    <row r="336" spans="1:2" x14ac:dyDescent="0.55000000000000004">
      <c r="A336" s="128" t="s">
        <v>249</v>
      </c>
      <c r="B336" s="93">
        <f>COUNTIFS('2015 Grievance Tracking'!M:M, "Waypoint",'2015 Grievance Tracking'!E:E,"&gt;="&amp;TIME(3,0,0),'2015 Grievance Tracking'!E:E, "&lt;"&amp;TIME(4,0,0))</f>
        <v>0</v>
      </c>
    </row>
    <row r="337" spans="1:2" x14ac:dyDescent="0.55000000000000004">
      <c r="A337" s="128" t="s">
        <v>250</v>
      </c>
      <c r="B337" s="93">
        <f>COUNTIFS('2015 Grievance Tracking'!M:M, "Waypoint",'2015 Grievance Tracking'!E:E, "&gt;="&amp;TIME(4,0,0),'2015 Grievance Tracking'!E:E, "&lt;"&amp;TIME(5,0,0))</f>
        <v>0</v>
      </c>
    </row>
    <row r="338" spans="1:2" x14ac:dyDescent="0.55000000000000004">
      <c r="A338" s="128" t="s">
        <v>251</v>
      </c>
      <c r="B338" s="93">
        <f>COUNTIFS('2015 Grievance Tracking'!M:M, "Waypoint",'2015 Grievance Tracking'!E:E, "&gt;="&amp;TIME(5,0,0),'2015 Grievance Tracking'!E:E, "&lt;"&amp;TIME(6,0,0))</f>
        <v>0</v>
      </c>
    </row>
    <row r="339" spans="1:2" x14ac:dyDescent="0.55000000000000004">
      <c r="A339" s="128" t="s">
        <v>252</v>
      </c>
      <c r="B339" s="93">
        <f>COUNTIFS('2015 Grievance Tracking'!M:M, "Waypoint",'2015 Grievance Tracking'!E:E, "&gt;="&amp;TIME(6,0,0),'2015 Grievance Tracking'!E:E, "&lt;"&amp;TIME(7,0,0))</f>
        <v>0</v>
      </c>
    </row>
    <row r="340" spans="1:2" x14ac:dyDescent="0.55000000000000004">
      <c r="A340" s="128" t="s">
        <v>253</v>
      </c>
      <c r="B340" s="93">
        <f>COUNTIFS('2015 Grievance Tracking'!M:M, "Waypoint",'2015 Grievance Tracking'!E:E, "&gt;="&amp;TIME(7,0,0),'2015 Grievance Tracking'!E:E, "&lt;"&amp;TIME(8,0,0))</f>
        <v>0</v>
      </c>
    </row>
    <row r="341" spans="1:2" x14ac:dyDescent="0.55000000000000004">
      <c r="A341" s="128" t="s">
        <v>269</v>
      </c>
      <c r="B341" s="93">
        <f>COUNTIFS('2015 Grievance Tracking'!M:M, "Waypoint",'2015 Grievance Tracking'!E:E, "&gt;="&amp;TIME(8,0,0),'2015 Grievance Tracking'!E:E, "&lt;"&amp;TIME(9,0,0))</f>
        <v>0</v>
      </c>
    </row>
    <row r="342" spans="1:2" x14ac:dyDescent="0.55000000000000004">
      <c r="A342" s="128" t="s">
        <v>254</v>
      </c>
      <c r="B342" s="93">
        <f>COUNTIFS('2015 Grievance Tracking'!M:M, "Waypoint",'2015 Grievance Tracking'!E:E, "&gt;="&amp;TIME(9,0,0),'2015 Grievance Tracking'!E:E, "&lt;"&amp;TIME(10,0,0))</f>
        <v>0</v>
      </c>
    </row>
    <row r="343" spans="1:2" x14ac:dyDescent="0.55000000000000004">
      <c r="A343" s="128" t="s">
        <v>255</v>
      </c>
      <c r="B343" s="93">
        <f>COUNTIFS('2015 Grievance Tracking'!M:M, "Waypoint",'2015 Grievance Tracking'!E:E, "&gt;="&amp;TIME(10,0,0),'2015 Grievance Tracking'!E:E, "&lt;"&amp;TIME(11,0,0))</f>
        <v>0</v>
      </c>
    </row>
    <row r="344" spans="1:2" x14ac:dyDescent="0.55000000000000004">
      <c r="A344" s="128" t="s">
        <v>256</v>
      </c>
      <c r="B344" s="93">
        <f>COUNTIFS('2015 Grievance Tracking'!M:M, "Waypoint",'2015 Grievance Tracking'!E:E, "&gt;="&amp;TIME(11,0,0),'2015 Grievance Tracking'!E:E, "&lt;"&amp;TIME(12,0,0))</f>
        <v>0</v>
      </c>
    </row>
    <row r="345" spans="1:2" x14ac:dyDescent="0.55000000000000004">
      <c r="A345" s="128" t="s">
        <v>257</v>
      </c>
      <c r="B345" s="93">
        <f>COUNTIFS('2015 Grievance Tracking'!M:M, "Waypoint",'2015 Grievance Tracking'!E:E, "&gt;="&amp;TIME(12,0,0),'2015 Grievance Tracking'!E:E, "&lt;"&amp;TIME(13,0,0))</f>
        <v>0</v>
      </c>
    </row>
    <row r="346" spans="1:2" x14ac:dyDescent="0.55000000000000004">
      <c r="A346" s="128" t="s">
        <v>258</v>
      </c>
      <c r="B346" s="93">
        <f>COUNTIFS('2015 Grievance Tracking'!M:M, "Waypoint",'2015 Grievance Tracking'!E:E, "&gt;="&amp;TIME(13,0,0),'2015 Grievance Tracking'!E:E, "&lt;"&amp;TIME(14,0,0))</f>
        <v>0</v>
      </c>
    </row>
    <row r="347" spans="1:2" x14ac:dyDescent="0.55000000000000004">
      <c r="A347" s="128" t="s">
        <v>259</v>
      </c>
      <c r="B347" s="93">
        <f>COUNTIFS('2015 Grievance Tracking'!M:M, "Waypoint",'2015 Grievance Tracking'!E:E, "&gt;="&amp;TIME(14,0,0),'2015 Grievance Tracking'!E:E, "&lt;"&amp;TIME(15,0,0))</f>
        <v>0</v>
      </c>
    </row>
    <row r="348" spans="1:2" x14ac:dyDescent="0.55000000000000004">
      <c r="A348" s="128" t="s">
        <v>260</v>
      </c>
      <c r="B348" s="93">
        <f>COUNTIFS('2015 Grievance Tracking'!M:M, "Waypoint",'2015 Grievance Tracking'!E:E, "&gt;="&amp;TIME(15,0,0),'2015 Grievance Tracking'!E:E, "&lt;"&amp;TIME(16,0,0))</f>
        <v>0</v>
      </c>
    </row>
    <row r="349" spans="1:2" x14ac:dyDescent="0.55000000000000004">
      <c r="A349" s="128" t="s">
        <v>261</v>
      </c>
      <c r="B349" s="93">
        <f>COUNTIFS('2015 Grievance Tracking'!M:M, "Waypoint",'2015 Grievance Tracking'!E:E, "&gt;="&amp;TIME(16,0,0),'2015 Grievance Tracking'!E:E, "&lt;"&amp;TIME(17,0,0))</f>
        <v>0</v>
      </c>
    </row>
    <row r="350" spans="1:2" x14ac:dyDescent="0.55000000000000004">
      <c r="A350" s="128" t="s">
        <v>262</v>
      </c>
      <c r="B350" s="93">
        <f>COUNTIFS('2015 Grievance Tracking'!M:M, "Waypoint",'2015 Grievance Tracking'!E:E, "&gt;="&amp;TIME(17,0,0),'2015 Grievance Tracking'!E:E, "&lt;"&amp;TIME(18,0,0))</f>
        <v>0</v>
      </c>
    </row>
    <row r="351" spans="1:2" x14ac:dyDescent="0.55000000000000004">
      <c r="A351" s="128" t="s">
        <v>263</v>
      </c>
      <c r="B351" s="93">
        <f>COUNTIFS('2015 Grievance Tracking'!M:M, "Waypoint",'2015 Grievance Tracking'!E:E, "&gt;="&amp;TIME(18,0,0),'2015 Grievance Tracking'!E:E, "&lt;"&amp;TIME(19,0,0))</f>
        <v>0</v>
      </c>
    </row>
    <row r="352" spans="1:2" x14ac:dyDescent="0.55000000000000004">
      <c r="A352" s="128" t="s">
        <v>264</v>
      </c>
      <c r="B352" s="93">
        <f>COUNTIFS('2015 Grievance Tracking'!M:M, "Waypoint",'2015 Grievance Tracking'!E:E, "&gt;="&amp;TIME(19,0,0),'2015 Grievance Tracking'!E:E, "&lt;"&amp;TIME(20,0,0))</f>
        <v>0</v>
      </c>
    </row>
    <row r="353" spans="1:2" x14ac:dyDescent="0.55000000000000004">
      <c r="A353" s="128" t="s">
        <v>265</v>
      </c>
      <c r="B353" s="93">
        <f>COUNTIFS('2015 Grievance Tracking'!M:M, "Waypoint",'2015 Grievance Tracking'!E:E, "&gt;="&amp;TIME(20,0,0),'2015 Grievance Tracking'!E:E, "&lt;"&amp;TIME(21,0,0))</f>
        <v>0</v>
      </c>
    </row>
    <row r="354" spans="1:2" x14ac:dyDescent="0.55000000000000004">
      <c r="A354" s="128" t="s">
        <v>266</v>
      </c>
      <c r="B354" s="93">
        <f>COUNTIFS('2015 Grievance Tracking'!M:M, "Waypoint",'2015 Grievance Tracking'!E:E, "&gt;="&amp;TIME(21,0,0),'2015 Grievance Tracking'!E:E, "&lt;"&amp;TIME(22,0,0))</f>
        <v>0</v>
      </c>
    </row>
    <row r="355" spans="1:2" x14ac:dyDescent="0.55000000000000004">
      <c r="A355" s="128" t="s">
        <v>267</v>
      </c>
      <c r="B355" s="93">
        <f>COUNTIFS('2015 Grievance Tracking'!M:M, "Waypoint",'2015 Grievance Tracking'!E:E, "&gt;="&amp;TIME(22,0,0),'2015 Grievance Tracking'!E:E, "&lt;"&amp;TIME(23,0,0))</f>
        <v>0</v>
      </c>
    </row>
    <row r="356" spans="1:2" x14ac:dyDescent="0.55000000000000004">
      <c r="A356" s="128" t="s">
        <v>268</v>
      </c>
      <c r="B356" s="93">
        <f>COUNTIFS('2015 Grievance Tracking'!M:M, "Waypoint",'2015 Grievance Tracking'!E:E, "&gt;="&amp;TIME(23,0,0),'2015 Grievance Tracking'!E:E, "&lt;"&amp;TIME(0,0,0))</f>
        <v>0</v>
      </c>
    </row>
    <row r="358" spans="1:2" x14ac:dyDescent="0.55000000000000004">
      <c r="A358" s="19" t="s">
        <v>200</v>
      </c>
    </row>
    <row r="359" spans="1:2" x14ac:dyDescent="0.55000000000000004">
      <c r="A359" s="1" t="s">
        <v>41</v>
      </c>
      <c r="B359" s="93">
        <f>COUNTIFS('2015 Grievance Tracking'!M:M, "Waypoint",'2015 Grievance Tracking'!D:D, "Monday")</f>
        <v>0</v>
      </c>
    </row>
    <row r="360" spans="1:2" x14ac:dyDescent="0.55000000000000004">
      <c r="A360" s="1" t="s">
        <v>42</v>
      </c>
      <c r="B360" s="93">
        <f>COUNTIFS('2015 Grievance Tracking'!M:M, "Waypoint",'2015 Grievance Tracking'!D:D, "Tuesday")</f>
        <v>0</v>
      </c>
    </row>
    <row r="361" spans="1:2" x14ac:dyDescent="0.55000000000000004">
      <c r="A361" s="1" t="s">
        <v>43</v>
      </c>
      <c r="B361" s="93">
        <f>COUNTIFS('2015 Grievance Tracking'!M:M, "Waypoint",'2015 Grievance Tracking'!D:D, "Wednesday")</f>
        <v>0</v>
      </c>
    </row>
    <row r="362" spans="1:2" x14ac:dyDescent="0.55000000000000004">
      <c r="A362" s="1" t="s">
        <v>44</v>
      </c>
      <c r="B362" s="93">
        <f>COUNTIFS('2015 Grievance Tracking'!M:M, "Waypoint",'2015 Grievance Tracking'!D:D, "Thursday")</f>
        <v>0</v>
      </c>
    </row>
    <row r="363" spans="1:2" x14ac:dyDescent="0.55000000000000004">
      <c r="A363" s="1" t="s">
        <v>45</v>
      </c>
      <c r="B363" s="93">
        <f>COUNTIFS('2015 Grievance Tracking'!M:M, "Waypoint",'2015 Grievance Tracking'!D:D, "Friday")</f>
        <v>0</v>
      </c>
    </row>
    <row r="364" spans="1:2" x14ac:dyDescent="0.55000000000000004">
      <c r="A364" s="1" t="s">
        <v>46</v>
      </c>
      <c r="B364" s="93">
        <f>COUNTIFS('2015 Grievance Tracking'!M:M, "Waypoint",'2015 Grievance Tracking'!D:D, "Saturday")</f>
        <v>0</v>
      </c>
    </row>
    <row r="365" spans="1:2" x14ac:dyDescent="0.55000000000000004">
      <c r="A365" s="1" t="s">
        <v>47</v>
      </c>
      <c r="B365" s="93">
        <f>COUNTIFS('2015 Grievance Tracking'!M:M, "Waypoint",'2015 Grievance Tracking'!D:D, "Sunday")</f>
        <v>0</v>
      </c>
    </row>
    <row r="366" spans="1:2" x14ac:dyDescent="0.55000000000000004">
      <c r="A366" s="1" t="s">
        <v>201</v>
      </c>
      <c r="B366" s="93">
        <f>COUNTIFS('2015 Grievance Tracking'!M:M, "Waypoint",'2015 Grievance Tracking'!D:D, "Over a period of time")</f>
        <v>0</v>
      </c>
    </row>
    <row r="368" spans="1:2" x14ac:dyDescent="0.55000000000000004">
      <c r="A368" s="165" t="s">
        <v>305</v>
      </c>
    </row>
  </sheetData>
  <dataValidations count="1">
    <dataValidation type="list" allowBlank="1" showInputMessage="1" showErrorMessage="1" sqref="A39:A45 A359:A365 A319:A325 A279:A285 A239:A245 A199:A205 A159:A165 A119:A125 A79:A85" xr:uid="{00000000-0002-0000-0A00-000000000000}">
      <formula1>$A$10:$A$18</formula1>
    </dataValidation>
  </dataValidations>
  <hyperlinks>
    <hyperlink ref="A88" location="'Times per unit'!A1" display="Return to Table of Contents" xr:uid="{00000000-0004-0000-0A00-000000000000}"/>
    <hyperlink ref="A128" location="'Times per unit'!A1" display="Return to Table of Contents" xr:uid="{00000000-0004-0000-0A00-000001000000}"/>
    <hyperlink ref="A48" location="'Times per unit'!A1" display="Return to Table of Contents" xr:uid="{00000000-0004-0000-0A00-000002000000}"/>
    <hyperlink ref="A168" location="'Times per unit'!A1" display="Return to Table of Contents" xr:uid="{00000000-0004-0000-0A00-000003000000}"/>
    <hyperlink ref="A208" location="'Times per unit'!A1" display="Return to Table of Contents" xr:uid="{00000000-0004-0000-0A00-000004000000}"/>
    <hyperlink ref="A248" location="'Times per unit'!A1" display="Return to Table of Contents" xr:uid="{00000000-0004-0000-0A00-000005000000}"/>
    <hyperlink ref="A288" location="'Times per unit'!A1" display="Return to Table of Contents" xr:uid="{00000000-0004-0000-0A00-000006000000}"/>
    <hyperlink ref="A328" location="'Times per unit'!A1" display="Return to Table of Contents" xr:uid="{00000000-0004-0000-0A00-000007000000}"/>
    <hyperlink ref="A368" location="'Times per unit'!A1" display="Return to Table of Contents" xr:uid="{00000000-0004-0000-0A00-000008000000}"/>
    <hyperlink ref="A3" location="'Times per unit'!A8" display="All Units" xr:uid="{00000000-0004-0000-0A00-000009000000}"/>
    <hyperlink ref="A4" location="'Times per unit'!A51" display="New Choices" xr:uid="{00000000-0004-0000-0A00-00000A000000}"/>
    <hyperlink ref="A5" location="'Times per unit'!A91" display="Safe Harbor" xr:uid="{00000000-0004-0000-0A00-00000B000000}"/>
    <hyperlink ref="A6" location="'Times per unit'!A131" display="Starting Point" xr:uid="{00000000-0004-0000-0A00-00000C000000}"/>
    <hyperlink ref="B3" location="'Times per unit'!A171" display="Transformations 1" xr:uid="{00000000-0004-0000-0A00-00000D000000}"/>
    <hyperlink ref="B4" location="'Times per unit'!A211" display="Transformations 2" xr:uid="{00000000-0004-0000-0A00-00000E000000}"/>
    <hyperlink ref="B5" location="'Times per unit'!A251" display="Triad" xr:uid="{00000000-0004-0000-0A00-00000F000000}"/>
    <hyperlink ref="B6" location="'Times per unit'!A291" display="Turning Point" xr:uid="{00000000-0004-0000-0A00-000010000000}"/>
    <hyperlink ref="E3" location="'Times per unit'!A331" display="Waypoint" xr:uid="{00000000-0004-0000-0A00-000011000000}"/>
  </hyperlinks>
  <pageMargins left="0.25" right="0.25" top="0.75" bottom="0.75" header="0.3" footer="0.3"/>
  <pageSetup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theme="4"/>
  </sheetPr>
  <dimension ref="A2:P142"/>
  <sheetViews>
    <sheetView zoomScaleNormal="100" workbookViewId="0">
      <selection activeCell="K1" sqref="K1"/>
    </sheetView>
  </sheetViews>
  <sheetFormatPr defaultRowHeight="14.4" x14ac:dyDescent="0.55000000000000004"/>
  <cols>
    <col min="1" max="1" width="20.734375" customWidth="1"/>
    <col min="3" max="3" width="2.7890625" customWidth="1"/>
    <col min="16" max="16" width="38.7890625" style="27" customWidth="1"/>
  </cols>
  <sheetData>
    <row r="2" spans="1:16" x14ac:dyDescent="0.55000000000000004">
      <c r="A2" t="s">
        <v>405</v>
      </c>
    </row>
    <row r="3" spans="1:16" x14ac:dyDescent="0.55000000000000004">
      <c r="A3" t="s">
        <v>413</v>
      </c>
      <c r="B3" t="s">
        <v>414</v>
      </c>
    </row>
    <row r="4" spans="1:16" x14ac:dyDescent="0.55000000000000004">
      <c r="B4" t="s">
        <v>420</v>
      </c>
    </row>
    <row r="5" spans="1:16" x14ac:dyDescent="0.55000000000000004">
      <c r="B5" t="s">
        <v>421</v>
      </c>
    </row>
    <row r="7" spans="1:16" x14ac:dyDescent="0.55000000000000004">
      <c r="A7" s="19" t="s">
        <v>49</v>
      </c>
      <c r="B7" s="129" t="s">
        <v>205</v>
      </c>
      <c r="C7" s="27" t="s">
        <v>307</v>
      </c>
      <c r="D7" s="129" t="s">
        <v>94</v>
      </c>
      <c r="E7" s="129" t="s">
        <v>95</v>
      </c>
      <c r="F7" s="129" t="s">
        <v>96</v>
      </c>
      <c r="G7" s="129" t="s">
        <v>97</v>
      </c>
      <c r="H7" s="129" t="s">
        <v>93</v>
      </c>
      <c r="I7" s="129" t="s">
        <v>98</v>
      </c>
      <c r="J7" s="129" t="s">
        <v>99</v>
      </c>
      <c r="K7" s="129" t="s">
        <v>100</v>
      </c>
      <c r="L7" s="129" t="s">
        <v>101</v>
      </c>
      <c r="M7" s="129" t="s">
        <v>102</v>
      </c>
      <c r="N7" s="129" t="s">
        <v>103</v>
      </c>
      <c r="O7" s="129" t="s">
        <v>104</v>
      </c>
      <c r="P7" s="129" t="s">
        <v>419</v>
      </c>
    </row>
    <row r="8" spans="1:16" x14ac:dyDescent="0.55000000000000004">
      <c r="A8" s="1" t="s">
        <v>406</v>
      </c>
      <c r="B8" s="27">
        <f>COUNTIFS(Table13[Resident''s Unit], "New Choices", Table13[Shift], "1st")</f>
        <v>0</v>
      </c>
      <c r="C8" s="27"/>
      <c r="D8" s="27">
        <f>COUNTIFS(Table13[Resident''s Unit], "New Choices", Table13[Shift], "1st", Table13[Month Received], "January")</f>
        <v>0</v>
      </c>
      <c r="E8" s="27">
        <f>COUNTIFS(Table13[Resident''s Unit], "New Choices", Table13[Shift], "1st", Table13[Month Received], "February")</f>
        <v>0</v>
      </c>
      <c r="F8" s="27">
        <f>COUNTIFS(Table13[Resident''s Unit], "New Choices", Table13[Shift], "1st", Table13[Month Received], "March")</f>
        <v>0</v>
      </c>
      <c r="G8" s="27">
        <f>COUNTIFS(Table13[Resident''s Unit], "New Choices", Table13[Shift], "1st", Table13[Month Received], "April")</f>
        <v>0</v>
      </c>
      <c r="H8" s="27">
        <f>COUNTIFS(Table13[Resident''s Unit], "New Choices", Table13[Shift], "1st", Table13[Month Received], "May")</f>
        <v>0</v>
      </c>
      <c r="I8" s="27">
        <f>COUNTIFS(Table13[Resident''s Unit], "New Choices", Table13[Shift], "1st", Table13[Month Received], "June")</f>
        <v>0</v>
      </c>
      <c r="J8" s="27">
        <f>COUNTIFS(Table13[Resident''s Unit], "New Choices", Table13[Shift], "1st", Table13[Month Received], "July")</f>
        <v>0</v>
      </c>
      <c r="K8" s="27">
        <f>COUNTIFS(Table13[Resident''s Unit], "New Choices", Table13[Shift], "1st", Table13[Month Received], "August")</f>
        <v>0</v>
      </c>
      <c r="L8" s="27">
        <f>COUNTIFS(Table13[Resident''s Unit], "New Choices", Table13[Shift], "1st", Table13[Month Received], "September")</f>
        <v>0</v>
      </c>
      <c r="M8" s="27">
        <f>COUNTIFS(Table13[Resident''s Unit], "New Choices", Table13[Shift], "1st", Table13[Month Received], "October")</f>
        <v>0</v>
      </c>
      <c r="N8" s="27">
        <f>COUNTIFS(Table13[Resident''s Unit], "New Choices", Table13[Shift], "1st", Table13[Month Received], "November")</f>
        <v>0</v>
      </c>
      <c r="O8" s="27">
        <f>COUNTIFS(Table13[Resident''s Unit], "New Choices", Table13[Shift], "1st", Table13[Month Received], "December")</f>
        <v>0</v>
      </c>
      <c r="P8" s="27">
        <f t="shared" ref="P8:P14" si="0">SUM(D8:O8)</f>
        <v>0</v>
      </c>
    </row>
    <row r="9" spans="1:16" x14ac:dyDescent="0.55000000000000004">
      <c r="A9" s="1" t="s">
        <v>415</v>
      </c>
      <c r="B9" s="27">
        <f>COUNTIFS(Table13[Resident''s Unit], "New Choices", Table13[Shift], "1st &amp; 2nd")</f>
        <v>0</v>
      </c>
      <c r="C9" s="27"/>
      <c r="D9" s="27">
        <f>COUNTIFS(Table13[Resident''s Unit], "New Choices", Table13[Shift], "1st &amp; 2nd", Table13[Month Received], "January")</f>
        <v>0</v>
      </c>
      <c r="E9" s="27">
        <f>COUNTIFS(Table13[Resident''s Unit], "New Choices", Table13[Shift], "1st &amp; 2nd", Table13[Month Received], "February")</f>
        <v>0</v>
      </c>
      <c r="F9" s="27">
        <f>COUNTIFS(Table13[Resident''s Unit], "New Choices", Table13[Shift], "1st &amp; 2nd", Table13[Month Received], "March")</f>
        <v>0</v>
      </c>
      <c r="G9" s="27">
        <f>COUNTIFS(Table13[Resident''s Unit], "New Choices", Table13[Shift], "1st &amp; 2nd", Table13[Month Received], "April")</f>
        <v>0</v>
      </c>
      <c r="H9" s="27">
        <f>COUNTIFS(Table13[Resident''s Unit], "New Choices", Table13[Shift], "1st &amp; 2nd", Table13[Month Received], "May")</f>
        <v>0</v>
      </c>
      <c r="I9" s="27">
        <f>COUNTIFS(Table13[Resident''s Unit], "New Choices", Table13[Shift], "1st &amp; 2nd", Table13[Month Received], "June")</f>
        <v>0</v>
      </c>
      <c r="J9" s="27">
        <f>COUNTIFS(Table13[Resident''s Unit], "New Choices", Table13[Shift], "1st &amp; 2nd", Table13[Month Received], "July")</f>
        <v>0</v>
      </c>
      <c r="K9" s="27">
        <f>COUNTIFS(Table13[Resident''s Unit], "New Choices", Table13[Shift], "1st &amp; 2nd", Table13[Month Received], "August")</f>
        <v>0</v>
      </c>
      <c r="L9" s="27">
        <f>COUNTIFS(Table13[Resident''s Unit], "New Choices", Table13[Shift], "1st &amp; 2nd", Table13[Month Received], "September")</f>
        <v>0</v>
      </c>
      <c r="M9" s="27">
        <f>COUNTIFS(Table13[Resident''s Unit], "New Choices", Table13[Shift], "1st &amp; 2nd", Table13[Month Received], "October")</f>
        <v>0</v>
      </c>
      <c r="N9" s="27">
        <f>COUNTIFS(Table13[Resident''s Unit], "New Choices", Table13[Shift], "1st &amp; 2nd", Table13[Month Received], "November")</f>
        <v>0</v>
      </c>
      <c r="O9" s="27">
        <f>COUNTIFS(Table13[Resident''s Unit], "New Choices", Table13[Shift], "1st &amp; 2nd", Table13[Month Received], "December")</f>
        <v>0</v>
      </c>
      <c r="P9" s="27">
        <f t="shared" si="0"/>
        <v>0</v>
      </c>
    </row>
    <row r="10" spans="1:16" x14ac:dyDescent="0.55000000000000004">
      <c r="A10" s="1" t="s">
        <v>407</v>
      </c>
      <c r="B10" s="27">
        <f>COUNTIFS(Table13[Resident''s Unit], "New Choices", Table13[Shift], "2nd")</f>
        <v>0</v>
      </c>
      <c r="C10" s="27"/>
      <c r="D10" s="27">
        <f>COUNTIFS(Table13[Resident''s Unit], "New Choices", Table13[Shift], "2nd", Table13[Month Received], "January")</f>
        <v>0</v>
      </c>
      <c r="E10" s="27">
        <f>COUNTIFS(Table13[Resident''s Unit], "New Choices", Table13[Shift], "2nd", Table13[Month Received], "February")</f>
        <v>0</v>
      </c>
      <c r="F10" s="27">
        <f>COUNTIFS(Table13[Resident''s Unit], "New Choices", Table13[Shift], "2nd", Table13[Month Received], "March")</f>
        <v>0</v>
      </c>
      <c r="G10" s="27">
        <f>COUNTIFS(Table13[Resident''s Unit], "New Choices", Table13[Shift], "2nd", Table13[Month Received], "April")</f>
        <v>0</v>
      </c>
      <c r="H10" s="27">
        <f>COUNTIFS(Table13[Resident''s Unit], "New Choices", Table13[Shift], "2nd", Table13[Month Received], "May")</f>
        <v>0</v>
      </c>
      <c r="I10" s="27">
        <f>COUNTIFS(Table13[Resident''s Unit], "New Choices", Table13[Shift], "2nd", Table13[Month Received], "June")</f>
        <v>0</v>
      </c>
      <c r="J10" s="27">
        <f>COUNTIFS(Table13[Resident''s Unit], "New Choices", Table13[Shift], "2nd", Table13[Month Received], "July")</f>
        <v>0</v>
      </c>
      <c r="K10" s="27">
        <f>COUNTIFS(Table13[Resident''s Unit], "New Choices", Table13[Shift], "2nd", Table13[Month Received], "August")</f>
        <v>0</v>
      </c>
      <c r="L10" s="27">
        <f>COUNTIFS(Table13[Resident''s Unit], "New Choices", Table13[Shift], "2nd", Table13[Month Received], "September")</f>
        <v>0</v>
      </c>
      <c r="M10" s="27">
        <f>COUNTIFS(Table13[Resident''s Unit], "New Choices", Table13[Shift], "2nd", Table13[Month Received], "October")</f>
        <v>0</v>
      </c>
      <c r="N10" s="27">
        <f>COUNTIFS(Table13[Resident''s Unit], "New Choices", Table13[Shift], "2nd", Table13[Month Received], "November")</f>
        <v>0</v>
      </c>
      <c r="O10" s="27">
        <f>COUNTIFS(Table13[Resident''s Unit], "New Choices", Table13[Shift], "2nd", Table13[Month Received], "December")</f>
        <v>0</v>
      </c>
      <c r="P10" s="27">
        <f t="shared" si="0"/>
        <v>0</v>
      </c>
    </row>
    <row r="11" spans="1:16" x14ac:dyDescent="0.55000000000000004">
      <c r="A11" s="1" t="s">
        <v>416</v>
      </c>
      <c r="B11" s="27">
        <f>COUNTIFS(Table13[Resident''s Unit], "New Choices", Table13[Shift], "2nd &amp; 3rd")</f>
        <v>0</v>
      </c>
      <c r="C11" s="27"/>
      <c r="D11" s="27">
        <f>COUNTIFS(Table13[Resident''s Unit], "New Choices", Table13[Shift], "2nd &amp; 3rd", Table13[Month Received], "January")</f>
        <v>0</v>
      </c>
      <c r="E11" s="27">
        <f>COUNTIFS(Table13[Resident''s Unit], "New Choices", Table13[Shift], "2nd &amp; 3rd", Table13[Month Received], "February")</f>
        <v>0</v>
      </c>
      <c r="F11" s="27">
        <f>COUNTIFS(Table13[Resident''s Unit], "New Choices", Table13[Shift], "2nd &amp; 3rd", Table13[Month Received], "March")</f>
        <v>0</v>
      </c>
      <c r="G11" s="27">
        <f>COUNTIFS(Table13[Resident''s Unit], "New Choices", Table13[Shift], "2nd &amp; 3rd", Table13[Month Received], "April")</f>
        <v>0</v>
      </c>
      <c r="H11" s="27">
        <f>COUNTIFS(Table13[Resident''s Unit], "New Choices", Table13[Shift], "2nd &amp; 3rd", Table13[Month Received], "May")</f>
        <v>0</v>
      </c>
      <c r="I11" s="27">
        <f>COUNTIFS(Table13[Resident''s Unit], "New Choices", Table13[Shift], "2nd &amp; 3rd", Table13[Month Received], "June")</f>
        <v>0</v>
      </c>
      <c r="J11" s="27">
        <f>COUNTIFS(Table13[Resident''s Unit], "New Choices", Table13[Shift], "2nd &amp; 3rd", Table13[Month Received], "July")</f>
        <v>0</v>
      </c>
      <c r="K11" s="27">
        <f>COUNTIFS(Table13[Resident''s Unit], "New Choices", Table13[Shift], "2nd &amp; 3rd", Table13[Month Received], "August")</f>
        <v>0</v>
      </c>
      <c r="L11" s="27">
        <f>COUNTIFS(Table13[Resident''s Unit], "New Choices", Table13[Shift], "2nd &amp; 3rd", Table13[Month Received], "September")</f>
        <v>0</v>
      </c>
      <c r="M11" s="27">
        <f>COUNTIFS(Table13[Resident''s Unit], "New Choices", Table13[Shift], "2nd &amp; 3rd", Table13[Month Received], "October")</f>
        <v>0</v>
      </c>
      <c r="N11" s="27">
        <f>COUNTIFS(Table13[Resident''s Unit], "New Choices", Table13[Shift], "2nd &amp; 3rd", Table13[Month Received], "November")</f>
        <v>0</v>
      </c>
      <c r="O11" s="27">
        <f>COUNTIFS(Table13[Resident''s Unit], "New Choices", Table13[Shift], "2nd &amp; 3rd", Table13[Month Received], "December")</f>
        <v>0</v>
      </c>
      <c r="P11" s="27">
        <f t="shared" si="0"/>
        <v>0</v>
      </c>
    </row>
    <row r="12" spans="1:16" x14ac:dyDescent="0.55000000000000004">
      <c r="A12" s="1" t="s">
        <v>408</v>
      </c>
      <c r="B12" s="27">
        <f>COUNTIFS(Table13[Resident''s Unit], "New Choices", Table13[Shift], "3rd")</f>
        <v>0</v>
      </c>
      <c r="C12" s="27"/>
      <c r="D12" s="27">
        <f>COUNTIFS(Table13[Resident''s Unit], "New Choices", Table13[Shift], "3rd", Table13[Month Received], "January")</f>
        <v>0</v>
      </c>
      <c r="E12" s="27">
        <f>COUNTIFS(Table13[Resident''s Unit], "New Choices", Table13[Shift], "3rd", Table13[Month Received], "February")</f>
        <v>0</v>
      </c>
      <c r="F12" s="27">
        <f>COUNTIFS(Table13[Resident''s Unit], "New Choices", Table13[Shift], "3rd", Table13[Month Received], "March")</f>
        <v>0</v>
      </c>
      <c r="G12" s="27">
        <f>COUNTIFS(Table13[Resident''s Unit], "New Choices", Table13[Shift], "3rd", Table13[Month Received], "April")</f>
        <v>0</v>
      </c>
      <c r="H12" s="27">
        <f>COUNTIFS(Table13[Resident''s Unit], "New Choices", Table13[Shift], "3rd", Table13[Month Received], "May")</f>
        <v>0</v>
      </c>
      <c r="I12" s="27">
        <f>COUNTIFS(Table13[Resident''s Unit], "New Choices", Table13[Shift], "3rd", Table13[Month Received], "June")</f>
        <v>0</v>
      </c>
      <c r="J12" s="27">
        <f>COUNTIFS(Table13[Resident''s Unit], "New Choices", Table13[Shift], "3rd", Table13[Month Received], "July")</f>
        <v>0</v>
      </c>
      <c r="K12" s="27">
        <f>COUNTIFS(Table13[Resident''s Unit], "New Choices", Table13[Shift], "3rd", Table13[Month Received], "August")</f>
        <v>0</v>
      </c>
      <c r="L12" s="27">
        <f>COUNTIFS(Table13[Resident''s Unit], "New Choices", Table13[Shift], "3rd", Table13[Month Received], "September")</f>
        <v>0</v>
      </c>
      <c r="M12" s="27">
        <f>COUNTIFS(Table13[Resident''s Unit], "New Choices", Table13[Shift], "3rd", Table13[Month Received], "October")</f>
        <v>0</v>
      </c>
      <c r="N12" s="27">
        <f>COUNTIFS(Table13[Resident''s Unit], "New Choices", Table13[Shift], "3rd", Table13[Month Received], "November")</f>
        <v>0</v>
      </c>
      <c r="O12" s="27">
        <f>COUNTIFS(Table13[Resident''s Unit], "New Choices", Table13[Shift], "3rd", Table13[Month Received], "December")</f>
        <v>0</v>
      </c>
      <c r="P12" s="27">
        <f t="shared" si="0"/>
        <v>0</v>
      </c>
    </row>
    <row r="13" spans="1:16" x14ac:dyDescent="0.55000000000000004">
      <c r="A13" s="1" t="s">
        <v>418</v>
      </c>
      <c r="B13" s="27">
        <f>COUNTIFS(Table13[Resident''s Unit], "New Choices", Table13[Shift], "3rd &amp; 1st")</f>
        <v>0</v>
      </c>
      <c r="C13" s="27"/>
      <c r="D13" s="27">
        <f>COUNTIFS(Table13[Resident''s Unit], "New Choices", Table13[Shift], "3rd &amp; 1st", Table13[Month Received], "January")</f>
        <v>0</v>
      </c>
      <c r="E13" s="27">
        <f>COUNTIFS(Table13[Resident''s Unit], "New Choices", Table13[Shift], "3rd &amp; 1st", Table13[Month Received], "February")</f>
        <v>0</v>
      </c>
      <c r="F13" s="27">
        <f>COUNTIFS(Table13[Resident''s Unit], "New Choices", Table13[Shift], "3rd &amp; 1st", Table13[Month Received], "March")</f>
        <v>0</v>
      </c>
      <c r="G13" s="27">
        <f>COUNTIFS(Table13[Resident''s Unit], "New Choices", Table13[Shift], "3rd &amp; 1st", Table13[Month Received], "April")</f>
        <v>0</v>
      </c>
      <c r="H13" s="27">
        <f>COUNTIFS(Table13[Resident''s Unit], "New Choices", Table13[Shift], "3rd &amp; 1st", Table13[Month Received], "May")</f>
        <v>0</v>
      </c>
      <c r="I13" s="27">
        <f>COUNTIFS(Table13[Resident''s Unit], "New Choices", Table13[Shift], "3rd &amp; 1st", Table13[Month Received], "June")</f>
        <v>0</v>
      </c>
      <c r="J13" s="27">
        <f>COUNTIFS(Table13[Resident''s Unit], "New Choices", Table13[Shift], "3rd &amp; 1st", Table13[Month Received], "July")</f>
        <v>0</v>
      </c>
      <c r="K13" s="27">
        <f>COUNTIFS(Table13[Resident''s Unit], "New Choices", Table13[Shift], "3rd &amp; 1st", Table13[Month Received], "August")</f>
        <v>0</v>
      </c>
      <c r="L13" s="27">
        <f>COUNTIFS(Table13[Resident''s Unit], "New Choices", Table13[Shift], "3rd &amp; 1st", Table13[Month Received], "September")</f>
        <v>0</v>
      </c>
      <c r="M13" s="27">
        <f>COUNTIFS(Table13[Resident''s Unit], "New Choices", Table13[Shift], "3rd &amp; 1st", Table13[Month Received], "October")</f>
        <v>0</v>
      </c>
      <c r="N13" s="27">
        <f>COUNTIFS(Table13[Resident''s Unit], "New Choices", Table13[Shift], "3rd &amp; 1st", Table13[Month Received], "November")</f>
        <v>0</v>
      </c>
      <c r="O13" s="27">
        <f>COUNTIFS(Table13[Resident''s Unit], "New Choices", Table13[Shift], "3rd &amp; 1st", Table13[Month Received], "December")</f>
        <v>0</v>
      </c>
      <c r="P13" s="27">
        <f t="shared" si="0"/>
        <v>0</v>
      </c>
    </row>
    <row r="14" spans="1:16" x14ac:dyDescent="0.55000000000000004">
      <c r="A14" s="1" t="s">
        <v>412</v>
      </c>
      <c r="B14" s="27">
        <f>COUNTIFS(Table13[Resident''s Unit], "New Choices", Table13[Shift], "All")</f>
        <v>0</v>
      </c>
      <c r="C14" s="27"/>
      <c r="D14" s="27">
        <f>COUNTIFS(Table13[Resident''s Unit], "New Choices", Table13[Shift], "All", Table13[Month Received], "January")</f>
        <v>0</v>
      </c>
      <c r="E14" s="27">
        <f>COUNTIFS(Table13[Resident''s Unit], "New Choices", Table13[Shift], "All", Table13[Month Received], "February")</f>
        <v>0</v>
      </c>
      <c r="F14" s="27">
        <f>COUNTIFS(Table13[Resident''s Unit], "New Choices", Table13[Shift], "All", Table13[Month Received], "March")</f>
        <v>0</v>
      </c>
      <c r="G14" s="27">
        <f>COUNTIFS(Table13[Resident''s Unit], "New Choices", Table13[Shift], "All", Table13[Month Received], "April")</f>
        <v>0</v>
      </c>
      <c r="H14" s="27">
        <f>COUNTIFS(Table13[Resident''s Unit], "New Choices", Table13[Shift], "All", Table13[Month Received], "May")</f>
        <v>0</v>
      </c>
      <c r="I14" s="27">
        <f>COUNTIFS(Table13[Resident''s Unit], "New Choices", Table13[Shift], "All", Table13[Month Received], "June")</f>
        <v>0</v>
      </c>
      <c r="J14" s="27">
        <f>COUNTIFS(Table13[Resident''s Unit], "New Choices", Table13[Shift], "All", Table13[Month Received], "July")</f>
        <v>0</v>
      </c>
      <c r="K14" s="27">
        <f>COUNTIFS(Table13[Resident''s Unit], "New Choices", Table13[Shift], "All", Table13[Month Received], "August")</f>
        <v>0</v>
      </c>
      <c r="L14" s="27">
        <f>COUNTIFS(Table13[Resident''s Unit], "New Choices", Table13[Shift], "All", Table13[Month Received], "September")</f>
        <v>0</v>
      </c>
      <c r="M14" s="27">
        <f>COUNTIFS(Table13[Resident''s Unit], "New Choices", Table13[Shift], "All", Table13[Month Received], "October")</f>
        <v>0</v>
      </c>
      <c r="N14" s="27">
        <f>COUNTIFS(Table13[Resident''s Unit], "New Choices", Table13[Shift], "All", Table13[Month Received], "November")</f>
        <v>0</v>
      </c>
      <c r="O14" s="27">
        <f>COUNTIFS(Table13[Resident''s Unit], "New Choices", Table13[Shift], "All", Table13[Month Received], "December")</f>
        <v>0</v>
      </c>
      <c r="P14" s="27">
        <f t="shared" si="0"/>
        <v>0</v>
      </c>
    </row>
    <row r="15" spans="1:16" x14ac:dyDescent="0.55000000000000004">
      <c r="B15" s="27"/>
      <c r="C15" s="27"/>
      <c r="D15" s="27"/>
      <c r="E15" s="27"/>
      <c r="F15" s="27"/>
      <c r="G15" s="27"/>
      <c r="H15" s="27"/>
      <c r="I15" s="27"/>
      <c r="J15" s="27"/>
      <c r="K15" s="27"/>
      <c r="L15" s="27"/>
      <c r="M15" s="27"/>
      <c r="N15" s="27"/>
      <c r="O15" s="27"/>
    </row>
    <row r="16" spans="1:16" x14ac:dyDescent="0.55000000000000004">
      <c r="A16" s="1" t="s">
        <v>409</v>
      </c>
      <c r="B16" s="27">
        <f>COUNTIFS(Table13[Resident''s Unit], "New Choices", Table13[Shift], "1st", Table13[1st Implicated Staff], "NC General Staff")</f>
        <v>0</v>
      </c>
      <c r="C16" s="27"/>
      <c r="D16" s="27">
        <f>COUNTIFS(Table13[Resident''s Unit], "New Choices", Table13[Shift], "1st", Table13[1st Implicated Staff], "NC General Staff", Table13[Month Received], "January")</f>
        <v>0</v>
      </c>
      <c r="E16" s="27">
        <f>COUNTIFS(Table13[Resident''s Unit], "New Choices", Table13[Shift], "1st", Table13[1st Implicated Staff], "NC General Staff", Table13[Month Received], "February")</f>
        <v>0</v>
      </c>
      <c r="F16" s="27">
        <f>COUNTIFS(Table13[Resident''s Unit], "New Choices", Table13[Shift], "1st", Table13[1st Implicated Staff], "NC General Staff", Table13[Month Received], "March")</f>
        <v>0</v>
      </c>
      <c r="G16" s="27">
        <f>COUNTIFS(Table13[Resident''s Unit], "New Choices", Table13[Shift], "1st", Table13[1st Implicated Staff], "NC General Staff", Table13[Month Received], "April")</f>
        <v>0</v>
      </c>
      <c r="H16" s="27">
        <f>COUNTIFS(Table13[Resident''s Unit], "New Choices", Table13[Shift], "1st", Table13[1st Implicated Staff], "NC General Staff", Table13[Month Received], "May")</f>
        <v>0</v>
      </c>
      <c r="I16" s="27">
        <f>COUNTIFS(Table13[Resident''s Unit], "New Choices", Table13[Shift], "1st", Table13[1st Implicated Staff], "NC General Staff", Table13[Month Received], "June")</f>
        <v>0</v>
      </c>
      <c r="J16" s="27">
        <f>COUNTIFS(Table13[Resident''s Unit], "New Choices", Table13[Shift], "1st", Table13[1st Implicated Staff], "NC General Staff", Table13[Month Received], "July")</f>
        <v>0</v>
      </c>
      <c r="K16" s="27">
        <f>COUNTIFS(Table13[Resident''s Unit], "New Choices", Table13[Shift], "1st", Table13[1st Implicated Staff], "NC General Staff", Table13[Month Received], "August")</f>
        <v>0</v>
      </c>
      <c r="L16" s="27">
        <f>COUNTIFS(Table13[Resident''s Unit], "New Choices", Table13[Shift], "1st", Table13[1st Implicated Staff], "NC General Staff", Table13[Month Received], "September")</f>
        <v>0</v>
      </c>
      <c r="M16" s="27">
        <f>COUNTIFS(Table13[Resident''s Unit], "New Choices", Table13[Shift], "1st", Table13[1st Implicated Staff], "NC General Staff", Table13[Month Received], "October")</f>
        <v>0</v>
      </c>
      <c r="N16" s="27">
        <f>COUNTIFS(Table13[Resident''s Unit], "New Choices", Table13[Shift], "1st", Table13[1st Implicated Staff], "NC General Staff", Table13[Month Received], "November")</f>
        <v>0</v>
      </c>
      <c r="O16" s="27">
        <f>COUNTIFS(Table13[Resident''s Unit], "New Choices", Table13[Shift], "1st", Table13[1st Implicated Staff], "NC General Staff", Table13[Month Received], "December")</f>
        <v>0</v>
      </c>
      <c r="P16" s="27">
        <f t="shared" ref="P16:P22" si="1">SUM(D16:O16)</f>
        <v>0</v>
      </c>
    </row>
    <row r="17" spans="1:16" x14ac:dyDescent="0.55000000000000004">
      <c r="A17" s="1" t="s">
        <v>415</v>
      </c>
      <c r="B17" s="27">
        <f>COUNTIFS(Table13[Resident''s Unit], "New Choices", Table13[Shift], "1st &amp; 2nd", Table13[1st Implicated Staff], "NC General Staff")</f>
        <v>0</v>
      </c>
      <c r="C17" s="27"/>
      <c r="D17" s="27">
        <f>COUNTIFS(Table13[Resident''s Unit], "New Choices", Table13[Shift], "1st &amp; 2nd", Table13[1st Implicated Staff], "NC General Staff", Table13[Month Received], "January")</f>
        <v>0</v>
      </c>
      <c r="E17" s="27">
        <f>COUNTIFS(Table13[Resident''s Unit], "New Choices", Table13[Shift], "1st &amp; 2nd", Table13[1st Implicated Staff], "NC General Staff", Table13[Month Received], "February")</f>
        <v>0</v>
      </c>
      <c r="F17" s="27">
        <f>COUNTIFS(Table13[Resident''s Unit], "New Choices", Table13[Shift], "1st &amp; 2nd", Table13[1st Implicated Staff], "NC General Staff", Table13[Month Received], "March")</f>
        <v>0</v>
      </c>
      <c r="G17" s="27">
        <f>COUNTIFS(Table13[Resident''s Unit], "New Choices", Table13[Shift], "1st &amp; 2nd", Table13[1st Implicated Staff], "NC General Staff", Table13[Month Received], "April")</f>
        <v>0</v>
      </c>
      <c r="H17" s="27">
        <f>COUNTIFS(Table13[Resident''s Unit], "New Choices", Table13[Shift], "1st &amp; 2nd", Table13[1st Implicated Staff], "NC General Staff", Table13[Month Received], "May")</f>
        <v>0</v>
      </c>
      <c r="I17" s="27">
        <f>COUNTIFS(Table13[Resident''s Unit], "New Choices", Table13[Shift], "1st  &amp; 2nd", Table13[1st Implicated Staff], "NC General Staff", Table13[Month Received], "June")</f>
        <v>0</v>
      </c>
      <c r="J17" s="27">
        <f>COUNTIFS(Table13[Resident''s Unit], "New Choices", Table13[Shift], "1st &amp; 2nd", Table13[1st Implicated Staff], "NC General Staff", Table13[Month Received], "July")</f>
        <v>0</v>
      </c>
      <c r="K17" s="27">
        <f>COUNTIFS(Table13[Resident''s Unit], "New Choices", Table13[Shift], "1st &amp; 2nd", Table13[1st Implicated Staff], "NC General Staff", Table13[Month Received], "August")</f>
        <v>0</v>
      </c>
      <c r="L17" s="27">
        <f>COUNTIFS(Table13[Resident''s Unit], "New Choices", Table13[Shift], "1st &amp; 2nd", Table13[1st Implicated Staff], "NC General Staff", Table13[Month Received], "September")</f>
        <v>0</v>
      </c>
      <c r="M17" s="27">
        <f>COUNTIFS(Table13[Resident''s Unit], "New Choices", Table13[Shift], "1st &amp; 2nd", Table13[1st Implicated Staff], "NC General Staff", Table13[Month Received], "October")</f>
        <v>0</v>
      </c>
      <c r="N17" s="27">
        <f>COUNTIFS(Table13[Resident''s Unit], "New Choices", Table13[Shift], "1st &amp; 2nd", Table13[1st Implicated Staff], "NC General Staff", Table13[Month Received], "November")</f>
        <v>0</v>
      </c>
      <c r="O17" s="27">
        <f>COUNTIFS(Table13[Resident''s Unit], "New Choices", Table13[Shift], "1st &amp; 2nd", Table13[1st Implicated Staff], "NC General Staff", Table13[Month Received], "December")</f>
        <v>0</v>
      </c>
      <c r="P17" s="27">
        <f t="shared" si="1"/>
        <v>0</v>
      </c>
    </row>
    <row r="18" spans="1:16" x14ac:dyDescent="0.55000000000000004">
      <c r="A18" s="1" t="s">
        <v>410</v>
      </c>
      <c r="B18" s="27">
        <f>COUNTIFS(Table13[Resident''s Unit], "New Choices", Table13[Shift], "2nd", Table13[1st Implicated Staff], "NC General Staff")</f>
        <v>0</v>
      </c>
      <c r="C18" s="27"/>
      <c r="D18" s="27">
        <f>COUNTIFS(Table13[Resident''s Unit], "New Choices", Table13[Shift], "2nd", Table13[1st Implicated Staff], "NC General Staff", Table13[Month Received], "January")</f>
        <v>0</v>
      </c>
      <c r="E18" s="27">
        <f>COUNTIFS(Table13[Resident''s Unit], "New Choices", Table13[Shift], "2nd", Table13[1st Implicated Staff], "NC General Staff", Table13[Month Received], "February")</f>
        <v>0</v>
      </c>
      <c r="F18" s="27">
        <f>COUNTIFS(Table13[Resident''s Unit], "New Choices", Table13[Shift], "2nd", Table13[1st Implicated Staff], "NC General Staff", Table13[Month Received], "March")</f>
        <v>0</v>
      </c>
      <c r="G18" s="27">
        <f>COUNTIFS(Table13[Resident''s Unit], "New Choices", Table13[Shift], "2nd", Table13[1st Implicated Staff], "NC General Staff", Table13[Month Received], "April")</f>
        <v>0</v>
      </c>
      <c r="H18" s="27">
        <f>COUNTIFS(Table13[Resident''s Unit], "New Choices", Table13[Shift], "2nd", Table13[1st Implicated Staff], "NC General Staff", Table13[Month Received], "May")</f>
        <v>0</v>
      </c>
      <c r="I18" s="27">
        <f>COUNTIFS(Table13[Resident''s Unit], "New Choices", Table13[Shift], "2nd", Table13[1st Implicated Staff], "NC General Staff", Table13[Month Received], "June")</f>
        <v>0</v>
      </c>
      <c r="J18" s="27">
        <f>COUNTIFS(Table13[Resident''s Unit], "New Choices", Table13[Shift], "2nd", Table13[1st Implicated Staff], "NC General Staff", Table13[Month Received], "July")</f>
        <v>0</v>
      </c>
      <c r="K18" s="27">
        <f>COUNTIFS(Table13[Resident''s Unit], "New Choices", Table13[Shift], "2nd", Table13[1st Implicated Staff], "NC General Staff", Table13[Month Received], "August")</f>
        <v>0</v>
      </c>
      <c r="L18" s="27">
        <f>COUNTIFS(Table13[Resident''s Unit], "New Choices", Table13[Shift], "2nd", Table13[1st Implicated Staff], "NC General Staff", Table13[Month Received], "September")</f>
        <v>0</v>
      </c>
      <c r="M18" s="27">
        <f>COUNTIFS(Table13[Resident''s Unit], "New Choices", Table13[Shift], "2nd", Table13[1st Implicated Staff], "NC General Staff", Table13[Month Received], "October")</f>
        <v>0</v>
      </c>
      <c r="N18" s="27">
        <f>COUNTIFS(Table13[Resident''s Unit], "New Choices", Table13[Shift], "2nd", Table13[1st Implicated Staff], "NC General Staff", Table13[Month Received], "November")</f>
        <v>0</v>
      </c>
      <c r="O18" s="27">
        <f>COUNTIFS(Table13[Resident''s Unit], "New Choices", Table13[Shift], "2nd", Table13[1st Implicated Staff], "NC General Staff", Table13[Month Received], "December")</f>
        <v>0</v>
      </c>
      <c r="P18" s="27">
        <f t="shared" si="1"/>
        <v>0</v>
      </c>
    </row>
    <row r="19" spans="1:16" x14ac:dyDescent="0.55000000000000004">
      <c r="A19" s="1" t="s">
        <v>416</v>
      </c>
      <c r="B19" s="27">
        <f>COUNTIFS(Table13[Resident''s Unit], "New Choices", Table13[Shift], "2nd &amp; 3rd", Table13[1st Implicated Staff], "NC General Staff")</f>
        <v>0</v>
      </c>
      <c r="C19" s="27"/>
      <c r="D19" s="27">
        <f>COUNTIFS(Table13[Resident''s Unit], "New Choices", Table13[Shift], "2nd &amp; 3rd", Table13[1st Implicated Staff], "NC General Staff", Table13[Month Received], "January")</f>
        <v>0</v>
      </c>
      <c r="E19" s="27">
        <f>COUNTIFS(Table13[Resident''s Unit], "New Choices", Table13[Shift], "2nd &amp; 3rd", Table13[1st Implicated Staff], "NC General Staff", Table13[Month Received], "February")</f>
        <v>0</v>
      </c>
      <c r="F19" s="27">
        <f>COUNTIFS(Table13[Resident''s Unit], "New Choices", Table13[Shift], "2nd &amp; 3rd", Table13[1st Implicated Staff], "NC General Staff", Table13[Month Received], "March")</f>
        <v>0</v>
      </c>
      <c r="G19" s="27">
        <f>COUNTIFS(Table13[Resident''s Unit], "New Choices", Table13[Shift], "2nd &amp; 3rd", Table13[1st Implicated Staff], "NC General Staff", Table13[Month Received], "April")</f>
        <v>0</v>
      </c>
      <c r="H19" s="27">
        <f>COUNTIFS(Table13[Resident''s Unit], "New Choices", Table13[Shift], "2nd &amp; 3rd", Table13[1st Implicated Staff], "NC General Staff", Table13[Month Received], "May")</f>
        <v>0</v>
      </c>
      <c r="I19" s="27">
        <f>COUNTIFS(Table13[Resident''s Unit], "New Choices", Table13[Shift], "2nd &amp; 3rd", Table13[1st Implicated Staff], "NC General Staff", Table13[Month Received], "June")</f>
        <v>0</v>
      </c>
      <c r="J19" s="27">
        <f>COUNTIFS(Table13[Resident''s Unit], "New Choices", Table13[Shift], "2nd &amp; 3rd", Table13[1st Implicated Staff], "NC General Staff", Table13[Month Received], "July")</f>
        <v>0</v>
      </c>
      <c r="K19" s="27">
        <f>COUNTIFS(Table13[Resident''s Unit], "New Choices", Table13[Shift], "2nd &amp; 3rd", Table13[1st Implicated Staff], "NC General Staff", Table13[Month Received], "August")</f>
        <v>0</v>
      </c>
      <c r="L19" s="27">
        <f>COUNTIFS(Table13[Resident''s Unit], "New Choices", Table13[Shift], "2nd &amp; 3rd", Table13[1st Implicated Staff], "NC General Staff", Table13[Month Received], "September")</f>
        <v>0</v>
      </c>
      <c r="M19" s="27">
        <f>COUNTIFS(Table13[Resident''s Unit], "New Choices", Table13[Shift], "2nd &amp; 3rd", Table13[1st Implicated Staff], "NC General Staff", Table13[Month Received], "October")</f>
        <v>0</v>
      </c>
      <c r="N19" s="27">
        <f>COUNTIFS(Table13[Resident''s Unit], "New Choices", Table13[Shift], "2nd &amp; 3rd", Table13[1st Implicated Staff], "NC General Staff", Table13[Month Received], "November")</f>
        <v>0</v>
      </c>
      <c r="O19" s="27">
        <f>COUNTIFS(Table13[Resident''s Unit], "New Choices", Table13[Shift], "2nd &amp; 3rd", Table13[1st Implicated Staff], "NC General Staff", Table13[Month Received], "December")</f>
        <v>0</v>
      </c>
      <c r="P19" s="27">
        <f t="shared" si="1"/>
        <v>0</v>
      </c>
    </row>
    <row r="20" spans="1:16" x14ac:dyDescent="0.55000000000000004">
      <c r="A20" s="1" t="s">
        <v>411</v>
      </c>
      <c r="B20" s="27">
        <f>COUNTIFS(Table13[Resident''s Unit], "New Choices", Table13[Shift], "3rd", Table13[1st Implicated Staff], "NC General Staff")</f>
        <v>0</v>
      </c>
      <c r="C20" s="27"/>
      <c r="D20" s="27">
        <f>COUNTIFS(Table13[Resident''s Unit], "New Choices", Table13[Shift], "3rd", Table13[1st Implicated Staff], "NC General Staff", Table13[Month Received], "January")</f>
        <v>0</v>
      </c>
      <c r="E20" s="27">
        <f>COUNTIFS(Table13[Resident''s Unit], "New Choices", Table13[Shift], "3rd", Table13[1st Implicated Staff], "NC General Staff", Table13[Month Received], "February")</f>
        <v>0</v>
      </c>
      <c r="F20" s="27">
        <f>COUNTIFS(Table13[Resident''s Unit], "New Choices", Table13[Shift], "3rd", Table13[1st Implicated Staff], "NC General Staff", Table13[Month Received], "March")</f>
        <v>0</v>
      </c>
      <c r="G20" s="27">
        <f>COUNTIFS(Table13[Resident''s Unit], "New Choices", Table13[Shift], "3rd", Table13[1st Implicated Staff], "NC General Staff", Table13[Month Received], "April")</f>
        <v>0</v>
      </c>
      <c r="H20" s="27">
        <f>COUNTIFS(Table13[Resident''s Unit], "New Choices", Table13[Shift], "3rd", Table13[1st Implicated Staff], "NC General Staff", Table13[Month Received], "May")</f>
        <v>0</v>
      </c>
      <c r="I20" s="27">
        <f>COUNTIFS(Table13[Resident''s Unit], "New Choices", Table13[Shift], "3rd", Table13[1st Implicated Staff], "NC General Staff", Table13[Month Received], "June")</f>
        <v>0</v>
      </c>
      <c r="J20" s="27">
        <f>COUNTIFS(Table13[Resident''s Unit], "New Choices", Table13[Shift], "3rd", Table13[1st Implicated Staff], "NC General Staff", Table13[Month Received], "July")</f>
        <v>0</v>
      </c>
      <c r="K20" s="27">
        <f>COUNTIFS(Table13[Resident''s Unit], "New Choices", Table13[Shift], "3rd", Table13[1st Implicated Staff], "NC General Staff", Table13[Month Received], "August")</f>
        <v>0</v>
      </c>
      <c r="L20" s="27">
        <f>COUNTIFS(Table13[Resident''s Unit], "New Choices", Table13[Shift], "3rd", Table13[1st Implicated Staff], "NC General Staff", Table13[Month Received], "September")</f>
        <v>0</v>
      </c>
      <c r="M20" s="27">
        <f>COUNTIFS(Table13[Resident''s Unit], "New Choices", Table13[Shift], "3rd", Table13[1st Implicated Staff], "NC General Staff", Table13[Month Received], "October")</f>
        <v>0</v>
      </c>
      <c r="N20" s="27">
        <f>COUNTIFS(Table13[Resident''s Unit], "New Choices", Table13[Shift], "3rd", Table13[1st Implicated Staff], "NC General Staff", Table13[Month Received], "November")</f>
        <v>0</v>
      </c>
      <c r="O20" s="27">
        <f>COUNTIFS(Table13[Resident''s Unit], "New Choices", Table13[Shift], "3rd", Table13[1st Implicated Staff], "NC General Staff", Table13[Month Received], "December")</f>
        <v>0</v>
      </c>
      <c r="P20" s="27">
        <f t="shared" si="1"/>
        <v>0</v>
      </c>
    </row>
    <row r="21" spans="1:16" x14ac:dyDescent="0.55000000000000004">
      <c r="A21" s="1" t="s">
        <v>417</v>
      </c>
      <c r="B21" s="27">
        <f>COUNTIFS(Table13[Resident''s Unit], "New Choices", Table13[Shift], "3rd &amp; 1st", Table13[1st Implicated Staff], "NC General Staff")</f>
        <v>0</v>
      </c>
      <c r="C21" s="27"/>
      <c r="D21" s="27">
        <f>COUNTIFS(Table13[Resident''s Unit], "New Choices", Table13[Shift], "3rd &amp; 1st", Table13[1st Implicated Staff], "NC General Staff", Table13[Month Received], "January")</f>
        <v>0</v>
      </c>
      <c r="E21" s="27">
        <f>COUNTIFS(Table13[Resident''s Unit], "New Choices", Table13[Shift], "3rd &amp; 1st", Table13[1st Implicated Staff], "NC General Staff", Table13[Month Received], "February")</f>
        <v>0</v>
      </c>
      <c r="F21" s="27">
        <f>COUNTIFS(Table13[Resident''s Unit], "New Choices", Table13[Shift], "3rd &amp; 1st", Table13[1st Implicated Staff], "NC General Staff", Table13[Month Received], "March")</f>
        <v>0</v>
      </c>
      <c r="G21" s="27">
        <f>COUNTIFS(Table13[Resident''s Unit], "New Choices", Table13[Shift], "3rd &amp; 1st", Table13[1st Implicated Staff], "NC General Staff", Table13[Month Received], "April")</f>
        <v>0</v>
      </c>
      <c r="H21" s="27">
        <f>COUNTIFS(Table13[Resident''s Unit], "New Choices", Table13[Shift], "3rd &amp; 1st", Table13[1st Implicated Staff], "NC General Staff", Table13[Month Received], "May")</f>
        <v>0</v>
      </c>
      <c r="I21" s="27">
        <f>COUNTIFS(Table13[Resident''s Unit], "New Choices", Table13[Shift], "3rd &amp; 1st", Table13[1st Implicated Staff], "NC General Staff", Table13[Month Received], "June")</f>
        <v>0</v>
      </c>
      <c r="J21" s="27">
        <f>COUNTIFS(Table13[Resident''s Unit], "New Choices", Table13[Shift], "3rd &amp; 1st", Table13[1st Implicated Staff], "NC General Staff", Table13[Month Received], "July")</f>
        <v>0</v>
      </c>
      <c r="K21" s="27">
        <f>COUNTIFS(Table13[Resident''s Unit], "New Choices", Table13[Shift], "3rd &amp; 1st", Table13[1st Implicated Staff], "NC General Staff", Table13[Month Received], "August")</f>
        <v>0</v>
      </c>
      <c r="L21" s="27">
        <f>COUNTIFS(Table13[Resident''s Unit], "New Choices", Table13[Shift], "3rd &amp; 1st", Table13[1st Implicated Staff], "NC General Staff", Table13[Month Received], "September")</f>
        <v>0</v>
      </c>
      <c r="M21" s="27">
        <f>COUNTIFS(Table13[Resident''s Unit], "New Choices", Table13[Shift], "3rd &amp; 1st", Table13[1st Implicated Staff], "NC General Staff", Table13[Month Received], "October")</f>
        <v>0</v>
      </c>
      <c r="N21" s="27">
        <f>COUNTIFS(Table13[Resident''s Unit], "New Choices", Table13[Shift], "3rd &amp; 1st", Table13[1st Implicated Staff], "NC General Staff", Table13[Month Received], "November")</f>
        <v>0</v>
      </c>
      <c r="O21" s="27">
        <f>COUNTIFS(Table13[Resident''s Unit], "New Choices", Table13[Shift], "3rd &amp; 1st", Table13[1st Implicated Staff], "NC General Staff", Table13[Month Received], "December")</f>
        <v>0</v>
      </c>
      <c r="P21" s="27">
        <f t="shared" si="1"/>
        <v>0</v>
      </c>
    </row>
    <row r="22" spans="1:16" x14ac:dyDescent="0.55000000000000004">
      <c r="A22" s="1" t="s">
        <v>412</v>
      </c>
      <c r="B22" s="27">
        <f>COUNTIFS(Table13[Resident''s Unit], "New Choices", Table13[Shift], "All", Table13[1st Implicated Staff], "NC General Staff")</f>
        <v>0</v>
      </c>
      <c r="C22" s="27"/>
      <c r="D22" s="27">
        <f>COUNTIFS(Table13[Resident''s Unit], "New Choices", Table13[Shift], "All", Table13[1st Implicated Staff], "NC General Staff", Table13[Month Received], "January")</f>
        <v>0</v>
      </c>
      <c r="E22" s="27">
        <f>COUNTIFS(Table13[Resident''s Unit], "New Choices", Table13[Shift], "All", Table13[1st Implicated Staff], "NC General Staff", Table13[Month Received], "February")</f>
        <v>0</v>
      </c>
      <c r="F22" s="27">
        <f>COUNTIFS(Table13[Resident''s Unit], "New Choices", Table13[Shift], "All", Table13[1st Implicated Staff], "NC General Staff", Table13[Month Received], "March")</f>
        <v>0</v>
      </c>
      <c r="G22" s="27">
        <f>COUNTIFS(Table13[Resident''s Unit], "New Choices", Table13[Shift], "All", Table13[1st Implicated Staff], "NC General Staff", Table13[Month Received], "April")</f>
        <v>0</v>
      </c>
      <c r="H22" s="27">
        <f>COUNTIFS(Table13[Resident''s Unit], "New Choices", Table13[Shift], "All", Table13[1st Implicated Staff], "NC General Staff", Table13[Month Received], "May")</f>
        <v>0</v>
      </c>
      <c r="I22" s="27">
        <f>COUNTIFS(Table13[Resident''s Unit], "New Choices", Table13[Shift], "All", Table13[1st Implicated Staff], "NC General Staff", Table13[Month Received], "June")</f>
        <v>0</v>
      </c>
      <c r="J22" s="27">
        <f>COUNTIFS(Table13[Resident''s Unit], "New Choices", Table13[Shift], "All", Table13[1st Implicated Staff], "NC General Staff", Table13[Month Received], "July")</f>
        <v>0</v>
      </c>
      <c r="K22" s="27">
        <f>COUNTIFS(Table13[Resident''s Unit], "New Choices", Table13[Shift], "All", Table13[1st Implicated Staff], "NC General Staff", Table13[Month Received], "August")</f>
        <v>0</v>
      </c>
      <c r="L22" s="27">
        <f>COUNTIFS(Table13[Resident''s Unit], "New Choices", Table13[Shift], "All", Table13[1st Implicated Staff], "NC General Staff", Table13[Month Received], "September")</f>
        <v>0</v>
      </c>
      <c r="M22" s="27">
        <f>COUNTIFS(Table13[Resident''s Unit], "New Choices", Table13[Shift], "All", Table13[1st Implicated Staff], "NC General Staff", Table13[Month Received], "October")</f>
        <v>0</v>
      </c>
      <c r="N22" s="27">
        <f>COUNTIFS(Table13[Resident''s Unit], "New Choices", Table13[Shift], "All", Table13[1st Implicated Staff], "NC General Staff", Table13[Month Received], "November")</f>
        <v>0</v>
      </c>
      <c r="O22" s="27">
        <f>COUNTIFS(Table13[Resident''s Unit], "New Choices", Table13[Shift], "All", Table13[1st Implicated Staff], "NC General Staff", Table13[Month Received], "December")</f>
        <v>0</v>
      </c>
      <c r="P22" s="27">
        <f t="shared" si="1"/>
        <v>0</v>
      </c>
    </row>
    <row r="25" spans="1:16" x14ac:dyDescent="0.55000000000000004">
      <c r="A25" s="19" t="s">
        <v>50</v>
      </c>
      <c r="B25" s="129" t="s">
        <v>205</v>
      </c>
      <c r="C25" s="27" t="s">
        <v>307</v>
      </c>
      <c r="D25" s="129" t="s">
        <v>94</v>
      </c>
      <c r="E25" s="129" t="s">
        <v>95</v>
      </c>
      <c r="F25" s="129" t="s">
        <v>96</v>
      </c>
      <c r="G25" s="129" t="s">
        <v>97</v>
      </c>
      <c r="H25" s="129" t="s">
        <v>93</v>
      </c>
      <c r="I25" s="129" t="s">
        <v>98</v>
      </c>
      <c r="J25" s="129" t="s">
        <v>99</v>
      </c>
      <c r="K25" s="129" t="s">
        <v>100</v>
      </c>
      <c r="L25" s="129" t="s">
        <v>101</v>
      </c>
      <c r="M25" s="129" t="s">
        <v>102</v>
      </c>
      <c r="N25" s="129" t="s">
        <v>103</v>
      </c>
      <c r="O25" s="129" t="s">
        <v>104</v>
      </c>
      <c r="P25" s="129" t="s">
        <v>419</v>
      </c>
    </row>
    <row r="26" spans="1:16" x14ac:dyDescent="0.55000000000000004">
      <c r="A26" s="1" t="s">
        <v>406</v>
      </c>
      <c r="B26" s="27">
        <f>COUNTIFS(Table13[Resident''s Unit], "Safe Harbor", Table13[Shift], "1st")</f>
        <v>0</v>
      </c>
      <c r="C26" s="27"/>
      <c r="D26" s="27">
        <f>COUNTIFS(Table13[Resident''s Unit], "Safe Harbor", Table13[Shift], "1st", Table13[Month Received], "January")</f>
        <v>0</v>
      </c>
      <c r="E26" s="27">
        <f>COUNTIFS(Table13[Resident''s Unit], "Safe Harbor", Table13[Shift], "1st", Table13[Month Received], "February")</f>
        <v>0</v>
      </c>
      <c r="F26" s="27">
        <f>COUNTIFS(Table13[Resident''s Unit], "Safe Harbor", Table13[Shift], "1st", Table13[Month Received], "March")</f>
        <v>0</v>
      </c>
      <c r="G26" s="27">
        <f>COUNTIFS(Table13[Resident''s Unit], "Safe Harbor", Table13[Shift], "1st", Table13[Month Received], "April")</f>
        <v>0</v>
      </c>
      <c r="H26" s="27">
        <f>COUNTIFS(Table13[Resident''s Unit], "Safe Harbor", Table13[Shift], "1st", Table13[Month Received], "May")</f>
        <v>0</v>
      </c>
      <c r="I26" s="27">
        <f>COUNTIFS(Table13[Resident''s Unit], "Safe Harbor", Table13[Shift], "1st", Table13[Month Received], "June")</f>
        <v>0</v>
      </c>
      <c r="J26" s="27">
        <f>COUNTIFS(Table13[Resident''s Unit], "Safe Harbor", Table13[Shift], "1st", Table13[Month Received], "July")</f>
        <v>0</v>
      </c>
      <c r="K26" s="27">
        <f>COUNTIFS(Table13[Resident''s Unit], "Safe Harbor", Table13[Shift], "1st", Table13[Month Received], "August")</f>
        <v>0</v>
      </c>
      <c r="L26" s="27">
        <f>COUNTIFS(Table13[Resident''s Unit], "Safe Harbor", Table13[Shift], "1st", Table13[Month Received], "September")</f>
        <v>0</v>
      </c>
      <c r="M26" s="27">
        <f>COUNTIFS(Table13[Resident''s Unit], "Safe Harbor", Table13[Shift], "1st", Table13[Month Received], "October")</f>
        <v>0</v>
      </c>
      <c r="N26" s="27">
        <f>COUNTIFS(Table13[Resident''s Unit], "Safe Harbor", Table13[Shift], "1st", Table13[Month Received], "November")</f>
        <v>0</v>
      </c>
      <c r="O26" s="27">
        <f>COUNTIFS(Table13[Resident''s Unit], "Safe Harbor", Table13[Shift], "1st", Table13[Month Received], "December")</f>
        <v>0</v>
      </c>
      <c r="P26" s="27">
        <f>SUM(D26:O26)</f>
        <v>0</v>
      </c>
    </row>
    <row r="27" spans="1:16" x14ac:dyDescent="0.55000000000000004">
      <c r="A27" s="1" t="s">
        <v>415</v>
      </c>
      <c r="B27" s="27">
        <f>COUNTIFS(Table13[Resident''s Unit], "Safe Harbor", Table13[Shift], "1st &amp; 2nd")</f>
        <v>0</v>
      </c>
      <c r="C27" s="27"/>
      <c r="D27" s="27">
        <f>COUNTIFS(Table13[Resident''s Unit], "Safe Harbor", Table13[Shift], "1st &amp; 2nd", Table13[Month Received], "January")</f>
        <v>0</v>
      </c>
      <c r="E27" s="27">
        <f>COUNTIFS(Table13[Resident''s Unit], "Safe Harbor", Table13[Shift], "1st &amp; 2nd", Table13[Month Received], "February")</f>
        <v>0</v>
      </c>
      <c r="F27" s="27">
        <f>COUNTIFS(Table13[Resident''s Unit], "Safe Harbor", Table13[Shift], "1st &amp; 2nd", Table13[Month Received], "March")</f>
        <v>0</v>
      </c>
      <c r="G27" s="27">
        <f>COUNTIFS(Table13[Resident''s Unit], "Safe Harbor", Table13[Shift], "1st &amp; 2nd", Table13[Month Received], "April")</f>
        <v>0</v>
      </c>
      <c r="H27" s="27">
        <f>COUNTIFS(Table13[Resident''s Unit], "Safe Harbor", Table13[Shift], "1st &amp; 2nd", Table13[Month Received], "May")</f>
        <v>0</v>
      </c>
      <c r="I27" s="27">
        <f>COUNTIFS(Table13[Resident''s Unit], "Safe Harbor", Table13[Shift], "1st &amp; 2nd", Table13[Month Received], "June")</f>
        <v>0</v>
      </c>
      <c r="J27" s="27">
        <f>COUNTIFS(Table13[Resident''s Unit], "Safe Harbor", Table13[Shift], "1st &amp; 2nd", Table13[Month Received], "July")</f>
        <v>0</v>
      </c>
      <c r="K27" s="27">
        <f>COUNTIFS(Table13[Resident''s Unit], "Safe Harbor", Table13[Shift], "1st &amp; 2nd", Table13[Month Received], "August")</f>
        <v>0</v>
      </c>
      <c r="L27" s="27">
        <f>COUNTIFS(Table13[Resident''s Unit], "Safe Harbor", Table13[Shift], "1st &amp; 2nd", Table13[Month Received], "September")</f>
        <v>0</v>
      </c>
      <c r="M27" s="27">
        <f>COUNTIFS(Table13[Resident''s Unit], "Safe Harbor", Table13[Shift], "1st &amp; 2nd", Table13[Month Received], "October")</f>
        <v>0</v>
      </c>
      <c r="N27" s="27">
        <f>COUNTIFS(Table13[Resident''s Unit], "Safe Harbor", Table13[Shift], "1st &amp; 2nd", Table13[Month Received], "November")</f>
        <v>0</v>
      </c>
      <c r="O27" s="27">
        <f>COUNTIFS(Table13[Resident''s Unit], "Safe Harbor", Table13[Shift], "1st &amp; 2nd", Table13[Month Received], "December")</f>
        <v>0</v>
      </c>
      <c r="P27" s="27">
        <f t="shared" ref="P27:P32" si="2">SUM(D27:O27)</f>
        <v>0</v>
      </c>
    </row>
    <row r="28" spans="1:16" x14ac:dyDescent="0.55000000000000004">
      <c r="A28" s="1" t="s">
        <v>407</v>
      </c>
      <c r="B28" s="27">
        <f>COUNTIFS(Table13[Resident''s Unit], "Safe Harbor", Table13[Shift], "2nd")</f>
        <v>0</v>
      </c>
      <c r="C28" s="27"/>
      <c r="D28" s="27">
        <f>COUNTIFS(Table13[Resident''s Unit], "Safe Harbor", Table13[Shift], "2nd", Table13[Month Received], "January")</f>
        <v>0</v>
      </c>
      <c r="E28" s="27">
        <f>COUNTIFS(Table13[Resident''s Unit], "Safe Harbor", Table13[Shift], "2nd", Table13[Month Received], "February")</f>
        <v>0</v>
      </c>
      <c r="F28" s="27">
        <f>COUNTIFS(Table13[Resident''s Unit], "Safe Harbor", Table13[Shift], "2nd", Table13[Month Received], "March")</f>
        <v>0</v>
      </c>
      <c r="G28" s="27">
        <f>COUNTIFS(Table13[Resident''s Unit], "Safe Harbor", Table13[Shift], "2nd", Table13[Month Received], "April")</f>
        <v>0</v>
      </c>
      <c r="H28" s="27">
        <f>COUNTIFS(Table13[Resident''s Unit], "Safe Harbor", Table13[Shift], "2nd", Table13[Month Received], "May")</f>
        <v>0</v>
      </c>
      <c r="I28" s="27">
        <f>COUNTIFS(Table13[Resident''s Unit], "Safe Harbor", Table13[Shift], "2nd", Table13[Month Received], "June")</f>
        <v>0</v>
      </c>
      <c r="J28" s="27">
        <f>COUNTIFS(Table13[Resident''s Unit], "Safe Harbor", Table13[Shift], "2nd", Table13[Month Received], "July")</f>
        <v>0</v>
      </c>
      <c r="K28" s="27">
        <f>COUNTIFS(Table13[Resident''s Unit], "Safe Harbor", Table13[Shift], "2nd", Table13[Month Received], "August")</f>
        <v>0</v>
      </c>
      <c r="L28" s="27">
        <f>COUNTIFS(Table13[Resident''s Unit], "Safe Harbor", Table13[Shift], "2nd", Table13[Month Received], "September")</f>
        <v>0</v>
      </c>
      <c r="M28" s="27">
        <f>COUNTIFS(Table13[Resident''s Unit], "Safe Harbor", Table13[Shift], "2nd", Table13[Month Received], "October")</f>
        <v>0</v>
      </c>
      <c r="N28" s="27">
        <f>COUNTIFS(Table13[Resident''s Unit], "Safe Harbor", Table13[Shift], "2nd", Table13[Month Received], "November")</f>
        <v>0</v>
      </c>
      <c r="O28" s="27">
        <f>COUNTIFS(Table13[Resident''s Unit], "Safe Harbor", Table13[Shift], "2nd", Table13[Month Received], "December")</f>
        <v>0</v>
      </c>
      <c r="P28" s="27">
        <f t="shared" si="2"/>
        <v>0</v>
      </c>
    </row>
    <row r="29" spans="1:16" x14ac:dyDescent="0.55000000000000004">
      <c r="A29" s="1" t="s">
        <v>416</v>
      </c>
      <c r="B29" s="27">
        <f>COUNTIFS(Table13[Resident''s Unit], "Safe Harbor", Table13[Shift], "2nd &amp; 3rd")</f>
        <v>0</v>
      </c>
      <c r="C29" s="27"/>
      <c r="D29" s="27">
        <f>COUNTIFS(Table13[Resident''s Unit], "Safe Harbor", Table13[Shift], "2nd &amp; 3rd", Table13[Month Received], "January")</f>
        <v>0</v>
      </c>
      <c r="E29" s="27">
        <f>COUNTIFS(Table13[Resident''s Unit], "Safe Harbor", Table13[Shift], "2nd &amp; 3rd", Table13[Month Received], "February")</f>
        <v>0</v>
      </c>
      <c r="F29" s="27">
        <f>COUNTIFS(Table13[Resident''s Unit], "Safe Harbor", Table13[Shift], "2nd &amp; 3rd", Table13[Month Received], "March")</f>
        <v>0</v>
      </c>
      <c r="G29" s="27">
        <f>COUNTIFS(Table13[Resident''s Unit], "Safe Harbor", Table13[Shift], "2nd &amp; 3rd", Table13[Month Received], "April")</f>
        <v>0</v>
      </c>
      <c r="H29" s="27">
        <f>COUNTIFS(Table13[Resident''s Unit], "Safe Harbor", Table13[Shift], "2nd &amp; 3rd", Table13[Month Received], "May")</f>
        <v>0</v>
      </c>
      <c r="I29" s="27">
        <f>COUNTIFS(Table13[Resident''s Unit], "Safe Harbor", Table13[Shift], "2nd &amp; 3rd", Table13[Month Received], "June")</f>
        <v>0</v>
      </c>
      <c r="J29" s="27">
        <f>COUNTIFS(Table13[Resident''s Unit], "Safe Harbor", Table13[Shift], "2nd &amp; 3rd", Table13[Month Received], "July")</f>
        <v>0</v>
      </c>
      <c r="K29" s="27">
        <f>COUNTIFS(Table13[Resident''s Unit], "Safe Harbor", Table13[Shift], "2nd &amp; 3rd", Table13[Month Received], "August")</f>
        <v>0</v>
      </c>
      <c r="L29" s="27">
        <f>COUNTIFS(Table13[Resident''s Unit], "Safe Harbor", Table13[Shift], "2nd &amp; 3rd", Table13[Month Received], "September")</f>
        <v>0</v>
      </c>
      <c r="M29" s="27">
        <f>COUNTIFS(Table13[Resident''s Unit], "Safe Harbor", Table13[Shift], "2nd &amp; 3rd", Table13[Month Received], "October")</f>
        <v>0</v>
      </c>
      <c r="N29" s="27">
        <f>COUNTIFS(Table13[Resident''s Unit], "Safe Harbor", Table13[Shift], "2nd &amp; 3rd", Table13[Month Received], "November")</f>
        <v>0</v>
      </c>
      <c r="O29" s="27">
        <f>COUNTIFS(Table13[Resident''s Unit], "Safe Harbor", Table13[Shift], "2nd &amp; 3rd", Table13[Month Received], "December")</f>
        <v>0</v>
      </c>
      <c r="P29" s="27">
        <f t="shared" si="2"/>
        <v>0</v>
      </c>
    </row>
    <row r="30" spans="1:16" x14ac:dyDescent="0.55000000000000004">
      <c r="A30" s="1" t="s">
        <v>408</v>
      </c>
      <c r="B30" s="27">
        <f>COUNTIFS(Table13[Resident''s Unit], "Safe Harbor", Table13[Shift], "3rd")</f>
        <v>0</v>
      </c>
      <c r="C30" s="27"/>
      <c r="D30" s="27">
        <f>COUNTIFS(Table13[Resident''s Unit], "Safe Harbor", Table13[Shift], "3rd", Table13[Month Received], "January")</f>
        <v>0</v>
      </c>
      <c r="E30" s="27">
        <f>COUNTIFS(Table13[Resident''s Unit], "Safe Harbor", Table13[Shift], "3rd", Table13[Month Received], "February")</f>
        <v>0</v>
      </c>
      <c r="F30" s="27">
        <f>COUNTIFS(Table13[Resident''s Unit], "Safe Harbor", Table13[Shift], "3rd", Table13[Month Received], "March")</f>
        <v>0</v>
      </c>
      <c r="G30" s="27">
        <f>COUNTIFS(Table13[Resident''s Unit], "Safe Harbor", Table13[Shift], "3rd", Table13[Month Received], "April")</f>
        <v>0</v>
      </c>
      <c r="H30" s="27">
        <f>COUNTIFS(Table13[Resident''s Unit], "Safe Harbor", Table13[Shift], "3rd", Table13[Month Received], "May")</f>
        <v>0</v>
      </c>
      <c r="I30" s="27">
        <f>COUNTIFS(Table13[Resident''s Unit], "Safe Harbor", Table13[Shift], "3rd", Table13[Month Received], "June")</f>
        <v>0</v>
      </c>
      <c r="J30" s="27">
        <f>COUNTIFS(Table13[Resident''s Unit], "Safe Harbor", Table13[Shift], "3rd", Table13[Month Received], "July")</f>
        <v>0</v>
      </c>
      <c r="K30" s="27">
        <f>COUNTIFS(Table13[Resident''s Unit], "Safe Harbor", Table13[Shift], "3rd", Table13[Month Received], "August")</f>
        <v>0</v>
      </c>
      <c r="L30" s="27">
        <f>COUNTIFS(Table13[Resident''s Unit], "Safe Harbor", Table13[Shift], "3rd", Table13[Month Received], "September")</f>
        <v>0</v>
      </c>
      <c r="M30" s="27">
        <f>COUNTIFS(Table13[Resident''s Unit], "Safe Harbor", Table13[Shift], "3rd", Table13[Month Received], "October")</f>
        <v>0</v>
      </c>
      <c r="N30" s="27">
        <f>COUNTIFS(Table13[Resident''s Unit], "Safe Harbor", Table13[Shift], "3rd", Table13[Month Received], "November")</f>
        <v>0</v>
      </c>
      <c r="O30" s="27">
        <f>COUNTIFS(Table13[Resident''s Unit], "Safe Harbor", Table13[Shift], "3rd", Table13[Month Received], "December")</f>
        <v>0</v>
      </c>
      <c r="P30" s="27">
        <f t="shared" si="2"/>
        <v>0</v>
      </c>
    </row>
    <row r="31" spans="1:16" x14ac:dyDescent="0.55000000000000004">
      <c r="A31" s="1" t="s">
        <v>418</v>
      </c>
      <c r="B31" s="27">
        <f>COUNTIFS(Table13[Resident''s Unit], "Safe Harbor", Table13[Shift], "3rd &amp; 1st")</f>
        <v>0</v>
      </c>
      <c r="C31" s="27"/>
      <c r="D31" s="27">
        <f>COUNTIFS(Table13[Resident''s Unit], "Safe Harbor", Table13[Shift], "3rd &amp; 1st", Table13[Month Received], "January")</f>
        <v>0</v>
      </c>
      <c r="E31" s="27">
        <f>COUNTIFS(Table13[Resident''s Unit], "Safe Harbor", Table13[Shift], "3rd &amp; 1st", Table13[Month Received], "February")</f>
        <v>0</v>
      </c>
      <c r="F31" s="27">
        <f>COUNTIFS(Table13[Resident''s Unit], "Safe Harbor", Table13[Shift], "3rd &amp; 1st", Table13[Month Received], "March")</f>
        <v>0</v>
      </c>
      <c r="G31" s="27">
        <f>COUNTIFS(Table13[Resident''s Unit], "Safe Harbor", Table13[Shift], "3rd &amp; 1st", Table13[Month Received], "April")</f>
        <v>0</v>
      </c>
      <c r="H31" s="27">
        <f>COUNTIFS(Table13[Resident''s Unit], "Safe Harbor", Table13[Shift], "3rd &amp; 1st", Table13[Month Received], "May")</f>
        <v>0</v>
      </c>
      <c r="I31" s="27">
        <f>COUNTIFS(Table13[Resident''s Unit], "Safe Harbor", Table13[Shift], "3rd &amp; 1st", Table13[Month Received], "June")</f>
        <v>0</v>
      </c>
      <c r="J31" s="27">
        <f>COUNTIFS(Table13[Resident''s Unit], "Safe Harbor", Table13[Shift], "3rd &amp; 1st", Table13[Month Received], "July")</f>
        <v>0</v>
      </c>
      <c r="K31" s="27">
        <f>COUNTIFS(Table13[Resident''s Unit], "Safe Harbor", Table13[Shift], "3rd &amp; 1st", Table13[Month Received], "August")</f>
        <v>0</v>
      </c>
      <c r="L31" s="27">
        <f>COUNTIFS(Table13[Resident''s Unit], "Safe Harbor", Table13[Shift], "3rd &amp; 1st", Table13[Month Received], "September")</f>
        <v>0</v>
      </c>
      <c r="M31" s="27">
        <f>COUNTIFS(Table13[Resident''s Unit], "Safe Harbor", Table13[Shift], "3rd &amp; 1st", Table13[Month Received], "October")</f>
        <v>0</v>
      </c>
      <c r="N31" s="27">
        <f>COUNTIFS(Table13[Resident''s Unit], "Safe Harbor", Table13[Shift], "3rd &amp; 1st", Table13[Month Received], "November")</f>
        <v>0</v>
      </c>
      <c r="O31" s="27">
        <f>COUNTIFS(Table13[Resident''s Unit], "Safe Harbor", Table13[Shift], "3rd &amp; 1st", Table13[Month Received], "December")</f>
        <v>0</v>
      </c>
      <c r="P31" s="27">
        <f t="shared" si="2"/>
        <v>0</v>
      </c>
    </row>
    <row r="32" spans="1:16" x14ac:dyDescent="0.55000000000000004">
      <c r="A32" s="1" t="s">
        <v>412</v>
      </c>
      <c r="B32" s="27">
        <f>COUNTIFS(Table13[Resident''s Unit], "Safe Harbor", Table13[Shift], "All")</f>
        <v>0</v>
      </c>
      <c r="C32" s="27"/>
      <c r="D32" s="27">
        <f>COUNTIFS(Table13[Resident''s Unit], "Safe Harbor", Table13[Shift], "All", Table13[Month Received], "January")</f>
        <v>0</v>
      </c>
      <c r="E32" s="27">
        <f>COUNTIFS(Table13[Resident''s Unit], "Safe Harbor", Table13[Shift], "All", Table13[Month Received], "February")</f>
        <v>0</v>
      </c>
      <c r="F32" s="27">
        <f>COUNTIFS(Table13[Resident''s Unit], "Safe Harbor", Table13[Shift], "All", Table13[Month Received], "March")</f>
        <v>0</v>
      </c>
      <c r="G32" s="27">
        <f>COUNTIFS(Table13[Resident''s Unit], "Safe Harbor", Table13[Shift], "All", Table13[Month Received], "April")</f>
        <v>0</v>
      </c>
      <c r="H32" s="27">
        <f>COUNTIFS(Table13[Resident''s Unit], "Safe Harbor", Table13[Shift], "All", Table13[Month Received], "May")</f>
        <v>0</v>
      </c>
      <c r="I32" s="27">
        <f>COUNTIFS(Table13[Resident''s Unit], "Safe Harbor", Table13[Shift], "All", Table13[Month Received], "June")</f>
        <v>0</v>
      </c>
      <c r="J32" s="27">
        <f>COUNTIFS(Table13[Resident''s Unit], "Safe Harbor", Table13[Shift], "All", Table13[Month Received], "July")</f>
        <v>0</v>
      </c>
      <c r="K32" s="27">
        <f>COUNTIFS(Table13[Resident''s Unit], "Safe Harbor", Table13[Shift], "All", Table13[Month Received], "August")</f>
        <v>0</v>
      </c>
      <c r="L32" s="27">
        <f>COUNTIFS(Table13[Resident''s Unit], "Safe Harbor", Table13[Shift], "All", Table13[Month Received], "September")</f>
        <v>0</v>
      </c>
      <c r="M32" s="27">
        <f>COUNTIFS(Table13[Resident''s Unit], "Safe Harbor", Table13[Shift], "All", Table13[Month Received], "October")</f>
        <v>0</v>
      </c>
      <c r="N32" s="27">
        <f>COUNTIFS(Table13[Resident''s Unit], "Safe Harbor", Table13[Shift], "All", Table13[Month Received], "November")</f>
        <v>0</v>
      </c>
      <c r="O32" s="27">
        <f>COUNTIFS(Table13[Resident''s Unit], "Safe Harbor", Table13[Shift], "All", Table13[Month Received], "December")</f>
        <v>0</v>
      </c>
      <c r="P32" s="27">
        <f t="shared" si="2"/>
        <v>0</v>
      </c>
    </row>
    <row r="33" spans="1:16" x14ac:dyDescent="0.55000000000000004">
      <c r="B33" s="27"/>
      <c r="C33" s="27"/>
      <c r="D33" s="27"/>
      <c r="E33" s="27"/>
      <c r="F33" s="27"/>
      <c r="G33" s="27"/>
      <c r="H33" s="27"/>
      <c r="I33" s="27"/>
      <c r="J33" s="27"/>
      <c r="K33" s="27"/>
      <c r="L33" s="27"/>
      <c r="M33" s="27"/>
      <c r="N33" s="27"/>
      <c r="O33" s="27"/>
    </row>
    <row r="34" spans="1:16" x14ac:dyDescent="0.55000000000000004">
      <c r="A34" s="1" t="s">
        <v>409</v>
      </c>
      <c r="B34" s="27">
        <f>COUNTIFS(Table13[Resident''s Unit], "Safe Harbor", Table13[Shift], "1st", Table13[1st Implicated Staff], "SH General Staff")</f>
        <v>0</v>
      </c>
      <c r="C34" s="27"/>
      <c r="D34" s="27">
        <f>COUNTIFS(Table13[Resident''s Unit], "Safe Harbor", Table13[Shift], "1st", Table13[1st Implicated Staff], "SH General Staff", Table13[Month Received], "January")</f>
        <v>0</v>
      </c>
      <c r="E34" s="27">
        <f>COUNTIFS(Table13[Resident''s Unit], "Safe Harbor", Table13[Shift], "1st", Table13[1st Implicated Staff], "SH General Staff", Table13[Month Received], "February")</f>
        <v>0</v>
      </c>
      <c r="F34" s="27">
        <f>COUNTIFS(Table13[Resident''s Unit], "Safe Harbor", Table13[Shift], "1st", Table13[1st Implicated Staff], "SH General Staff", Table13[Month Received], "March")</f>
        <v>0</v>
      </c>
      <c r="G34" s="27">
        <f>COUNTIFS(Table13[Resident''s Unit], "Safe Harbor", Table13[Shift], "1st", Table13[1st Implicated Staff], "SH General Staff", Table13[Month Received], "April")</f>
        <v>0</v>
      </c>
      <c r="H34" s="27">
        <f>COUNTIFS(Table13[Resident''s Unit], "Safe Harbor", Table13[Shift], "1st", Table13[1st Implicated Staff], "SH General Staff", Table13[Month Received], "May")</f>
        <v>0</v>
      </c>
      <c r="I34" s="27">
        <f>COUNTIFS(Table13[Resident''s Unit], "Safe Harbor", Table13[Shift], "1st", Table13[1st Implicated Staff], "SH General Staff", Table13[Month Received], "June")</f>
        <v>0</v>
      </c>
      <c r="J34" s="27">
        <f>COUNTIFS(Table13[Resident''s Unit], "Safe Harbor", Table13[Shift], "1st", Table13[1st Implicated Staff], "SH General Staff", Table13[Month Received], "July")</f>
        <v>0</v>
      </c>
      <c r="K34" s="27">
        <f>COUNTIFS(Table13[Resident''s Unit], "Safe Harbor", Table13[Shift], "1st", Table13[1st Implicated Staff], "SH General Staff", Table13[Month Received], "August")</f>
        <v>0</v>
      </c>
      <c r="L34" s="27">
        <f>COUNTIFS(Table13[Resident''s Unit], "Safe Harbor", Table13[Shift], "1st", Table13[1st Implicated Staff], "SH General Staff", Table13[Month Received], "September")</f>
        <v>0</v>
      </c>
      <c r="M34" s="27">
        <f>COUNTIFS(Table13[Resident''s Unit], "Safe Harbor", Table13[Shift], "1st", Table13[1st Implicated Staff], "SH General Staff", Table13[Month Received], "October")</f>
        <v>0</v>
      </c>
      <c r="N34" s="27">
        <f>COUNTIFS(Table13[Resident''s Unit], "Safe Harbor", Table13[Shift], "1st", Table13[1st Implicated Staff], "SH General Staff", Table13[Month Received], "November")</f>
        <v>0</v>
      </c>
      <c r="O34" s="27">
        <f>COUNTIFS(Table13[Resident''s Unit], "Safe Harbor", Table13[Shift], "1st", Table13[1st Implicated Staff], "SH General Staff", Table13[Month Received], "December")</f>
        <v>0</v>
      </c>
      <c r="P34" s="27">
        <f t="shared" ref="P34:P37" si="3">SUM(D34:O34)</f>
        <v>0</v>
      </c>
    </row>
    <row r="35" spans="1:16" x14ac:dyDescent="0.55000000000000004">
      <c r="A35" s="1" t="s">
        <v>415</v>
      </c>
      <c r="B35" s="27">
        <f>COUNTIFS(Table13[Resident''s Unit], "Safe Harbor", Table13[Shift], "1st &amp; 2nd", Table13[1st Implicated Staff], "SH General Staff")</f>
        <v>0</v>
      </c>
      <c r="C35" s="27"/>
      <c r="D35" s="27">
        <f>COUNTIFS(Table13[Resident''s Unit], "Safe Harbor", Table13[Shift], "1st &amp; 2nd", Table13[1st Implicated Staff], "SH General Staff", Table13[Month Received], "January")</f>
        <v>0</v>
      </c>
      <c r="E35" s="27">
        <f>COUNTIFS(Table13[Resident''s Unit], "Safe Harbor", Table13[Shift], "1st &amp; 2nd", Table13[1st Implicated Staff], "SH General Staff", Table13[Month Received], "February")</f>
        <v>0</v>
      </c>
      <c r="F35" s="27">
        <f>COUNTIFS(Table13[Resident''s Unit], "Safe Harbor", Table13[Shift], "1st &amp; 2nd", Table13[1st Implicated Staff], "SH General Staff", Table13[Month Received], "March")</f>
        <v>0</v>
      </c>
      <c r="G35" s="27">
        <f>COUNTIFS(Table13[Resident''s Unit], "Safe Harbor", Table13[Shift], "1st &amp; 2nd", Table13[1st Implicated Staff], "SH General Staff", Table13[Month Received], "April")</f>
        <v>0</v>
      </c>
      <c r="H35" s="27">
        <f>COUNTIFS(Table13[Resident''s Unit], "Safe Harbor", Table13[Shift], "1st &amp; 2nd", Table13[1st Implicated Staff], "SH General Staff", Table13[Month Received], "May")</f>
        <v>0</v>
      </c>
      <c r="I35" s="27">
        <f>COUNTIFS(Table13[Resident''s Unit], "Safe Harbor", Table13[Shift], "1st  &amp; 2nd", Table13[1st Implicated Staff], "SH General Staff", Table13[Month Received], "June")</f>
        <v>0</v>
      </c>
      <c r="J35" s="27">
        <f>COUNTIFS(Table13[Resident''s Unit], "Safe Harbor", Table13[Shift], "1st &amp; 2nd", Table13[1st Implicated Staff], "SH General Staff", Table13[Month Received], "July")</f>
        <v>0</v>
      </c>
      <c r="K35" s="27">
        <f>COUNTIFS(Table13[Resident''s Unit], "Safe Harbor", Table13[Shift], "1st &amp; 2nd", Table13[1st Implicated Staff], "SH General Staff", Table13[Month Received], "August")</f>
        <v>0</v>
      </c>
      <c r="L35" s="27">
        <f>COUNTIFS(Table13[Resident''s Unit], "Safe Harbor", Table13[Shift], "1st &amp; 2nd", Table13[1st Implicated Staff], "SH General Staff", Table13[Month Received], "September")</f>
        <v>0</v>
      </c>
      <c r="M35" s="27">
        <f>COUNTIFS(Table13[Resident''s Unit], "Safe Harbor", Table13[Shift], "1st &amp; 2nd", Table13[1st Implicated Staff], "SH General Staff", Table13[Month Received], "October")</f>
        <v>0</v>
      </c>
      <c r="N35" s="27">
        <f>COUNTIFS(Table13[Resident''s Unit], "Safe Harbor", Table13[Shift], "1st &amp; 2nd", Table13[1st Implicated Staff], "SH General Staff", Table13[Month Received], "November")</f>
        <v>0</v>
      </c>
      <c r="O35" s="27">
        <f>COUNTIFS(Table13[Resident''s Unit], "Safe Harbor", Table13[Shift], "1st &amp; 2nd", Table13[1st Implicated Staff], "SH General Staff", Table13[Month Received], "December")</f>
        <v>0</v>
      </c>
      <c r="P35" s="27">
        <f t="shared" si="3"/>
        <v>0</v>
      </c>
    </row>
    <row r="36" spans="1:16" x14ac:dyDescent="0.55000000000000004">
      <c r="A36" s="1" t="s">
        <v>410</v>
      </c>
      <c r="B36" s="27">
        <f>COUNTIFS(Table13[Resident''s Unit], "Safe Harbor", Table13[Shift], "2nd", Table13[1st Implicated Staff], "SH General Staff")</f>
        <v>0</v>
      </c>
      <c r="C36" s="27"/>
      <c r="D36" s="27">
        <f>COUNTIFS(Table13[Resident''s Unit], "Safe Harbor", Table13[Shift], "2nd", Table13[1st Implicated Staff], "SH General Staff", Table13[Month Received], "January")</f>
        <v>0</v>
      </c>
      <c r="E36" s="27">
        <f>COUNTIFS(Table13[Resident''s Unit], "Safe Harbor", Table13[Shift], "2nd", Table13[1st Implicated Staff], "SH General Staff", Table13[Month Received], "February")</f>
        <v>0</v>
      </c>
      <c r="F36" s="27">
        <f>COUNTIFS(Table13[Resident''s Unit], "Safe Harbor", Table13[Shift], "2nd", Table13[1st Implicated Staff], "SH General Staff", Table13[Month Received], "March")</f>
        <v>0</v>
      </c>
      <c r="G36" s="27">
        <f>COUNTIFS(Table13[Resident''s Unit], "Safe Harbor", Table13[Shift], "2nd", Table13[1st Implicated Staff], "SH General Staff", Table13[Month Received], "April")</f>
        <v>0</v>
      </c>
      <c r="H36" s="27">
        <f>COUNTIFS(Table13[Resident''s Unit], "Safe Harbor", Table13[Shift], "2nd", Table13[1st Implicated Staff], "SH General Staff", Table13[Month Received], "May")</f>
        <v>0</v>
      </c>
      <c r="I36" s="27">
        <f>COUNTIFS(Table13[Resident''s Unit], "Safe Harbor", Table13[Shift], "2nd", Table13[1st Implicated Staff], "SH General Staff", Table13[Month Received], "June")</f>
        <v>0</v>
      </c>
      <c r="J36" s="27">
        <f>COUNTIFS(Table13[Resident''s Unit], "Safe Harbor", Table13[Shift], "2nd", Table13[1st Implicated Staff], "SH General Staff", Table13[Month Received], "July")</f>
        <v>0</v>
      </c>
      <c r="K36" s="27">
        <f>COUNTIFS(Table13[Resident''s Unit], "Safe Harbor", Table13[Shift], "2nd", Table13[1st Implicated Staff], "SH General Staff", Table13[Month Received], "August")</f>
        <v>0</v>
      </c>
      <c r="L36" s="27">
        <f>COUNTIFS(Table13[Resident''s Unit], "Safe Harbor", Table13[Shift], "2nd", Table13[1st Implicated Staff], "SH General Staff", Table13[Month Received], "September")</f>
        <v>0</v>
      </c>
      <c r="M36" s="27">
        <f>COUNTIFS(Table13[Resident''s Unit], "Safe Harbor", Table13[Shift], "2nd", Table13[1st Implicated Staff], "SH General Staff", Table13[Month Received], "October")</f>
        <v>0</v>
      </c>
      <c r="N36" s="27">
        <f>COUNTIFS(Table13[Resident''s Unit], "Safe Harbor", Table13[Shift], "2nd", Table13[1st Implicated Staff], "SH General Staff", Table13[Month Received], "November")</f>
        <v>0</v>
      </c>
      <c r="O36" s="27">
        <f>COUNTIFS(Table13[Resident''s Unit], "Safe Harbor", Table13[Shift], "2nd", Table13[1st Implicated Staff], "SH General Staff", Table13[Month Received], "December")</f>
        <v>0</v>
      </c>
      <c r="P36" s="27">
        <f t="shared" si="3"/>
        <v>0</v>
      </c>
    </row>
    <row r="37" spans="1:16" x14ac:dyDescent="0.55000000000000004">
      <c r="A37" s="1" t="s">
        <v>416</v>
      </c>
      <c r="B37" s="27">
        <f>COUNTIFS(Table13[Resident''s Unit], "Safe Harbor", Table13[Shift], "2nd &amp; 3rd", Table13[1st Implicated Staff], "SH General Staff")</f>
        <v>0</v>
      </c>
      <c r="C37" s="27"/>
      <c r="D37" s="27">
        <f>COUNTIFS(Table13[Resident''s Unit], "Safe Harbor", Table13[Shift], "2nd &amp; 3rd", Table13[1st Implicated Staff], "SH General Staff", Table13[Month Received], "January")</f>
        <v>0</v>
      </c>
      <c r="E37" s="27">
        <f>COUNTIFS(Table13[Resident''s Unit], "Safe Harbor", Table13[Shift], "2nd &amp; 3rd", Table13[1st Implicated Staff], "SH General Staff", Table13[Month Received], "February")</f>
        <v>0</v>
      </c>
      <c r="F37" s="27">
        <f>COUNTIFS(Table13[Resident''s Unit], "Safe Harbor", Table13[Shift], "2nd &amp; 3rd", Table13[1st Implicated Staff], "SH General Staff", Table13[Month Received], "March")</f>
        <v>0</v>
      </c>
      <c r="G37" s="27">
        <f>COUNTIFS(Table13[Resident''s Unit], "Safe Harbor", Table13[Shift], "2nd &amp; 3rd", Table13[1st Implicated Staff], "SH General Staff", Table13[Month Received], "April")</f>
        <v>0</v>
      </c>
      <c r="H37" s="27">
        <f>COUNTIFS(Table13[Resident''s Unit], "Safe Harbor", Table13[Shift], "2nd &amp; 3rd", Table13[1st Implicated Staff], "SH General Staff", Table13[Month Received], "May")</f>
        <v>0</v>
      </c>
      <c r="I37" s="27">
        <f>COUNTIFS(Table13[Resident''s Unit], "Safe Harbor", Table13[Shift], "2nd &amp; 3rd", Table13[1st Implicated Staff], "SH General Staff", Table13[Month Received], "June")</f>
        <v>0</v>
      </c>
      <c r="J37" s="27">
        <f>COUNTIFS(Table13[Resident''s Unit], "Safe Harbor", Table13[Shift], "2nd &amp; 3rd", Table13[1st Implicated Staff], "SH General Staff", Table13[Month Received], "July")</f>
        <v>0</v>
      </c>
      <c r="K37" s="27">
        <f>COUNTIFS(Table13[Resident''s Unit], "Safe Harbor", Table13[Shift], "2nd &amp; 3rd", Table13[1st Implicated Staff], "SH General Staff", Table13[Month Received], "August")</f>
        <v>0</v>
      </c>
      <c r="L37" s="27">
        <f>COUNTIFS(Table13[Resident''s Unit], "Safe Harbor", Table13[Shift], "2nd &amp; 3rd", Table13[1st Implicated Staff], "SH General Staff", Table13[Month Received], "September")</f>
        <v>0</v>
      </c>
      <c r="M37" s="27">
        <f>COUNTIFS(Table13[Resident''s Unit], "Safe Harbor", Table13[Shift], "2nd &amp; 3rd", Table13[1st Implicated Staff], "SH General Staff", Table13[Month Received], "October")</f>
        <v>0</v>
      </c>
      <c r="N37" s="27">
        <f>COUNTIFS(Table13[Resident''s Unit], "Safe Harbor", Table13[Shift], "2nd &amp; 3rd", Table13[1st Implicated Staff], "SH General Staff", Table13[Month Received], "November")</f>
        <v>0</v>
      </c>
      <c r="O37" s="27">
        <f>COUNTIFS(Table13[Resident''s Unit], "Safe Harbor", Table13[Shift], "2nd &amp; 3rd", Table13[1st Implicated Staff], "SH General Staff", Table13[Month Received], "December")</f>
        <v>0</v>
      </c>
      <c r="P37" s="27">
        <f t="shared" si="3"/>
        <v>0</v>
      </c>
    </row>
    <row r="38" spans="1:16" x14ac:dyDescent="0.55000000000000004">
      <c r="A38" s="1" t="s">
        <v>411</v>
      </c>
      <c r="B38" s="27">
        <f>COUNTIFS(Table13[Resident''s Unit], "Safe Harbor", Table13[Shift], "3rd", Table13[1st Implicated Staff], "SH General Staff")</f>
        <v>0</v>
      </c>
      <c r="C38" s="27"/>
      <c r="D38" s="27">
        <f>COUNTIFS(Table13[Resident''s Unit], "Safe Harbor", Table13[Shift], "3rd", Table13[1st Implicated Staff], "SH General Staff", Table13[Month Received], "January")</f>
        <v>0</v>
      </c>
      <c r="E38" s="27">
        <f>COUNTIFS(Table13[Resident''s Unit], "Safe Harbor", Table13[Shift], "3rd", Table13[1st Implicated Staff], "SH General Staff", Table13[Month Received], "February")</f>
        <v>0</v>
      </c>
      <c r="F38" s="27">
        <f>COUNTIFS(Table13[Resident''s Unit], "Safe Harbor", Table13[Shift], "3rd", Table13[1st Implicated Staff], "SH General Staff", Table13[Month Received], "March")</f>
        <v>0</v>
      </c>
      <c r="G38" s="27">
        <f>COUNTIFS(Table13[Resident''s Unit], "Safe Harbor", Table13[Shift], "3rd", Table13[1st Implicated Staff], "SH General Staff", Table13[Month Received], "April")</f>
        <v>0</v>
      </c>
      <c r="H38" s="27">
        <f>COUNTIFS(Table13[Resident''s Unit], "Safe Harbor", Table13[Shift], "3rd", Table13[1st Implicated Staff], "SH General Staff", Table13[Month Received], "May")</f>
        <v>0</v>
      </c>
      <c r="I38" s="27">
        <f>COUNTIFS(Table13[Resident''s Unit], "Safe Harbor", Table13[Shift], "3rd", Table13[1st Implicated Staff], "SH General Staff", Table13[Month Received], "June")</f>
        <v>0</v>
      </c>
      <c r="J38" s="27">
        <f>COUNTIFS(Table13[Resident''s Unit], "Safe Harbor", Table13[Shift], "3rd", Table13[1st Implicated Staff], "SH General Staff", Table13[Month Received], "July")</f>
        <v>0</v>
      </c>
      <c r="K38" s="27">
        <f>COUNTIFS(Table13[Resident''s Unit], "Safe Harbor", Table13[Shift], "3rd", Table13[1st Implicated Staff], "SH General Staff", Table13[Month Received], "August")</f>
        <v>0</v>
      </c>
      <c r="L38" s="27">
        <f>COUNTIFS(Table13[Resident''s Unit], "Safe Harbor", Table13[Shift], "3rd", Table13[1st Implicated Staff], "SH General Staff", Table13[Month Received], "September")</f>
        <v>0</v>
      </c>
      <c r="M38" s="27">
        <f>COUNTIFS(Table13[Resident''s Unit], "Safe Harbor", Table13[Shift], "3rd", Table13[1st Implicated Staff], "SH General Staff", Table13[Month Received], "October")</f>
        <v>0</v>
      </c>
      <c r="N38" s="27">
        <f>COUNTIFS(Table13[Resident''s Unit], "Safe Harbor", Table13[Shift], "3rd", Table13[1st Implicated Staff], "SH General Staff", Table13[Month Received], "November")</f>
        <v>0</v>
      </c>
      <c r="O38" s="27">
        <f>COUNTIFS(Table13[Resident''s Unit], "Safe Harbor", Table13[Shift], "3rd", Table13[1st Implicated Staff], "SH General Staff", Table13[Month Received], "December")</f>
        <v>0</v>
      </c>
      <c r="P38" s="27">
        <f>SUM(D38:O38)</f>
        <v>0</v>
      </c>
    </row>
    <row r="39" spans="1:16" x14ac:dyDescent="0.55000000000000004">
      <c r="A39" s="1" t="s">
        <v>417</v>
      </c>
      <c r="B39" s="27">
        <f>COUNTIFS(Table13[Resident''s Unit], "Safe Harbor", Table13[Shift], "3rd &amp; 1st", Table13[1st Implicated Staff], "SH General Staff")</f>
        <v>0</v>
      </c>
      <c r="C39" s="27"/>
      <c r="D39" s="27">
        <f>COUNTIFS(Table13[Resident''s Unit], "Safe Harbor", Table13[Shift], "3rd &amp; 1st", Table13[1st Implicated Staff], "SH General Staff", Table13[Month Received], "January")</f>
        <v>0</v>
      </c>
      <c r="E39" s="27">
        <f>COUNTIFS(Table13[Resident''s Unit], "Safe Harbor", Table13[Shift], "3rd &amp; 1st", Table13[1st Implicated Staff], "SH General Staff", Table13[Month Received], "February")</f>
        <v>0</v>
      </c>
      <c r="F39" s="27">
        <f>COUNTIFS(Table13[Resident''s Unit], "Safe Harbor", Table13[Shift], "3rd &amp; 1st", Table13[1st Implicated Staff], "SH General Staff", Table13[Month Received], "March")</f>
        <v>0</v>
      </c>
      <c r="G39" s="27">
        <f>COUNTIFS(Table13[Resident''s Unit], "Safe Harbor", Table13[Shift], "3rd &amp; 1st", Table13[1st Implicated Staff], "SH General Staff", Table13[Month Received], "April")</f>
        <v>0</v>
      </c>
      <c r="H39" s="27">
        <f>COUNTIFS(Table13[Resident''s Unit], "Safe Harbor", Table13[Shift], "3rd &amp; 1st", Table13[1st Implicated Staff], "SH General Staff", Table13[Month Received], "May")</f>
        <v>0</v>
      </c>
      <c r="I39" s="27">
        <f>COUNTIFS(Table13[Resident''s Unit], "Safe Harbor", Table13[Shift], "3rd &amp; 1st", Table13[1st Implicated Staff], "SH General Staff", Table13[Month Received], "June")</f>
        <v>0</v>
      </c>
      <c r="J39" s="27">
        <f>COUNTIFS(Table13[Resident''s Unit], "Safe Harbor", Table13[Shift], "3rd &amp; 1st", Table13[1st Implicated Staff], "SH General Staff", Table13[Month Received], "July")</f>
        <v>0</v>
      </c>
      <c r="K39" s="27">
        <f>COUNTIFS(Table13[Resident''s Unit], "Safe Harbor", Table13[Shift], "3rd &amp; 1st", Table13[1st Implicated Staff], "SH General Staff", Table13[Month Received], "August")</f>
        <v>0</v>
      </c>
      <c r="L39" s="27">
        <f>COUNTIFS(Table13[Resident''s Unit], "Safe Harbor", Table13[Shift], "3rd &amp; 1st", Table13[1st Implicated Staff], "SH General Staff", Table13[Month Received], "September")</f>
        <v>0</v>
      </c>
      <c r="M39" s="27">
        <f>COUNTIFS(Table13[Resident''s Unit], "Safe Harbor", Table13[Shift], "3rd &amp; 1st", Table13[1st Implicated Staff], "SH General Staff", Table13[Month Received], "October")</f>
        <v>0</v>
      </c>
      <c r="N39" s="27">
        <f>COUNTIFS(Table13[Resident''s Unit], "Safe Harbor", Table13[Shift], "3rd &amp; 1st", Table13[1st Implicated Staff], "SH General Staff", Table13[Month Received], "November")</f>
        <v>0</v>
      </c>
      <c r="O39" s="27">
        <f>COUNTIFS(Table13[Resident''s Unit], "Safe Harbor", Table13[Shift], "3rd &amp; 1st", Table13[1st Implicated Staff], "SH General Staff", Table13[Month Received], "December")</f>
        <v>0</v>
      </c>
      <c r="P39" s="27">
        <f t="shared" ref="P39:P40" si="4">SUM(D39:O39)</f>
        <v>0</v>
      </c>
    </row>
    <row r="40" spans="1:16" x14ac:dyDescent="0.55000000000000004">
      <c r="A40" s="1" t="s">
        <v>412</v>
      </c>
      <c r="B40" s="27">
        <f>COUNTIFS(Table13[Resident''s Unit], "Safe Harbor", Table13[Shift], "All", Table13[1st Implicated Staff], "SH General Staff")</f>
        <v>0</v>
      </c>
      <c r="C40" s="27"/>
      <c r="D40" s="27">
        <f>COUNTIFS(Table13[Resident''s Unit], "Safe Harbor", Table13[Shift], "All", Table13[1st Implicated Staff], "SH General Staff", Table13[Month Received], "January")</f>
        <v>0</v>
      </c>
      <c r="E40" s="27">
        <f>COUNTIFS(Table13[Resident''s Unit], "Safe Harbor", Table13[Shift], "All", Table13[1st Implicated Staff], "SH General Staff", Table13[Month Received], "February")</f>
        <v>0</v>
      </c>
      <c r="F40" s="27">
        <f>COUNTIFS(Table13[Resident''s Unit], "Safe Harbor", Table13[Shift], "All", Table13[1st Implicated Staff], "SH General Staff", Table13[Month Received], "March")</f>
        <v>0</v>
      </c>
      <c r="G40" s="27">
        <f>COUNTIFS(Table13[Resident''s Unit], "Safe Harbor", Table13[Shift], "All", Table13[1st Implicated Staff], "SH General Staff", Table13[Month Received], "April")</f>
        <v>0</v>
      </c>
      <c r="H40" s="27">
        <f>COUNTIFS(Table13[Resident''s Unit], "Safe Harbor", Table13[Shift], "All", Table13[1st Implicated Staff], "SH General Staff", Table13[Month Received], "May")</f>
        <v>0</v>
      </c>
      <c r="I40" s="27">
        <f>COUNTIFS(Table13[Resident''s Unit], "Safe Harbor", Table13[Shift], "All", Table13[1st Implicated Staff], "SH General Staff", Table13[Month Received], "June")</f>
        <v>0</v>
      </c>
      <c r="J40" s="27">
        <f>COUNTIFS(Table13[Resident''s Unit], "Safe Harbor", Table13[Shift], "All", Table13[1st Implicated Staff], "SH General Staff", Table13[Month Received], "July")</f>
        <v>0</v>
      </c>
      <c r="K40" s="27">
        <f>COUNTIFS(Table13[Resident''s Unit], "Safe Harbor", Table13[Shift], "All", Table13[1st Implicated Staff], "SH General Staff", Table13[Month Received], "August")</f>
        <v>0</v>
      </c>
      <c r="L40" s="27">
        <f>COUNTIFS(Table13[Resident''s Unit], "Safe Harbor", Table13[Shift], "All", Table13[1st Implicated Staff], "SH General Staff", Table13[Month Received], "September")</f>
        <v>0</v>
      </c>
      <c r="M40" s="27">
        <f>COUNTIFS(Table13[Resident''s Unit], "Safe Harbor", Table13[Shift], "All", Table13[1st Implicated Staff], "SH General Staff", Table13[Month Received], "October")</f>
        <v>0</v>
      </c>
      <c r="N40" s="27">
        <f>COUNTIFS(Table13[Resident''s Unit], "Safe Harbor", Table13[Shift], "All", Table13[1st Implicated Staff], "SH General Staff", Table13[Month Received], "November")</f>
        <v>0</v>
      </c>
      <c r="O40" s="27">
        <f>COUNTIFS(Table13[Resident''s Unit], "Safe Harbor", Table13[Shift], "All", Table13[1st Implicated Staff], "SH General Staff", Table13[Month Received], "December")</f>
        <v>0</v>
      </c>
      <c r="P40" s="27">
        <f t="shared" si="4"/>
        <v>0</v>
      </c>
    </row>
    <row r="42" spans="1:16" x14ac:dyDescent="0.55000000000000004">
      <c r="A42" s="19" t="s">
        <v>51</v>
      </c>
      <c r="B42" s="129" t="s">
        <v>205</v>
      </c>
      <c r="C42" s="27" t="s">
        <v>307</v>
      </c>
      <c r="D42" s="129" t="s">
        <v>94</v>
      </c>
      <c r="E42" s="129" t="s">
        <v>95</v>
      </c>
      <c r="F42" s="129" t="s">
        <v>96</v>
      </c>
      <c r="G42" s="129" t="s">
        <v>97</v>
      </c>
      <c r="H42" s="129" t="s">
        <v>93</v>
      </c>
      <c r="I42" s="129" t="s">
        <v>98</v>
      </c>
      <c r="J42" s="129" t="s">
        <v>99</v>
      </c>
      <c r="K42" s="129" t="s">
        <v>100</v>
      </c>
      <c r="L42" s="129" t="s">
        <v>101</v>
      </c>
      <c r="M42" s="129" t="s">
        <v>102</v>
      </c>
      <c r="N42" s="129" t="s">
        <v>103</v>
      </c>
      <c r="O42" s="129" t="s">
        <v>104</v>
      </c>
      <c r="P42" s="129" t="s">
        <v>419</v>
      </c>
    </row>
    <row r="43" spans="1:16" x14ac:dyDescent="0.55000000000000004">
      <c r="A43" s="1" t="s">
        <v>406</v>
      </c>
      <c r="B43" s="27">
        <f>COUNTIFS(Table13[Resident''s Unit], "Starting Point", Table13[Shift], "1st")</f>
        <v>0</v>
      </c>
      <c r="C43" s="27"/>
      <c r="D43" s="27">
        <f>COUNTIFS(Table13[Resident''s Unit], "Starting Point", Table13[Shift], "1st", Table13[Month Received], "January")</f>
        <v>0</v>
      </c>
      <c r="E43" s="27">
        <f>COUNTIFS(Table13[Resident''s Unit], "Starting Point", Table13[Shift], "1st", Table13[Month Received], "February")</f>
        <v>0</v>
      </c>
      <c r="F43" s="27">
        <f>COUNTIFS(Table13[Resident''s Unit], "Starting Point", Table13[Shift], "1st", Table13[Month Received], "March")</f>
        <v>0</v>
      </c>
      <c r="G43" s="27">
        <f>COUNTIFS(Table13[Resident''s Unit], "Starting Point", Table13[Shift], "1st", Table13[Month Received], "April")</f>
        <v>0</v>
      </c>
      <c r="H43" s="27">
        <f>COUNTIFS(Table13[Resident''s Unit], "Starting Point", Table13[Shift], "1st", Table13[Month Received], "May")</f>
        <v>0</v>
      </c>
      <c r="I43" s="27">
        <f>COUNTIFS(Table13[Resident''s Unit], "Starting Point", Table13[Shift], "1st", Table13[Month Received], "June")</f>
        <v>0</v>
      </c>
      <c r="J43" s="27">
        <f>COUNTIFS(Table13[Resident''s Unit], "Starting Point", Table13[Shift], "1st", Table13[Month Received], "July")</f>
        <v>0</v>
      </c>
      <c r="K43" s="27">
        <f>COUNTIFS(Table13[Resident''s Unit], "Starting Point", Table13[Shift], "1st", Table13[Month Received], "August")</f>
        <v>0</v>
      </c>
      <c r="L43" s="27">
        <f>COUNTIFS(Table13[Resident''s Unit], "Starting Point", Table13[Shift], "1st", Table13[Month Received], "September")</f>
        <v>0</v>
      </c>
      <c r="M43" s="27">
        <f>COUNTIFS(Table13[Resident''s Unit], "Starting Point", Table13[Shift], "1st", Table13[Month Received], "October")</f>
        <v>0</v>
      </c>
      <c r="N43" s="27">
        <f>COUNTIFS(Table13[Resident''s Unit], "Starting Point", Table13[Shift], "1st", Table13[Month Received], "November")</f>
        <v>0</v>
      </c>
      <c r="O43" s="27">
        <f>COUNTIFS(Table13[Resident''s Unit], "Starting Point", Table13[Shift], "1st", Table13[Month Received], "December")</f>
        <v>0</v>
      </c>
      <c r="P43" s="27">
        <f>SUM(D43:O43)</f>
        <v>0</v>
      </c>
    </row>
    <row r="44" spans="1:16" x14ac:dyDescent="0.55000000000000004">
      <c r="A44" s="1" t="s">
        <v>415</v>
      </c>
      <c r="B44" s="27">
        <f>COUNTIFS(Table13[Resident''s Unit], "Starting Point", Table13[Shift], "1st &amp; 2nd")</f>
        <v>0</v>
      </c>
      <c r="C44" s="27"/>
      <c r="D44" s="27">
        <f>COUNTIFS(Table13[Resident''s Unit], "Starting Point", Table13[Shift], "1st &amp; 2nd", Table13[Month Received], "January")</f>
        <v>0</v>
      </c>
      <c r="E44" s="27">
        <f>COUNTIFS(Table13[Resident''s Unit], "Starting Point", Table13[Shift], "1st &amp; 2nd", Table13[Month Received], "February")</f>
        <v>0</v>
      </c>
      <c r="F44" s="27">
        <f>COUNTIFS(Table13[Resident''s Unit], "Starting Point", Table13[Shift], "1st &amp; 2nd", Table13[Month Received], "March")</f>
        <v>0</v>
      </c>
      <c r="G44" s="27">
        <f>COUNTIFS(Table13[Resident''s Unit], "Starting Point", Table13[Shift], "1st &amp; 2nd", Table13[Month Received], "April")</f>
        <v>0</v>
      </c>
      <c r="H44" s="27">
        <f>COUNTIFS(Table13[Resident''s Unit], "Starting Point", Table13[Shift], "1st &amp; 2nd", Table13[Month Received], "May")</f>
        <v>0</v>
      </c>
      <c r="I44" s="27">
        <f>COUNTIFS(Table13[Resident''s Unit], "Starting Point", Table13[Shift], "1st &amp; 2nd", Table13[Month Received], "June")</f>
        <v>0</v>
      </c>
      <c r="J44" s="27">
        <f>COUNTIFS(Table13[Resident''s Unit], "Starting Point", Table13[Shift], "1st &amp; 2nd", Table13[Month Received], "July")</f>
        <v>0</v>
      </c>
      <c r="K44" s="27">
        <f>COUNTIFS(Table13[Resident''s Unit], "Starting Point", Table13[Shift], "1st &amp; 2nd", Table13[Month Received], "August")</f>
        <v>0</v>
      </c>
      <c r="L44" s="27">
        <f>COUNTIFS(Table13[Resident''s Unit], "Starting Point", Table13[Shift], "1st &amp; 2nd", Table13[Month Received], "September")</f>
        <v>0</v>
      </c>
      <c r="M44" s="27">
        <f>COUNTIFS(Table13[Resident''s Unit], "Starting Point", Table13[Shift], "1st &amp; 2nd", Table13[Month Received], "October")</f>
        <v>0</v>
      </c>
      <c r="N44" s="27">
        <f>COUNTIFS(Table13[Resident''s Unit], "Starting Point", Table13[Shift], "1st &amp; 2nd", Table13[Month Received], "November")</f>
        <v>0</v>
      </c>
      <c r="O44" s="27">
        <f>COUNTIFS(Table13[Resident''s Unit], "Starting Point", Table13[Shift], "1st &amp; 2nd", Table13[Month Received], "December")</f>
        <v>0</v>
      </c>
      <c r="P44" s="27">
        <f t="shared" ref="P44:P49" si="5">SUM(D44:O44)</f>
        <v>0</v>
      </c>
    </row>
    <row r="45" spans="1:16" x14ac:dyDescent="0.55000000000000004">
      <c r="A45" s="1" t="s">
        <v>407</v>
      </c>
      <c r="B45" s="27">
        <f>COUNTIFS(Table13[Resident''s Unit], "Starting Point", Table13[Shift], "2nd")</f>
        <v>0</v>
      </c>
      <c r="C45" s="27"/>
      <c r="D45" s="27">
        <f>COUNTIFS(Table13[Resident''s Unit], "Starting Point", Table13[Shift], "2nd", Table13[Month Received], "January")</f>
        <v>0</v>
      </c>
      <c r="E45" s="27">
        <f>COUNTIFS(Table13[Resident''s Unit], "Starting Point", Table13[Shift], "2nd", Table13[Month Received], "February")</f>
        <v>0</v>
      </c>
      <c r="F45" s="27">
        <f>COUNTIFS(Table13[Resident''s Unit], "Starting Point", Table13[Shift], "2nd", Table13[Month Received], "March")</f>
        <v>0</v>
      </c>
      <c r="G45" s="27">
        <f>COUNTIFS(Table13[Resident''s Unit], "Starting Point", Table13[Shift], "2nd", Table13[Month Received], "April")</f>
        <v>0</v>
      </c>
      <c r="H45" s="27">
        <f>COUNTIFS(Table13[Resident''s Unit], "Starting Point", Table13[Shift], "2nd", Table13[Month Received], "May")</f>
        <v>0</v>
      </c>
      <c r="I45" s="27">
        <f>COUNTIFS(Table13[Resident''s Unit], "Starting Point", Table13[Shift], "2nd", Table13[Month Received], "June")</f>
        <v>0</v>
      </c>
      <c r="J45" s="27">
        <f>COUNTIFS(Table13[Resident''s Unit], "Starting Point", Table13[Shift], "2nd", Table13[Month Received], "July")</f>
        <v>0</v>
      </c>
      <c r="K45" s="27">
        <f>COUNTIFS(Table13[Resident''s Unit], "Starting Point", Table13[Shift], "2nd", Table13[Month Received], "August")</f>
        <v>0</v>
      </c>
      <c r="L45" s="27">
        <f>COUNTIFS(Table13[Resident''s Unit], "Starting Point", Table13[Shift], "2nd", Table13[Month Received], "September")</f>
        <v>0</v>
      </c>
      <c r="M45" s="27">
        <f>COUNTIFS(Table13[Resident''s Unit], "Starting Point", Table13[Shift], "2nd", Table13[Month Received], "October")</f>
        <v>0</v>
      </c>
      <c r="N45" s="27">
        <f>COUNTIFS(Table13[Resident''s Unit], "Starting Point", Table13[Shift], "2nd", Table13[Month Received], "November")</f>
        <v>0</v>
      </c>
      <c r="O45" s="27">
        <f>COUNTIFS(Table13[Resident''s Unit], "Starting Point", Table13[Shift], "2nd", Table13[Month Received], "December")</f>
        <v>0</v>
      </c>
      <c r="P45" s="27">
        <f t="shared" si="5"/>
        <v>0</v>
      </c>
    </row>
    <row r="46" spans="1:16" x14ac:dyDescent="0.55000000000000004">
      <c r="A46" s="1" t="s">
        <v>416</v>
      </c>
      <c r="B46" s="27">
        <f>COUNTIFS(Table13[Resident''s Unit], "Starting Point", Table13[Shift], "2nd &amp; 3rd")</f>
        <v>0</v>
      </c>
      <c r="C46" s="27"/>
      <c r="D46" s="27">
        <f>COUNTIFS(Table13[Resident''s Unit], "Starting Point", Table13[Shift], "2nd &amp; 3rd", Table13[Month Received], "January")</f>
        <v>0</v>
      </c>
      <c r="E46" s="27">
        <f>COUNTIFS(Table13[Resident''s Unit], "Starting Point", Table13[Shift], "2nd &amp; 3rd", Table13[Month Received], "February")</f>
        <v>0</v>
      </c>
      <c r="F46" s="27">
        <f>COUNTIFS(Table13[Resident''s Unit], "Starting Point", Table13[Shift], "2nd &amp; 3rd", Table13[Month Received], "March")</f>
        <v>0</v>
      </c>
      <c r="G46" s="27">
        <f>COUNTIFS(Table13[Resident''s Unit], "Starting Point", Table13[Shift], "2nd &amp; 3rd", Table13[Month Received], "April")</f>
        <v>0</v>
      </c>
      <c r="H46" s="27">
        <f>COUNTIFS(Table13[Resident''s Unit], "Starting Point", Table13[Shift], "2nd &amp; 3rd", Table13[Month Received], "May")</f>
        <v>0</v>
      </c>
      <c r="I46" s="27">
        <f>COUNTIFS(Table13[Resident''s Unit], "Starting Point", Table13[Shift], "2nd &amp; 3rd", Table13[Month Received], "June")</f>
        <v>0</v>
      </c>
      <c r="J46" s="27">
        <f>COUNTIFS(Table13[Resident''s Unit], "Starting Point", Table13[Shift], "2nd &amp; 3rd", Table13[Month Received], "July")</f>
        <v>0</v>
      </c>
      <c r="K46" s="27">
        <f>COUNTIFS(Table13[Resident''s Unit], "Starting Point", Table13[Shift], "2nd &amp; 3rd", Table13[Month Received], "August")</f>
        <v>0</v>
      </c>
      <c r="L46" s="27">
        <f>COUNTIFS(Table13[Resident''s Unit], "Starting Point", Table13[Shift], "2nd &amp; 3rd", Table13[Month Received], "September")</f>
        <v>0</v>
      </c>
      <c r="M46" s="27">
        <f>COUNTIFS(Table13[Resident''s Unit], "Starting Point", Table13[Shift], "2nd &amp; 3rd", Table13[Month Received], "October")</f>
        <v>0</v>
      </c>
      <c r="N46" s="27">
        <f>COUNTIFS(Table13[Resident''s Unit], "Starting Point", Table13[Shift], "2nd &amp; 3rd", Table13[Month Received], "November")</f>
        <v>0</v>
      </c>
      <c r="O46" s="27">
        <f>COUNTIFS(Table13[Resident''s Unit], "Starting Point", Table13[Shift], "2nd &amp; 3rd", Table13[Month Received], "December")</f>
        <v>0</v>
      </c>
      <c r="P46" s="27">
        <f t="shared" si="5"/>
        <v>0</v>
      </c>
    </row>
    <row r="47" spans="1:16" x14ac:dyDescent="0.55000000000000004">
      <c r="A47" s="1" t="s">
        <v>408</v>
      </c>
      <c r="B47" s="27">
        <f>COUNTIFS(Table13[Resident''s Unit], "Starting Point", Table13[Shift], "3rd")</f>
        <v>0</v>
      </c>
      <c r="C47" s="27"/>
      <c r="D47" s="27">
        <f>COUNTIFS(Table13[Resident''s Unit], "Starting Point", Table13[Shift], "3rd", Table13[Month Received], "January")</f>
        <v>0</v>
      </c>
      <c r="E47" s="27">
        <f>COUNTIFS(Table13[Resident''s Unit], "Starting Point", Table13[Shift], "3rd", Table13[Month Received], "February")</f>
        <v>0</v>
      </c>
      <c r="F47" s="27">
        <f>COUNTIFS(Table13[Resident''s Unit], "Starting Point", Table13[Shift], "3rd", Table13[Month Received], "March")</f>
        <v>0</v>
      </c>
      <c r="G47" s="27">
        <f>COUNTIFS(Table13[Resident''s Unit], "Starting Point", Table13[Shift], "3rd", Table13[Month Received], "April")</f>
        <v>0</v>
      </c>
      <c r="H47" s="27">
        <f>COUNTIFS(Table13[Resident''s Unit], "Starting Point", Table13[Shift], "3rd", Table13[Month Received], "May")</f>
        <v>0</v>
      </c>
      <c r="I47" s="27">
        <f>COUNTIFS(Table13[Resident''s Unit], "Starting Point", Table13[Shift], "3rd", Table13[Month Received], "June")</f>
        <v>0</v>
      </c>
      <c r="J47" s="27">
        <f>COUNTIFS(Table13[Resident''s Unit], "Starting Point", Table13[Shift], "3rd", Table13[Month Received], "July")</f>
        <v>0</v>
      </c>
      <c r="K47" s="27">
        <f>COUNTIFS(Table13[Resident''s Unit], "Starting Point", Table13[Shift], "3rd", Table13[Month Received], "August")</f>
        <v>0</v>
      </c>
      <c r="L47" s="27">
        <f>COUNTIFS(Table13[Resident''s Unit], "Starting Point", Table13[Shift], "3rd", Table13[Month Received], "September")</f>
        <v>0</v>
      </c>
      <c r="M47" s="27">
        <f>COUNTIFS(Table13[Resident''s Unit], "Starting Point", Table13[Shift], "3rd", Table13[Month Received], "October")</f>
        <v>0</v>
      </c>
      <c r="N47" s="27">
        <f>COUNTIFS(Table13[Resident''s Unit], "Starting Point", Table13[Shift], "3rd", Table13[Month Received], "November")</f>
        <v>0</v>
      </c>
      <c r="O47" s="27">
        <f>COUNTIFS(Table13[Resident''s Unit], "Starting Point", Table13[Shift], "3rd", Table13[Month Received], "December")</f>
        <v>0</v>
      </c>
      <c r="P47" s="27">
        <f t="shared" si="5"/>
        <v>0</v>
      </c>
    </row>
    <row r="48" spans="1:16" x14ac:dyDescent="0.55000000000000004">
      <c r="A48" s="1" t="s">
        <v>418</v>
      </c>
      <c r="B48" s="27">
        <f>COUNTIFS(Table13[Resident''s Unit], "Starting Point", Table13[Shift], "3rd &amp; 1st")</f>
        <v>0</v>
      </c>
      <c r="C48" s="27"/>
      <c r="D48" s="27">
        <f>COUNTIFS(Table13[Resident''s Unit], "Starting Point", Table13[Shift], "3rd &amp; 1st", Table13[Month Received], "January")</f>
        <v>0</v>
      </c>
      <c r="E48" s="27">
        <f>COUNTIFS(Table13[Resident''s Unit], "Starting Point", Table13[Shift], "3rd &amp; 1st", Table13[Month Received], "February")</f>
        <v>0</v>
      </c>
      <c r="F48" s="27">
        <f>COUNTIFS(Table13[Resident''s Unit], "Starting Point", Table13[Shift], "3rd &amp; 1st", Table13[Month Received], "March")</f>
        <v>0</v>
      </c>
      <c r="G48" s="27">
        <f>COUNTIFS(Table13[Resident''s Unit], "Starting Point", Table13[Shift], "3rd &amp; 1st", Table13[Month Received], "April")</f>
        <v>0</v>
      </c>
      <c r="H48" s="27">
        <f>COUNTIFS(Table13[Resident''s Unit], "Starting Point", Table13[Shift], "3rd &amp; 1st", Table13[Month Received], "May")</f>
        <v>0</v>
      </c>
      <c r="I48" s="27">
        <f>COUNTIFS(Table13[Resident''s Unit], "Starting Point", Table13[Shift], "3rd &amp; 1st", Table13[Month Received], "June")</f>
        <v>0</v>
      </c>
      <c r="J48" s="27">
        <f>COUNTIFS(Table13[Resident''s Unit], "Starting Point", Table13[Shift], "3rd &amp; 1st", Table13[Month Received], "July")</f>
        <v>0</v>
      </c>
      <c r="K48" s="27">
        <f>COUNTIFS(Table13[Resident''s Unit], "Starting Point", Table13[Shift], "3rd &amp; 1st", Table13[Month Received], "August")</f>
        <v>0</v>
      </c>
      <c r="L48" s="27">
        <f>COUNTIFS(Table13[Resident''s Unit], "Starting Point", Table13[Shift], "3rd &amp; 1st", Table13[Month Received], "September")</f>
        <v>0</v>
      </c>
      <c r="M48" s="27">
        <f>COUNTIFS(Table13[Resident''s Unit], "Starting Point", Table13[Shift], "3rd &amp; 1st", Table13[Month Received], "October")</f>
        <v>0</v>
      </c>
      <c r="N48" s="27">
        <f>COUNTIFS(Table13[Resident''s Unit], "Starting Point", Table13[Shift], "3rd &amp; 1st", Table13[Month Received], "November")</f>
        <v>0</v>
      </c>
      <c r="O48" s="27">
        <f>COUNTIFS(Table13[Resident''s Unit], "Starting Point", Table13[Shift], "3rd &amp; 1st", Table13[Month Received], "December")</f>
        <v>0</v>
      </c>
      <c r="P48" s="27">
        <f t="shared" si="5"/>
        <v>0</v>
      </c>
    </row>
    <row r="49" spans="1:16" x14ac:dyDescent="0.55000000000000004">
      <c r="A49" s="1" t="s">
        <v>412</v>
      </c>
      <c r="B49" s="27">
        <f>COUNTIFS(Table13[Resident''s Unit], "Starting Point", Table13[Shift], "All")</f>
        <v>0</v>
      </c>
      <c r="C49" s="27"/>
      <c r="D49" s="27">
        <f>COUNTIFS(Table13[Resident''s Unit], "Starting Point", Table13[Shift], "All", Table13[Month Received], "January")</f>
        <v>0</v>
      </c>
      <c r="E49" s="27">
        <f>COUNTIFS(Table13[Resident''s Unit], "Starting Point", Table13[Shift], "All", Table13[Month Received], "February")</f>
        <v>0</v>
      </c>
      <c r="F49" s="27">
        <f>COUNTIFS(Table13[Resident''s Unit], "Starting Point", Table13[Shift], "All", Table13[Month Received], "March")</f>
        <v>0</v>
      </c>
      <c r="G49" s="27">
        <f>COUNTIFS(Table13[Resident''s Unit], "Starting Point", Table13[Shift], "All", Table13[Month Received], "April")</f>
        <v>0</v>
      </c>
      <c r="H49" s="27">
        <f>COUNTIFS(Table13[Resident''s Unit], "Starting Point", Table13[Shift], "All", Table13[Month Received], "May")</f>
        <v>0</v>
      </c>
      <c r="I49" s="27">
        <f>COUNTIFS(Table13[Resident''s Unit], "Starting Point", Table13[Shift], "All", Table13[Month Received], "June")</f>
        <v>0</v>
      </c>
      <c r="J49" s="27">
        <f>COUNTIFS(Table13[Resident''s Unit], "Starting Point", Table13[Shift], "All", Table13[Month Received], "July")</f>
        <v>0</v>
      </c>
      <c r="K49" s="27">
        <f>COUNTIFS(Table13[Resident''s Unit], "Starting Point", Table13[Shift], "All", Table13[Month Received], "August")</f>
        <v>0</v>
      </c>
      <c r="L49" s="27">
        <f>COUNTIFS(Table13[Resident''s Unit], "Starting Point", Table13[Shift], "All", Table13[Month Received], "September")</f>
        <v>0</v>
      </c>
      <c r="M49" s="27">
        <f>COUNTIFS(Table13[Resident''s Unit], "Starting Point", Table13[Shift], "All", Table13[Month Received], "October")</f>
        <v>0</v>
      </c>
      <c r="N49" s="27">
        <f>COUNTIFS(Table13[Resident''s Unit], "Starting Point", Table13[Shift], "All", Table13[Month Received], "November")</f>
        <v>0</v>
      </c>
      <c r="O49" s="27">
        <f>COUNTIFS(Table13[Resident''s Unit], "Starting Point", Table13[Shift], "All", Table13[Month Received], "December")</f>
        <v>0</v>
      </c>
      <c r="P49" s="27">
        <f t="shared" si="5"/>
        <v>0</v>
      </c>
    </row>
    <row r="50" spans="1:16" x14ac:dyDescent="0.55000000000000004">
      <c r="B50" s="27"/>
      <c r="C50" s="27"/>
      <c r="D50" s="27"/>
      <c r="E50" s="27"/>
      <c r="F50" s="27"/>
      <c r="G50" s="27"/>
      <c r="H50" s="27"/>
      <c r="I50" s="27"/>
      <c r="J50" s="27"/>
      <c r="K50" s="27"/>
      <c r="L50" s="27"/>
      <c r="M50" s="27"/>
      <c r="N50" s="27"/>
      <c r="O50" s="27"/>
    </row>
    <row r="51" spans="1:16" x14ac:dyDescent="0.55000000000000004">
      <c r="A51" s="1" t="s">
        <v>409</v>
      </c>
      <c r="B51" s="27">
        <f>COUNTIFS(Table13[Resident''s Unit], "Starting Point", Table13[Shift], "1st", Table13[1st Implicated Staff], "SP General Staff")</f>
        <v>0</v>
      </c>
      <c r="C51" s="27"/>
      <c r="D51" s="27">
        <f>COUNTIFS(Table13[Resident''s Unit], "Starting Point", Table13[Shift], "1st", Table13[1st Implicated Staff], "SP General Staff", Table13[Month Received], "January")</f>
        <v>0</v>
      </c>
      <c r="E51" s="27">
        <f>COUNTIFS(Table13[Resident''s Unit], "Starting Point", Table13[Shift], "1st", Table13[1st Implicated Staff], "SP General Staff", Table13[Month Received], "February")</f>
        <v>0</v>
      </c>
      <c r="F51" s="27">
        <f>COUNTIFS(Table13[Resident''s Unit], "Starting Point", Table13[Shift], "1st", Table13[1st Implicated Staff], "SP General Staff", Table13[Month Received], "March")</f>
        <v>0</v>
      </c>
      <c r="G51" s="27">
        <f>COUNTIFS(Table13[Resident''s Unit], "Starting Point", Table13[Shift], "1st", Table13[1st Implicated Staff], "SP General Staff", Table13[Month Received], "April")</f>
        <v>0</v>
      </c>
      <c r="H51" s="27">
        <f>COUNTIFS(Table13[Resident''s Unit], "Starting Point", Table13[Shift], "1st", Table13[1st Implicated Staff], "SP General Staff", Table13[Month Received], "May")</f>
        <v>0</v>
      </c>
      <c r="I51" s="27">
        <f>COUNTIFS(Table13[Resident''s Unit], "Starting Point", Table13[Shift], "1st", Table13[1st Implicated Staff], "SP General Staff", Table13[Month Received], "June")</f>
        <v>0</v>
      </c>
      <c r="J51" s="27">
        <f>COUNTIFS(Table13[Resident''s Unit], "Starting Point", Table13[Shift], "1st", Table13[1st Implicated Staff], "SP General Staff", Table13[Month Received], "July")</f>
        <v>0</v>
      </c>
      <c r="K51" s="27">
        <f>COUNTIFS(Table13[Resident''s Unit], "Starting Point", Table13[Shift], "1st", Table13[1st Implicated Staff], "SP General Staff", Table13[Month Received], "August")</f>
        <v>0</v>
      </c>
      <c r="L51" s="27">
        <f>COUNTIFS(Table13[Resident''s Unit], "Starting Point", Table13[Shift], "1st", Table13[1st Implicated Staff], "SP General Staff", Table13[Month Received], "September")</f>
        <v>0</v>
      </c>
      <c r="M51" s="27">
        <f>COUNTIFS(Table13[Resident''s Unit], "Starting Point", Table13[Shift], "1st", Table13[1st Implicated Staff], "SP General Staff", Table13[Month Received], "October")</f>
        <v>0</v>
      </c>
      <c r="N51" s="27">
        <f>COUNTIFS(Table13[Resident''s Unit], "Starting Point", Table13[Shift], "1st", Table13[1st Implicated Staff], "SP General Staff", Table13[Month Received], "November")</f>
        <v>0</v>
      </c>
      <c r="O51" s="27">
        <f>COUNTIFS(Table13[Resident''s Unit], "Starting Point", Table13[Shift], "1st", Table13[1st Implicated Staff], "SP General Staff", Table13[Month Received], "December")</f>
        <v>0</v>
      </c>
      <c r="P51" s="27">
        <f t="shared" ref="P51:P54" si="6">SUM(D51:O51)</f>
        <v>0</v>
      </c>
    </row>
    <row r="52" spans="1:16" x14ac:dyDescent="0.55000000000000004">
      <c r="A52" s="1" t="s">
        <v>415</v>
      </c>
      <c r="B52" s="27">
        <f>COUNTIFS(Table13[Resident''s Unit], "Starting Point", Table13[Shift], "1st &amp; 2nd", Table13[1st Implicated Staff], "SP General Staff")</f>
        <v>0</v>
      </c>
      <c r="C52" s="27"/>
      <c r="D52" s="27">
        <f>COUNTIFS(Table13[Resident''s Unit], "Starting Point", Table13[Shift], "1st &amp; 2nd", Table13[1st Implicated Staff], "SP General Staff", Table13[Month Received], "January")</f>
        <v>0</v>
      </c>
      <c r="E52" s="27">
        <f>COUNTIFS(Table13[Resident''s Unit], "Starting Point", Table13[Shift], "1st &amp; 2nd", Table13[1st Implicated Staff], "SP General Staff", Table13[Month Received], "February")</f>
        <v>0</v>
      </c>
      <c r="F52" s="27">
        <f>COUNTIFS(Table13[Resident''s Unit], "Starting Point", Table13[Shift], "1st &amp; 2nd", Table13[1st Implicated Staff], "SP General Staff", Table13[Month Received], "March")</f>
        <v>0</v>
      </c>
      <c r="G52" s="27">
        <f>COUNTIFS(Table13[Resident''s Unit], "Starting Point", Table13[Shift], "1st &amp; 2nd", Table13[1st Implicated Staff], "SP General Staff", Table13[Month Received], "April")</f>
        <v>0</v>
      </c>
      <c r="H52" s="27">
        <f>COUNTIFS(Table13[Resident''s Unit], "Starting Point", Table13[Shift], "1st &amp; 2nd", Table13[1st Implicated Staff], "SP General Staff", Table13[Month Received], "May")</f>
        <v>0</v>
      </c>
      <c r="I52" s="27">
        <f>COUNTIFS(Table13[Resident''s Unit], "Starting Point", Table13[Shift], "1st  &amp; 2nd", Table13[1st Implicated Staff], "SP General Staff", Table13[Month Received], "June")</f>
        <v>0</v>
      </c>
      <c r="J52" s="27">
        <f>COUNTIFS(Table13[Resident''s Unit], "Starting Point", Table13[Shift], "1st &amp; 2nd", Table13[1st Implicated Staff], "SP General Staff", Table13[Month Received], "July")</f>
        <v>0</v>
      </c>
      <c r="K52" s="27">
        <f>COUNTIFS(Table13[Resident''s Unit], "Starting Point", Table13[Shift], "1st &amp; 2nd", Table13[1st Implicated Staff], "SP General Staff", Table13[Month Received], "August")</f>
        <v>0</v>
      </c>
      <c r="L52" s="27">
        <f>COUNTIFS(Table13[Resident''s Unit], "Starting Point", Table13[Shift], "1st &amp; 2nd", Table13[1st Implicated Staff], "SP General Staff", Table13[Month Received], "September")</f>
        <v>0</v>
      </c>
      <c r="M52" s="27">
        <f>COUNTIFS(Table13[Resident''s Unit], "Starting Point", Table13[Shift], "1st &amp; 2nd", Table13[1st Implicated Staff], "SP General Staff", Table13[Month Received], "October")</f>
        <v>0</v>
      </c>
      <c r="N52" s="27">
        <f>COUNTIFS(Table13[Resident''s Unit], "Starting Point", Table13[Shift], "1st &amp; 2nd", Table13[1st Implicated Staff], "SP General Staff", Table13[Month Received], "November")</f>
        <v>0</v>
      </c>
      <c r="O52" s="27">
        <f>COUNTIFS(Table13[Resident''s Unit], "Starting Point", Table13[Shift], "1st &amp; 2nd", Table13[1st Implicated Staff], "SP General Staff", Table13[Month Received], "December")</f>
        <v>0</v>
      </c>
      <c r="P52" s="27">
        <f t="shared" si="6"/>
        <v>0</v>
      </c>
    </row>
    <row r="53" spans="1:16" x14ac:dyDescent="0.55000000000000004">
      <c r="A53" s="1" t="s">
        <v>410</v>
      </c>
      <c r="B53" s="27">
        <f>COUNTIFS(Table13[Resident''s Unit], "Starting Point", Table13[Shift], "2nd", Table13[1st Implicated Staff], "SP General Staff")</f>
        <v>0</v>
      </c>
      <c r="C53" s="27"/>
      <c r="D53" s="27">
        <f>COUNTIFS(Table13[Resident''s Unit], "Starting Point", Table13[Shift], "2nd", Table13[1st Implicated Staff], "SP General Staff", Table13[Month Received], "January")</f>
        <v>0</v>
      </c>
      <c r="E53" s="27">
        <f>COUNTIFS(Table13[Resident''s Unit], "Starting Point", Table13[Shift], "2nd", Table13[1st Implicated Staff], "SP General Staff", Table13[Month Received], "February")</f>
        <v>0</v>
      </c>
      <c r="F53" s="27">
        <f>COUNTIFS(Table13[Resident''s Unit], "Starting Point", Table13[Shift], "2nd", Table13[1st Implicated Staff], "SP General Staff", Table13[Month Received], "March")</f>
        <v>0</v>
      </c>
      <c r="G53" s="27">
        <f>COUNTIFS(Table13[Resident''s Unit], "Starting Point", Table13[Shift], "2nd", Table13[1st Implicated Staff], "SP General Staff", Table13[Month Received], "April")</f>
        <v>0</v>
      </c>
      <c r="H53" s="27">
        <f>COUNTIFS(Table13[Resident''s Unit], "Starting Point", Table13[Shift], "2nd", Table13[1st Implicated Staff], "SP General Staff", Table13[Month Received], "May")</f>
        <v>0</v>
      </c>
      <c r="I53" s="27">
        <f>COUNTIFS(Table13[Resident''s Unit], "Starting Point", Table13[Shift], "2nd", Table13[1st Implicated Staff], "SP General Staff", Table13[Month Received], "June")</f>
        <v>0</v>
      </c>
      <c r="J53" s="27">
        <f>COUNTIFS(Table13[Resident''s Unit], "Starting Point", Table13[Shift], "2nd", Table13[1st Implicated Staff], "SP General Staff", Table13[Month Received], "July")</f>
        <v>0</v>
      </c>
      <c r="K53" s="27">
        <f>COUNTIFS(Table13[Resident''s Unit], "Starting Point", Table13[Shift], "2nd", Table13[1st Implicated Staff], "SP General Staff", Table13[Month Received], "August")</f>
        <v>0</v>
      </c>
      <c r="L53" s="27">
        <f>COUNTIFS(Table13[Resident''s Unit], "Starting Point", Table13[Shift], "2nd", Table13[1st Implicated Staff], "SP General Staff", Table13[Month Received], "September")</f>
        <v>0</v>
      </c>
      <c r="M53" s="27">
        <f>COUNTIFS(Table13[Resident''s Unit], "Starting Point", Table13[Shift], "2nd", Table13[1st Implicated Staff], "SP General Staff", Table13[Month Received], "October")</f>
        <v>0</v>
      </c>
      <c r="N53" s="27">
        <f>COUNTIFS(Table13[Resident''s Unit], "Starting Point", Table13[Shift], "2nd", Table13[1st Implicated Staff], "SP General Staff", Table13[Month Received], "November")</f>
        <v>0</v>
      </c>
      <c r="O53" s="27">
        <f>COUNTIFS(Table13[Resident''s Unit], "Starting Point", Table13[Shift], "2nd", Table13[1st Implicated Staff], "SP General Staff", Table13[Month Received], "December")</f>
        <v>0</v>
      </c>
      <c r="P53" s="27">
        <f t="shared" si="6"/>
        <v>0</v>
      </c>
    </row>
    <row r="54" spans="1:16" x14ac:dyDescent="0.55000000000000004">
      <c r="A54" s="1" t="s">
        <v>416</v>
      </c>
      <c r="B54" s="27">
        <f>COUNTIFS(Table13[Resident''s Unit], "Starting Point", Table13[Shift], "2nd &amp; 3rd", Table13[1st Implicated Staff], "SP General Staff")</f>
        <v>0</v>
      </c>
      <c r="C54" s="27"/>
      <c r="D54" s="27">
        <f>COUNTIFS(Table13[Resident''s Unit], "Starting Point", Table13[Shift], "2nd &amp; 3rd", Table13[1st Implicated Staff], "SP General Staff", Table13[Month Received], "January")</f>
        <v>0</v>
      </c>
      <c r="E54" s="27">
        <f>COUNTIFS(Table13[Resident''s Unit], "Starting Point", Table13[Shift], "2nd &amp; 3rd", Table13[1st Implicated Staff], "SP General Staff", Table13[Month Received], "February")</f>
        <v>0</v>
      </c>
      <c r="F54" s="27">
        <f>COUNTIFS(Table13[Resident''s Unit], "Starting Point", Table13[Shift], "2nd &amp; 3rd", Table13[1st Implicated Staff], "SP General Staff", Table13[Month Received], "March")</f>
        <v>0</v>
      </c>
      <c r="G54" s="27">
        <f>COUNTIFS(Table13[Resident''s Unit], "Starting Point", Table13[Shift], "2nd &amp; 3rd", Table13[1st Implicated Staff], "SP General Staff", Table13[Month Received], "April")</f>
        <v>0</v>
      </c>
      <c r="H54" s="27">
        <f>COUNTIFS(Table13[Resident''s Unit], "Starting Point", Table13[Shift], "2nd &amp; 3rd", Table13[1st Implicated Staff], "SP General Staff", Table13[Month Received], "May")</f>
        <v>0</v>
      </c>
      <c r="I54" s="27">
        <f>COUNTIFS(Table13[Resident''s Unit], "Starting Point", Table13[Shift], "2nd &amp; 3rd", Table13[1st Implicated Staff], "SP General Staff", Table13[Month Received], "June")</f>
        <v>0</v>
      </c>
      <c r="J54" s="27">
        <f>COUNTIFS(Table13[Resident''s Unit], "Starting Point", Table13[Shift], "2nd &amp; 3rd", Table13[1st Implicated Staff], "SP General Staff", Table13[Month Received], "July")</f>
        <v>0</v>
      </c>
      <c r="K54" s="27">
        <f>COUNTIFS(Table13[Resident''s Unit], "Starting Point", Table13[Shift], "2nd &amp; 3rd", Table13[1st Implicated Staff], "SP General Staff", Table13[Month Received], "August")</f>
        <v>0</v>
      </c>
      <c r="L54" s="27">
        <f>COUNTIFS(Table13[Resident''s Unit], "Starting Point", Table13[Shift], "2nd &amp; 3rd", Table13[1st Implicated Staff], "SP General Staff", Table13[Month Received], "September")</f>
        <v>0</v>
      </c>
      <c r="M54" s="27">
        <f>COUNTIFS(Table13[Resident''s Unit], "Starting Point", Table13[Shift], "2nd &amp; 3rd", Table13[1st Implicated Staff], "SP General Staff", Table13[Month Received], "October")</f>
        <v>0</v>
      </c>
      <c r="N54" s="27">
        <f>COUNTIFS(Table13[Resident''s Unit], "Starting Point", Table13[Shift], "2nd &amp; 3rd", Table13[1st Implicated Staff], "SP General Staff", Table13[Month Received], "November")</f>
        <v>0</v>
      </c>
      <c r="O54" s="27">
        <f>COUNTIFS(Table13[Resident''s Unit], "Starting Point", Table13[Shift], "2nd &amp; 3rd", Table13[1st Implicated Staff], "SP General Staff", Table13[Month Received], "December")</f>
        <v>0</v>
      </c>
      <c r="P54" s="27">
        <f t="shared" si="6"/>
        <v>0</v>
      </c>
    </row>
    <row r="55" spans="1:16" x14ac:dyDescent="0.55000000000000004">
      <c r="A55" s="1" t="s">
        <v>411</v>
      </c>
      <c r="B55" s="27">
        <f>COUNTIFS(Table13[Resident''s Unit], "Starting Point", Table13[Shift], "3rd", Table13[1st Implicated Staff], "SP General Staff")</f>
        <v>0</v>
      </c>
      <c r="C55" s="27"/>
      <c r="D55" s="27">
        <f>COUNTIFS(Table13[Resident''s Unit], "Starting Point", Table13[Shift], "3rd", Table13[1st Implicated Staff], "SP General Staff", Table13[Month Received], "January")</f>
        <v>0</v>
      </c>
      <c r="E55" s="27">
        <f>COUNTIFS(Table13[Resident''s Unit], "Starting Point", Table13[Shift], "3rd", Table13[1st Implicated Staff], "SP General Staff", Table13[Month Received], "February")</f>
        <v>0</v>
      </c>
      <c r="F55" s="27">
        <f>COUNTIFS(Table13[Resident''s Unit], "Starting Point", Table13[Shift], "3rd", Table13[1st Implicated Staff], "SP General Staff", Table13[Month Received], "March")</f>
        <v>0</v>
      </c>
      <c r="G55" s="27">
        <f>COUNTIFS(Table13[Resident''s Unit], "Starting Point", Table13[Shift], "3rd", Table13[1st Implicated Staff], "SP General Staff", Table13[Month Received], "April")</f>
        <v>0</v>
      </c>
      <c r="H55" s="27">
        <f>COUNTIFS(Table13[Resident''s Unit], "Starting Point", Table13[Shift], "3rd", Table13[1st Implicated Staff], "SP General Staff", Table13[Month Received], "May")</f>
        <v>0</v>
      </c>
      <c r="I55" s="27">
        <f>COUNTIFS(Table13[Resident''s Unit], "Starting Point", Table13[Shift], "3rd", Table13[1st Implicated Staff], "SP General Staff", Table13[Month Received], "June")</f>
        <v>0</v>
      </c>
      <c r="J55" s="27">
        <f>COUNTIFS(Table13[Resident''s Unit], "Starting Point", Table13[Shift], "3rd", Table13[1st Implicated Staff], "SP General Staff", Table13[Month Received], "July")</f>
        <v>0</v>
      </c>
      <c r="K55" s="27">
        <f>COUNTIFS(Table13[Resident''s Unit], "Starting Point", Table13[Shift], "3rd", Table13[1st Implicated Staff], "SP General Staff", Table13[Month Received], "August")</f>
        <v>0</v>
      </c>
      <c r="L55" s="27">
        <f>COUNTIFS(Table13[Resident''s Unit], "Starting Point", Table13[Shift], "3rd", Table13[1st Implicated Staff], "SP General Staff", Table13[Month Received], "September")</f>
        <v>0</v>
      </c>
      <c r="M55" s="27">
        <f>COUNTIFS(Table13[Resident''s Unit], "Starting Point", Table13[Shift], "3rd", Table13[1st Implicated Staff], "SP General Staff", Table13[Month Received], "October")</f>
        <v>0</v>
      </c>
      <c r="N55" s="27">
        <f>COUNTIFS(Table13[Resident''s Unit], "Starting Point", Table13[Shift], "3rd", Table13[1st Implicated Staff], "SP General Staff", Table13[Month Received], "November")</f>
        <v>0</v>
      </c>
      <c r="O55" s="27">
        <f>COUNTIFS(Table13[Resident''s Unit], "Starting Point", Table13[Shift], "3rd", Table13[1st Implicated Staff], "SP General Staff", Table13[Month Received], "December")</f>
        <v>0</v>
      </c>
      <c r="P55" s="27">
        <f>SUM(D55:O55)</f>
        <v>0</v>
      </c>
    </row>
    <row r="56" spans="1:16" x14ac:dyDescent="0.55000000000000004">
      <c r="A56" s="1" t="s">
        <v>417</v>
      </c>
      <c r="B56" s="27">
        <f>COUNTIFS(Table13[Resident''s Unit], "Starting Point", Table13[Shift], "3rd &amp; 1st", Table13[1st Implicated Staff], "SP General Staff")</f>
        <v>0</v>
      </c>
      <c r="C56" s="27"/>
      <c r="D56" s="27">
        <f>COUNTIFS(Table13[Resident''s Unit], "Starting Point", Table13[Shift], "3rd &amp; 1st", Table13[1st Implicated Staff], "SP General Staff", Table13[Month Received], "January")</f>
        <v>0</v>
      </c>
      <c r="E56" s="27">
        <f>COUNTIFS(Table13[Resident''s Unit], "Starting Point", Table13[Shift], "3rd &amp; 1st", Table13[1st Implicated Staff], "SP General Staff", Table13[Month Received], "February")</f>
        <v>0</v>
      </c>
      <c r="F56" s="27">
        <f>COUNTIFS(Table13[Resident''s Unit], "Starting Point", Table13[Shift], "3rd &amp; 1st", Table13[1st Implicated Staff], "SP General Staff", Table13[Month Received], "March")</f>
        <v>0</v>
      </c>
      <c r="G56" s="27">
        <f>COUNTIFS(Table13[Resident''s Unit], "Starting Point", Table13[Shift], "3rd &amp; 1st", Table13[1st Implicated Staff], "SP General Staff", Table13[Month Received], "April")</f>
        <v>0</v>
      </c>
      <c r="H56" s="27">
        <f>COUNTIFS(Table13[Resident''s Unit], "Starting Point", Table13[Shift], "3rd &amp; 1st", Table13[1st Implicated Staff], "SP General Staff", Table13[Month Received], "May")</f>
        <v>0</v>
      </c>
      <c r="I56" s="27">
        <f>COUNTIFS(Table13[Resident''s Unit], "Starting Point", Table13[Shift], "3rd &amp; 1st", Table13[1st Implicated Staff], "SP General Staff", Table13[Month Received], "June")</f>
        <v>0</v>
      </c>
      <c r="J56" s="27">
        <f>COUNTIFS(Table13[Resident''s Unit], "Starting Point", Table13[Shift], "3rd &amp; 1st", Table13[1st Implicated Staff], "SP General Staff", Table13[Month Received], "July")</f>
        <v>0</v>
      </c>
      <c r="K56" s="27">
        <f>COUNTIFS(Table13[Resident''s Unit], "Starting Point", Table13[Shift], "3rd &amp; 1st", Table13[1st Implicated Staff], "SP General Staff", Table13[Month Received], "August")</f>
        <v>0</v>
      </c>
      <c r="L56" s="27">
        <f>COUNTIFS(Table13[Resident''s Unit], "Starting Point", Table13[Shift], "3rd &amp; 1st", Table13[1st Implicated Staff], "SP General Staff", Table13[Month Received], "September")</f>
        <v>0</v>
      </c>
      <c r="M56" s="27">
        <f>COUNTIFS(Table13[Resident''s Unit], "Starting Point", Table13[Shift], "3rd &amp; 1st", Table13[1st Implicated Staff], "SP General Staff", Table13[Month Received], "October")</f>
        <v>0</v>
      </c>
      <c r="N56" s="27">
        <f>COUNTIFS(Table13[Resident''s Unit], "Starting Point", Table13[Shift], "3rd &amp; 1st", Table13[1st Implicated Staff], "SP General Staff", Table13[Month Received], "November")</f>
        <v>0</v>
      </c>
      <c r="O56" s="27">
        <f>COUNTIFS(Table13[Resident''s Unit], "Starting Point", Table13[Shift], "3rd &amp; 1st", Table13[1st Implicated Staff], "SP General Staff", Table13[Month Received], "December")</f>
        <v>0</v>
      </c>
      <c r="P56" s="27">
        <f t="shared" ref="P56:P57" si="7">SUM(D56:O56)</f>
        <v>0</v>
      </c>
    </row>
    <row r="57" spans="1:16" x14ac:dyDescent="0.55000000000000004">
      <c r="A57" s="1" t="s">
        <v>412</v>
      </c>
      <c r="B57" s="27">
        <f>COUNTIFS(Table13[Resident''s Unit], "Starting Point", Table13[Shift], "All", Table13[1st Implicated Staff], "SP General Staff")</f>
        <v>0</v>
      </c>
      <c r="C57" s="27"/>
      <c r="D57" s="27">
        <f>COUNTIFS(Table13[Resident''s Unit], "Starting Point", Table13[Shift], "All", Table13[1st Implicated Staff], "SP General Staff", Table13[Month Received], "January")</f>
        <v>0</v>
      </c>
      <c r="E57" s="27">
        <f>COUNTIFS(Table13[Resident''s Unit], "Starting Point", Table13[Shift], "All", Table13[1st Implicated Staff], "SP General Staff", Table13[Month Received], "February")</f>
        <v>0</v>
      </c>
      <c r="F57" s="27">
        <f>COUNTIFS(Table13[Resident''s Unit], "Starting Point", Table13[Shift], "All", Table13[1st Implicated Staff], "SP General Staff", Table13[Month Received], "March")</f>
        <v>0</v>
      </c>
      <c r="G57" s="27">
        <f>COUNTIFS(Table13[Resident''s Unit], "Starting Point", Table13[Shift], "All", Table13[1st Implicated Staff], "SP General Staff", Table13[Month Received], "April")</f>
        <v>0</v>
      </c>
      <c r="H57" s="27">
        <f>COUNTIFS(Table13[Resident''s Unit], "Starting Point", Table13[Shift], "All", Table13[1st Implicated Staff], "SP General Staff", Table13[Month Received], "May")</f>
        <v>0</v>
      </c>
      <c r="I57" s="27">
        <f>COUNTIFS(Table13[Resident''s Unit], "Starting Point", Table13[Shift], "All", Table13[1st Implicated Staff], "SP General Staff", Table13[Month Received], "June")</f>
        <v>0</v>
      </c>
      <c r="J57" s="27">
        <f>COUNTIFS(Table13[Resident''s Unit], "Starting Point", Table13[Shift], "All", Table13[1st Implicated Staff], "SP General Staff", Table13[Month Received], "July")</f>
        <v>0</v>
      </c>
      <c r="K57" s="27">
        <f>COUNTIFS(Table13[Resident''s Unit], "Starting Point", Table13[Shift], "All", Table13[1st Implicated Staff], "SP General Staff", Table13[Month Received], "August")</f>
        <v>0</v>
      </c>
      <c r="L57" s="27">
        <f>COUNTIFS(Table13[Resident''s Unit], "Starting Point", Table13[Shift], "All", Table13[1st Implicated Staff], "SP General Staff", Table13[Month Received], "September")</f>
        <v>0</v>
      </c>
      <c r="M57" s="27">
        <f>COUNTIFS(Table13[Resident''s Unit], "Starting Point", Table13[Shift], "All", Table13[1st Implicated Staff], "SP General Staff", Table13[Month Received], "October")</f>
        <v>0</v>
      </c>
      <c r="N57" s="27">
        <f>COUNTIFS(Table13[Resident''s Unit], "Starting Point", Table13[Shift], "All", Table13[1st Implicated Staff], "SP General Staff", Table13[Month Received], "November")</f>
        <v>0</v>
      </c>
      <c r="O57" s="27">
        <f>COUNTIFS(Table13[Resident''s Unit], "Starting Point", Table13[Shift], "All", Table13[1st Implicated Staff], "SP General Staff", Table13[Month Received], "December")</f>
        <v>0</v>
      </c>
      <c r="P57" s="27">
        <f t="shared" si="7"/>
        <v>0</v>
      </c>
    </row>
    <row r="59" spans="1:16" x14ac:dyDescent="0.55000000000000004">
      <c r="A59" s="19" t="s">
        <v>60</v>
      </c>
      <c r="B59" s="129" t="s">
        <v>205</v>
      </c>
      <c r="C59" s="27" t="s">
        <v>307</v>
      </c>
      <c r="D59" s="129" t="s">
        <v>94</v>
      </c>
      <c r="E59" s="129" t="s">
        <v>95</v>
      </c>
      <c r="F59" s="129" t="s">
        <v>96</v>
      </c>
      <c r="G59" s="129" t="s">
        <v>97</v>
      </c>
      <c r="H59" s="129" t="s">
        <v>93</v>
      </c>
      <c r="I59" s="129" t="s">
        <v>98</v>
      </c>
      <c r="J59" s="129" t="s">
        <v>99</v>
      </c>
      <c r="K59" s="129" t="s">
        <v>100</v>
      </c>
      <c r="L59" s="129" t="s">
        <v>101</v>
      </c>
      <c r="M59" s="129" t="s">
        <v>102</v>
      </c>
      <c r="N59" s="129" t="s">
        <v>103</v>
      </c>
      <c r="O59" s="129" t="s">
        <v>104</v>
      </c>
      <c r="P59" s="129" t="s">
        <v>419</v>
      </c>
    </row>
    <row r="60" spans="1:16" x14ac:dyDescent="0.55000000000000004">
      <c r="A60" s="1" t="s">
        <v>406</v>
      </c>
      <c r="B60" s="27">
        <f>COUNTIFS(Table13[Resident''s Unit], "Transformations 1", Table13[Shift], "1st")</f>
        <v>0</v>
      </c>
      <c r="C60" s="27"/>
      <c r="D60" s="27">
        <f>COUNTIFS(Table13[Resident''s Unit], "Transformations 1", Table13[Shift], "1st", Table13[Month Received], "January")</f>
        <v>0</v>
      </c>
      <c r="E60" s="27">
        <f>COUNTIFS(Table13[Resident''s Unit], "Transformations 1", Table13[Shift], "1st", Table13[Month Received], "February")</f>
        <v>0</v>
      </c>
      <c r="F60" s="27">
        <f>COUNTIFS(Table13[Resident''s Unit], "Transformations 1", Table13[Shift], "1st", Table13[Month Received], "March")</f>
        <v>0</v>
      </c>
      <c r="G60" s="27">
        <f>COUNTIFS(Table13[Resident''s Unit], "Transformations 1", Table13[Shift], "1st", Table13[Month Received], "April")</f>
        <v>0</v>
      </c>
      <c r="H60" s="27">
        <f>COUNTIFS(Table13[Resident''s Unit], "Transformations 1", Table13[Shift], "1st", Table13[Month Received], "May")</f>
        <v>0</v>
      </c>
      <c r="I60" s="27">
        <f>COUNTIFS(Table13[Resident''s Unit], "Transformations 1", Table13[Shift], "1st", Table13[Month Received], "June")</f>
        <v>0</v>
      </c>
      <c r="J60" s="27">
        <f>COUNTIFS(Table13[Resident''s Unit], "Transformations 1", Table13[Shift], "1st", Table13[Month Received], "July")</f>
        <v>0</v>
      </c>
      <c r="K60" s="27">
        <f>COUNTIFS(Table13[Resident''s Unit], "Transformations 1", Table13[Shift], "1st", Table13[Month Received], "August")</f>
        <v>0</v>
      </c>
      <c r="L60" s="27">
        <f>COUNTIFS(Table13[Resident''s Unit], "Transformations 1", Table13[Shift], "1st", Table13[Month Received], "September")</f>
        <v>0</v>
      </c>
      <c r="M60" s="27">
        <f>COUNTIFS(Table13[Resident''s Unit], "Transformations 1", Table13[Shift], "1st", Table13[Month Received], "October")</f>
        <v>0</v>
      </c>
      <c r="N60" s="27">
        <f>COUNTIFS(Table13[Resident''s Unit], "Transformations 1", Table13[Shift], "1st", Table13[Month Received], "November")</f>
        <v>0</v>
      </c>
      <c r="O60" s="27">
        <f>COUNTIFS(Table13[Resident''s Unit], "Transformations 1", Table13[Shift], "1st", Table13[Month Received], "December")</f>
        <v>0</v>
      </c>
      <c r="P60" s="27">
        <f>SUM(D60:O60)</f>
        <v>0</v>
      </c>
    </row>
    <row r="61" spans="1:16" x14ac:dyDescent="0.55000000000000004">
      <c r="A61" s="1" t="s">
        <v>415</v>
      </c>
      <c r="B61" s="27">
        <f>COUNTIFS(Table13[Resident''s Unit], "Transformations 1", Table13[Shift], "1st &amp; 2nd")</f>
        <v>0</v>
      </c>
      <c r="C61" s="27"/>
      <c r="D61" s="27">
        <f>COUNTIFS(Table13[Resident''s Unit], "Transformations 1", Table13[Shift], "1st &amp; 2nd", Table13[Month Received], "January")</f>
        <v>0</v>
      </c>
      <c r="E61" s="27">
        <f>COUNTIFS(Table13[Resident''s Unit], "Transformations 1", Table13[Shift], "1st &amp; 2nd", Table13[Month Received], "February")</f>
        <v>0</v>
      </c>
      <c r="F61" s="27">
        <f>COUNTIFS(Table13[Resident''s Unit], "Transformations 1", Table13[Shift], "1st &amp; 2nd", Table13[Month Received], "March")</f>
        <v>0</v>
      </c>
      <c r="G61" s="27">
        <f>COUNTIFS(Table13[Resident''s Unit], "Transformations 1", Table13[Shift], "1st &amp; 2nd", Table13[Month Received], "April")</f>
        <v>0</v>
      </c>
      <c r="H61" s="27">
        <f>COUNTIFS(Table13[Resident''s Unit], "Transformations 1", Table13[Shift], "1st &amp; 2nd", Table13[Month Received], "May")</f>
        <v>0</v>
      </c>
      <c r="I61" s="27">
        <f>COUNTIFS(Table13[Resident''s Unit], "Transformations 1", Table13[Shift], "1st &amp; 2nd", Table13[Month Received], "June")</f>
        <v>0</v>
      </c>
      <c r="J61" s="27">
        <f>COUNTIFS(Table13[Resident''s Unit], "Transformations 1", Table13[Shift], "1st &amp; 2nd", Table13[Month Received], "July")</f>
        <v>0</v>
      </c>
      <c r="K61" s="27">
        <f>COUNTIFS(Table13[Resident''s Unit], "Transformations 1", Table13[Shift], "1st &amp; 2nd", Table13[Month Received], "August")</f>
        <v>0</v>
      </c>
      <c r="L61" s="27">
        <f>COUNTIFS(Table13[Resident''s Unit], "Transformations 1", Table13[Shift], "1st &amp; 2nd", Table13[Month Received], "September")</f>
        <v>0</v>
      </c>
      <c r="M61" s="27">
        <f>COUNTIFS(Table13[Resident''s Unit], "Transformations 1", Table13[Shift], "1st &amp; 2nd", Table13[Month Received], "October")</f>
        <v>0</v>
      </c>
      <c r="N61" s="27">
        <f>COUNTIFS(Table13[Resident''s Unit], "Transformations 1", Table13[Shift], "1st &amp; 2nd", Table13[Month Received], "November")</f>
        <v>0</v>
      </c>
      <c r="O61" s="27">
        <f>COUNTIFS(Table13[Resident''s Unit], "Transformations 1", Table13[Shift], "1st &amp; 2nd", Table13[Month Received], "December")</f>
        <v>0</v>
      </c>
      <c r="P61" s="27">
        <f t="shared" ref="P61:P66" si="8">SUM(D61:O61)</f>
        <v>0</v>
      </c>
    </row>
    <row r="62" spans="1:16" x14ac:dyDescent="0.55000000000000004">
      <c r="A62" s="1" t="s">
        <v>407</v>
      </c>
      <c r="B62" s="27">
        <f>COUNTIFS(Table13[Resident''s Unit], "Transformations 1", Table13[Shift], "2nd")</f>
        <v>0</v>
      </c>
      <c r="C62" s="27"/>
      <c r="D62" s="27">
        <f>COUNTIFS(Table13[Resident''s Unit], "Transformations 1", Table13[Shift], "2nd", Table13[Month Received], "January")</f>
        <v>0</v>
      </c>
      <c r="E62" s="27">
        <f>COUNTIFS(Table13[Resident''s Unit], "Transformations 1", Table13[Shift], "2nd", Table13[Month Received], "February")</f>
        <v>0</v>
      </c>
      <c r="F62" s="27">
        <f>COUNTIFS(Table13[Resident''s Unit], "Transformations 1", Table13[Shift], "2nd", Table13[Month Received], "March")</f>
        <v>0</v>
      </c>
      <c r="G62" s="27">
        <f>COUNTIFS(Table13[Resident''s Unit], "Transformations 1", Table13[Shift], "2nd", Table13[Month Received], "April")</f>
        <v>0</v>
      </c>
      <c r="H62" s="27">
        <f>COUNTIFS(Table13[Resident''s Unit], "Transformations 1", Table13[Shift], "2nd", Table13[Month Received], "May")</f>
        <v>0</v>
      </c>
      <c r="I62" s="27">
        <f>COUNTIFS(Table13[Resident''s Unit], "Transformations 1", Table13[Shift], "2nd", Table13[Month Received], "June")</f>
        <v>0</v>
      </c>
      <c r="J62" s="27">
        <f>COUNTIFS(Table13[Resident''s Unit], "Transformations 1", Table13[Shift], "2nd", Table13[Month Received], "July")</f>
        <v>0</v>
      </c>
      <c r="K62" s="27">
        <f>COUNTIFS(Table13[Resident''s Unit], "Transformations 1", Table13[Shift], "2nd", Table13[Month Received], "August")</f>
        <v>0</v>
      </c>
      <c r="L62" s="27">
        <f>COUNTIFS(Table13[Resident''s Unit], "Transformations 1", Table13[Shift], "2nd", Table13[Month Received], "September")</f>
        <v>0</v>
      </c>
      <c r="M62" s="27">
        <f>COUNTIFS(Table13[Resident''s Unit], "Transformations 1", Table13[Shift], "2nd", Table13[Month Received], "October")</f>
        <v>0</v>
      </c>
      <c r="N62" s="27">
        <f>COUNTIFS(Table13[Resident''s Unit], "Transformations 1", Table13[Shift], "2nd", Table13[Month Received], "November")</f>
        <v>0</v>
      </c>
      <c r="O62" s="27">
        <f>COUNTIFS(Table13[Resident''s Unit], "Transformations 1", Table13[Shift], "2nd", Table13[Month Received], "December")</f>
        <v>0</v>
      </c>
      <c r="P62" s="27">
        <f t="shared" si="8"/>
        <v>0</v>
      </c>
    </row>
    <row r="63" spans="1:16" x14ac:dyDescent="0.55000000000000004">
      <c r="A63" s="1" t="s">
        <v>416</v>
      </c>
      <c r="B63" s="27">
        <f>COUNTIFS(Table13[Resident''s Unit], "Transformations 1", Table13[Shift], "2nd &amp; 3rd")</f>
        <v>0</v>
      </c>
      <c r="C63" s="27"/>
      <c r="D63" s="27">
        <f>COUNTIFS(Table13[Resident''s Unit], "Transformations 1", Table13[Shift], "2nd &amp; 3rd", Table13[Month Received], "January")</f>
        <v>0</v>
      </c>
      <c r="E63" s="27">
        <f>COUNTIFS(Table13[Resident''s Unit], "Transformations 1", Table13[Shift], "2nd &amp; 3rd", Table13[Month Received], "February")</f>
        <v>0</v>
      </c>
      <c r="F63" s="27">
        <f>COUNTIFS(Table13[Resident''s Unit], "Transformations 1", Table13[Shift], "2nd &amp; 3rd", Table13[Month Received], "March")</f>
        <v>0</v>
      </c>
      <c r="G63" s="27">
        <f>COUNTIFS(Table13[Resident''s Unit], "Transformations 1", Table13[Shift], "2nd &amp; 3rd", Table13[Month Received], "April")</f>
        <v>0</v>
      </c>
      <c r="H63" s="27">
        <f>COUNTIFS(Table13[Resident''s Unit], "Transformations 1", Table13[Shift], "2nd &amp; 3rd", Table13[Month Received], "May")</f>
        <v>0</v>
      </c>
      <c r="I63" s="27">
        <f>COUNTIFS(Table13[Resident''s Unit], "Transformations 1", Table13[Shift], "2nd &amp; 3rd", Table13[Month Received], "June")</f>
        <v>0</v>
      </c>
      <c r="J63" s="27">
        <f>COUNTIFS(Table13[Resident''s Unit], "Transformations 1", Table13[Shift], "2nd &amp; 3rd", Table13[Month Received], "July")</f>
        <v>0</v>
      </c>
      <c r="K63" s="27">
        <f>COUNTIFS(Table13[Resident''s Unit], "Transformations 1", Table13[Shift], "2nd &amp; 3rd", Table13[Month Received], "August")</f>
        <v>0</v>
      </c>
      <c r="L63" s="27">
        <f>COUNTIFS(Table13[Resident''s Unit], "Transformations 1", Table13[Shift], "2nd &amp; 3rd", Table13[Month Received], "September")</f>
        <v>0</v>
      </c>
      <c r="M63" s="27">
        <f>COUNTIFS(Table13[Resident''s Unit], "Transformations 1", Table13[Shift], "2nd &amp; 3rd", Table13[Month Received], "October")</f>
        <v>0</v>
      </c>
      <c r="N63" s="27">
        <f>COUNTIFS(Table13[Resident''s Unit], "Transformations 1", Table13[Shift], "2nd &amp; 3rd", Table13[Month Received], "November")</f>
        <v>0</v>
      </c>
      <c r="O63" s="27">
        <f>COUNTIFS(Table13[Resident''s Unit], "Transformations 1", Table13[Shift], "2nd &amp; 3rd", Table13[Month Received], "December")</f>
        <v>0</v>
      </c>
      <c r="P63" s="27">
        <f t="shared" si="8"/>
        <v>0</v>
      </c>
    </row>
    <row r="64" spans="1:16" x14ac:dyDescent="0.55000000000000004">
      <c r="A64" s="1" t="s">
        <v>408</v>
      </c>
      <c r="B64" s="27">
        <f>COUNTIFS(Table13[Resident''s Unit], "Transformations 1", Table13[Shift], "3rd")</f>
        <v>0</v>
      </c>
      <c r="C64" s="27"/>
      <c r="D64" s="27">
        <f>COUNTIFS(Table13[Resident''s Unit], "Transformations 1", Table13[Shift], "3rd", Table13[Month Received], "January")</f>
        <v>0</v>
      </c>
      <c r="E64" s="27">
        <f>COUNTIFS(Table13[Resident''s Unit], "Transformations 1", Table13[Shift], "3rd", Table13[Month Received], "February")</f>
        <v>0</v>
      </c>
      <c r="F64" s="27">
        <f>COUNTIFS(Table13[Resident''s Unit], "Transformations 1", Table13[Shift], "3rd", Table13[Month Received], "March")</f>
        <v>0</v>
      </c>
      <c r="G64" s="27">
        <f>COUNTIFS(Table13[Resident''s Unit], "Transformations 1", Table13[Shift], "3rd", Table13[Month Received], "April")</f>
        <v>0</v>
      </c>
      <c r="H64" s="27">
        <f>COUNTIFS(Table13[Resident''s Unit], "Transformations 1", Table13[Shift], "3rd", Table13[Month Received], "May")</f>
        <v>0</v>
      </c>
      <c r="I64" s="27">
        <f>COUNTIFS(Table13[Resident''s Unit], "Transformations 1", Table13[Shift], "3rd", Table13[Month Received], "June")</f>
        <v>0</v>
      </c>
      <c r="J64" s="27">
        <f>COUNTIFS(Table13[Resident''s Unit], "Transformations 1", Table13[Shift], "3rd", Table13[Month Received], "July")</f>
        <v>0</v>
      </c>
      <c r="K64" s="27">
        <f>COUNTIFS(Table13[Resident''s Unit], "Transformations 1", Table13[Shift], "3rd", Table13[Month Received], "August")</f>
        <v>0</v>
      </c>
      <c r="L64" s="27">
        <f>COUNTIFS(Table13[Resident''s Unit], "Transformations 1", Table13[Shift], "3rd", Table13[Month Received], "September")</f>
        <v>0</v>
      </c>
      <c r="M64" s="27">
        <f>COUNTIFS(Table13[Resident''s Unit], "Transformations 1", Table13[Shift], "3rd", Table13[Month Received], "October")</f>
        <v>0</v>
      </c>
      <c r="N64" s="27">
        <f>COUNTIFS(Table13[Resident''s Unit], "Transformations 1", Table13[Shift], "3rd", Table13[Month Received], "November")</f>
        <v>0</v>
      </c>
      <c r="O64" s="27">
        <f>COUNTIFS(Table13[Resident''s Unit], "Transformations 1", Table13[Shift], "3rd", Table13[Month Received], "December")</f>
        <v>0</v>
      </c>
      <c r="P64" s="27">
        <f t="shared" si="8"/>
        <v>0</v>
      </c>
    </row>
    <row r="65" spans="1:16" x14ac:dyDescent="0.55000000000000004">
      <c r="A65" s="1" t="s">
        <v>418</v>
      </c>
      <c r="B65" s="27">
        <f>COUNTIFS(Table13[Resident''s Unit], "Transformations 1", Table13[Shift], "3rd &amp; 1st")</f>
        <v>0</v>
      </c>
      <c r="C65" s="27"/>
      <c r="D65" s="27">
        <f>COUNTIFS(Table13[Resident''s Unit], "Transformations 1", Table13[Shift], "3rd &amp; 1st", Table13[Month Received], "January")</f>
        <v>0</v>
      </c>
      <c r="E65" s="27">
        <f>COUNTIFS(Table13[Resident''s Unit], "Transformations 1", Table13[Shift], "3rd &amp; 1st", Table13[Month Received], "February")</f>
        <v>0</v>
      </c>
      <c r="F65" s="27">
        <f>COUNTIFS(Table13[Resident''s Unit], "Transformations 1", Table13[Shift], "3rd &amp; 1st", Table13[Month Received], "March")</f>
        <v>0</v>
      </c>
      <c r="G65" s="27">
        <f>COUNTIFS(Table13[Resident''s Unit], "Transformations 1", Table13[Shift], "3rd &amp; 1st", Table13[Month Received], "April")</f>
        <v>0</v>
      </c>
      <c r="H65" s="27">
        <f>COUNTIFS(Table13[Resident''s Unit], "Transformations 1", Table13[Shift], "3rd &amp; 1st", Table13[Month Received], "May")</f>
        <v>0</v>
      </c>
      <c r="I65" s="27">
        <f>COUNTIFS(Table13[Resident''s Unit], "Transformations 1", Table13[Shift], "3rd &amp; 1st", Table13[Month Received], "June")</f>
        <v>0</v>
      </c>
      <c r="J65" s="27">
        <f>COUNTIFS(Table13[Resident''s Unit], "Transformations 1", Table13[Shift], "3rd &amp; 1st", Table13[Month Received], "July")</f>
        <v>0</v>
      </c>
      <c r="K65" s="27">
        <f>COUNTIFS(Table13[Resident''s Unit], "Transformations 1", Table13[Shift], "3rd &amp; 1st", Table13[Month Received], "August")</f>
        <v>0</v>
      </c>
      <c r="L65" s="27">
        <f>COUNTIFS(Table13[Resident''s Unit], "Transformations 1", Table13[Shift], "3rd &amp; 1st", Table13[Month Received], "September")</f>
        <v>0</v>
      </c>
      <c r="M65" s="27">
        <f>COUNTIFS(Table13[Resident''s Unit], "Transformations 1", Table13[Shift], "3rd &amp; 1st", Table13[Month Received], "October")</f>
        <v>0</v>
      </c>
      <c r="N65" s="27">
        <f>COUNTIFS(Table13[Resident''s Unit], "Transformations 1", Table13[Shift], "3rd &amp; 1st", Table13[Month Received], "November")</f>
        <v>0</v>
      </c>
      <c r="O65" s="27">
        <f>COUNTIFS(Table13[Resident''s Unit], "Transformations 1", Table13[Shift], "3rd &amp; 1st", Table13[Month Received], "December")</f>
        <v>0</v>
      </c>
      <c r="P65" s="27">
        <f t="shared" si="8"/>
        <v>0</v>
      </c>
    </row>
    <row r="66" spans="1:16" x14ac:dyDescent="0.55000000000000004">
      <c r="A66" s="1" t="s">
        <v>412</v>
      </c>
      <c r="B66" s="27">
        <f>COUNTIFS(Table13[Resident''s Unit], "Transformations 1", Table13[Shift], "All")</f>
        <v>0</v>
      </c>
      <c r="C66" s="27"/>
      <c r="D66" s="27">
        <f>COUNTIFS(Table13[Resident''s Unit], "Transformations 1", Table13[Shift], "All", Table13[Month Received], "January")</f>
        <v>0</v>
      </c>
      <c r="E66" s="27">
        <f>COUNTIFS(Table13[Resident''s Unit], "Transformations 1", Table13[Shift], "All", Table13[Month Received], "February")</f>
        <v>0</v>
      </c>
      <c r="F66" s="27">
        <f>COUNTIFS(Table13[Resident''s Unit], "Transformations 1", Table13[Shift], "All", Table13[Month Received], "March")</f>
        <v>0</v>
      </c>
      <c r="G66" s="27">
        <f>COUNTIFS(Table13[Resident''s Unit], "Transformations 1", Table13[Shift], "All", Table13[Month Received], "April")</f>
        <v>0</v>
      </c>
      <c r="H66" s="27">
        <f>COUNTIFS(Table13[Resident''s Unit], "Transformations 1", Table13[Shift], "All", Table13[Month Received], "May")</f>
        <v>0</v>
      </c>
      <c r="I66" s="27">
        <f>COUNTIFS(Table13[Resident''s Unit], "Transformations 1", Table13[Shift], "All", Table13[Month Received], "June")</f>
        <v>0</v>
      </c>
      <c r="J66" s="27">
        <f>COUNTIFS(Table13[Resident''s Unit], "Transformations 1", Table13[Shift], "All", Table13[Month Received], "July")</f>
        <v>0</v>
      </c>
      <c r="K66" s="27">
        <f>COUNTIFS(Table13[Resident''s Unit], "Transformations 1", Table13[Shift], "All", Table13[Month Received], "August")</f>
        <v>0</v>
      </c>
      <c r="L66" s="27">
        <f>COUNTIFS(Table13[Resident''s Unit], "Transformations 1", Table13[Shift], "All", Table13[Month Received], "September")</f>
        <v>0</v>
      </c>
      <c r="M66" s="27">
        <f>COUNTIFS(Table13[Resident''s Unit], "Transformations 1", Table13[Shift], "All", Table13[Month Received], "October")</f>
        <v>0</v>
      </c>
      <c r="N66" s="27">
        <f>COUNTIFS(Table13[Resident''s Unit], "Transformations 1", Table13[Shift], "All", Table13[Month Received], "November")</f>
        <v>0</v>
      </c>
      <c r="O66" s="27">
        <f>COUNTIFS(Table13[Resident''s Unit], "Transformations 1", Table13[Shift], "All", Table13[Month Received], "December")</f>
        <v>0</v>
      </c>
      <c r="P66" s="27">
        <f t="shared" si="8"/>
        <v>0</v>
      </c>
    </row>
    <row r="67" spans="1:16" x14ac:dyDescent="0.55000000000000004">
      <c r="B67" s="27"/>
      <c r="C67" s="27"/>
      <c r="D67" s="27"/>
      <c r="E67" s="27"/>
      <c r="F67" s="27"/>
      <c r="G67" s="27"/>
      <c r="H67" s="27"/>
      <c r="I67" s="27"/>
      <c r="J67" s="27"/>
      <c r="K67" s="27"/>
      <c r="L67" s="27"/>
      <c r="M67" s="27"/>
      <c r="N67" s="27"/>
      <c r="O67" s="27"/>
    </row>
    <row r="68" spans="1:16" x14ac:dyDescent="0.55000000000000004">
      <c r="A68" s="1" t="s">
        <v>409</v>
      </c>
      <c r="B68" s="27">
        <f>COUNTIFS(Table13[Resident''s Unit], "Transformations 1", Table13[Shift], "1st", Table13[1st Implicated Staff], "Tr 1 General Staff")</f>
        <v>0</v>
      </c>
      <c r="C68" s="27"/>
      <c r="D68" s="27">
        <f>COUNTIFS(Table13[Resident''s Unit], "Transformations 1", Table13[Shift], "1st", Table13[1st Implicated Staff], "Tr 1 General Staff", Table13[Month Received], "January")</f>
        <v>0</v>
      </c>
      <c r="E68" s="27">
        <f>COUNTIFS(Table13[Resident''s Unit], "Transformations 1", Table13[Shift], "1st", Table13[1st Implicated Staff], "Tr 1 General Staff", Table13[Month Received], "February")</f>
        <v>0</v>
      </c>
      <c r="F68" s="27">
        <f>COUNTIFS(Table13[Resident''s Unit], "Transformations 1", Table13[Shift], "1st", Table13[1st Implicated Staff], "Tr 1 General Staff", Table13[Month Received], "March")</f>
        <v>0</v>
      </c>
      <c r="G68" s="27">
        <f>COUNTIFS(Table13[Resident''s Unit], "Transformations 1", Table13[Shift], "1st", Table13[1st Implicated Staff], "Tr 1 General Staff", Table13[Month Received], "April")</f>
        <v>0</v>
      </c>
      <c r="H68" s="27">
        <f>COUNTIFS(Table13[Resident''s Unit], "Transformations 1", Table13[Shift], "1st", Table13[1st Implicated Staff], "Tr 1 General Staff", Table13[Month Received], "May")</f>
        <v>0</v>
      </c>
      <c r="I68" s="27">
        <f>COUNTIFS(Table13[Resident''s Unit], "Transformations 1", Table13[Shift], "1st", Table13[1st Implicated Staff], "Tr 1 General Staff", Table13[Month Received], "June")</f>
        <v>0</v>
      </c>
      <c r="J68" s="27">
        <f>COUNTIFS(Table13[Resident''s Unit], "Transformations 1", Table13[Shift], "1st", Table13[1st Implicated Staff], "Tr 1 General Staff", Table13[Month Received], "July")</f>
        <v>0</v>
      </c>
      <c r="K68" s="27">
        <f>COUNTIFS(Table13[Resident''s Unit], "Transformations 1", Table13[Shift], "1st", Table13[1st Implicated Staff], "Tr 1 General Staff", Table13[Month Received], "August")</f>
        <v>0</v>
      </c>
      <c r="L68" s="27">
        <f>COUNTIFS(Table13[Resident''s Unit], "Transformations 1", Table13[Shift], "1st", Table13[1st Implicated Staff], "Tr 1 General Staff", Table13[Month Received], "September")</f>
        <v>0</v>
      </c>
      <c r="M68" s="27">
        <f>COUNTIFS(Table13[Resident''s Unit], "Transformations 1", Table13[Shift], "1st", Table13[1st Implicated Staff], "Tr 1 General Staff", Table13[Month Received], "October")</f>
        <v>0</v>
      </c>
      <c r="N68" s="27">
        <f>COUNTIFS(Table13[Resident''s Unit], "Transformations 1", Table13[Shift], "1st", Table13[1st Implicated Staff], "Tr 1 General Staff", Table13[Month Received], "November")</f>
        <v>0</v>
      </c>
      <c r="O68" s="27">
        <f>COUNTIFS(Table13[Resident''s Unit], "Transformations 1", Table13[Shift], "1st", Table13[1st Implicated Staff], "Tr 1 General Staff", Table13[Month Received], "December")</f>
        <v>0</v>
      </c>
      <c r="P68" s="27">
        <f t="shared" ref="P68:P71" si="9">SUM(D68:O68)</f>
        <v>0</v>
      </c>
    </row>
    <row r="69" spans="1:16" x14ac:dyDescent="0.55000000000000004">
      <c r="A69" s="1" t="s">
        <v>415</v>
      </c>
      <c r="B69" s="27">
        <f>COUNTIFS(Table13[Resident''s Unit], "Transformations 1", Table13[Shift], "1st &amp; 2nd", Table13[1st Implicated Staff], "Tr 1 General Staff")</f>
        <v>0</v>
      </c>
      <c r="C69" s="27"/>
      <c r="D69" s="27">
        <f>COUNTIFS(Table13[Resident''s Unit], "Transformations 1", Table13[Shift], "1st &amp; 2nd", Table13[1st Implicated Staff], "Tr 1 General Staff", Table13[Month Received], "January")</f>
        <v>0</v>
      </c>
      <c r="E69" s="27">
        <f>COUNTIFS(Table13[Resident''s Unit], "Transformations 1", Table13[Shift], "1st &amp; 2nd", Table13[1st Implicated Staff], "Tr 1 General Staff", Table13[Month Received], "February")</f>
        <v>0</v>
      </c>
      <c r="F69" s="27">
        <f>COUNTIFS(Table13[Resident''s Unit], "Transformations 1", Table13[Shift], "1st &amp; 2nd", Table13[1st Implicated Staff], "Tr 1 General Staff", Table13[Month Received], "March")</f>
        <v>0</v>
      </c>
      <c r="G69" s="27">
        <f>COUNTIFS(Table13[Resident''s Unit], "Transformations 1", Table13[Shift], "1st &amp; 2nd", Table13[1st Implicated Staff], "Tr 1 General Staff", Table13[Month Received], "April")</f>
        <v>0</v>
      </c>
      <c r="H69" s="27">
        <f>COUNTIFS(Table13[Resident''s Unit], "Transformations 1", Table13[Shift], "1st &amp; 2nd", Table13[1st Implicated Staff], "Tr 1 General Staff", Table13[Month Received], "May")</f>
        <v>0</v>
      </c>
      <c r="I69" s="27">
        <f>COUNTIFS(Table13[Resident''s Unit], "Transformations 1", Table13[Shift], "1st  &amp; 2nd", Table13[1st Implicated Staff], "Tr 1 General Staff", Table13[Month Received], "June")</f>
        <v>0</v>
      </c>
      <c r="J69" s="27">
        <f>COUNTIFS(Table13[Resident''s Unit], "Transformations 1", Table13[Shift], "1st &amp; 2nd", Table13[1st Implicated Staff], "Tr 1 General Staff", Table13[Month Received], "July")</f>
        <v>0</v>
      </c>
      <c r="K69" s="27">
        <f>COUNTIFS(Table13[Resident''s Unit], "Transformations 1", Table13[Shift], "1st &amp; 2nd", Table13[1st Implicated Staff], "Tr 1 General Staff", Table13[Month Received], "August")</f>
        <v>0</v>
      </c>
      <c r="L69" s="27">
        <f>COUNTIFS(Table13[Resident''s Unit], "Transformations 1", Table13[Shift], "1st &amp; 2nd", Table13[1st Implicated Staff], "Tr 1 General Staff", Table13[Month Received], "September")</f>
        <v>0</v>
      </c>
      <c r="M69" s="27">
        <f>COUNTIFS(Table13[Resident''s Unit], "Transformations 1", Table13[Shift], "1st &amp; 2nd", Table13[1st Implicated Staff], "Tr 1 General Staff", Table13[Month Received], "October")</f>
        <v>0</v>
      </c>
      <c r="N69" s="27">
        <f>COUNTIFS(Table13[Resident''s Unit], "Transformations 1", Table13[Shift], "1st &amp; 2nd", Table13[1st Implicated Staff], "Tr 1 General Staff", Table13[Month Received], "November")</f>
        <v>0</v>
      </c>
      <c r="O69" s="27">
        <f>COUNTIFS(Table13[Resident''s Unit], "Transformations 1", Table13[Shift], "1st &amp; 2nd", Table13[1st Implicated Staff], "Tr 1 General Staff", Table13[Month Received], "December")</f>
        <v>0</v>
      </c>
      <c r="P69" s="27">
        <f t="shared" si="9"/>
        <v>0</v>
      </c>
    </row>
    <row r="70" spans="1:16" x14ac:dyDescent="0.55000000000000004">
      <c r="A70" s="1" t="s">
        <v>410</v>
      </c>
      <c r="B70" s="27">
        <f>COUNTIFS(Table13[Resident''s Unit], "Transformations 1", Table13[Shift], "2nd", Table13[1st Implicated Staff], "Tr 1 General Staff")</f>
        <v>0</v>
      </c>
      <c r="C70" s="27"/>
      <c r="D70" s="27">
        <f>COUNTIFS(Table13[Resident''s Unit], "Transformations 1", Table13[Shift], "2nd", Table13[1st Implicated Staff], "Tr 1 General Staff", Table13[Month Received], "January")</f>
        <v>0</v>
      </c>
      <c r="E70" s="27">
        <f>COUNTIFS(Table13[Resident''s Unit], "Transformations 1", Table13[Shift], "2nd", Table13[1st Implicated Staff], "Tr 1 General Staff", Table13[Month Received], "February")</f>
        <v>0</v>
      </c>
      <c r="F70" s="27">
        <f>COUNTIFS(Table13[Resident''s Unit], "Transformations 1", Table13[Shift], "2nd", Table13[1st Implicated Staff], "Tr 1 General Staff", Table13[Month Received], "March")</f>
        <v>0</v>
      </c>
      <c r="G70" s="27">
        <f>COUNTIFS(Table13[Resident''s Unit], "Transformations 1", Table13[Shift], "2nd", Table13[1st Implicated Staff], "Tr 1 General Staff", Table13[Month Received], "April")</f>
        <v>0</v>
      </c>
      <c r="H70" s="27">
        <f>COUNTIFS(Table13[Resident''s Unit], "Transformations 1", Table13[Shift], "2nd", Table13[1st Implicated Staff], "Tr 1 General Staff", Table13[Month Received], "May")</f>
        <v>0</v>
      </c>
      <c r="I70" s="27">
        <f>COUNTIFS(Table13[Resident''s Unit], "Transformations 1", Table13[Shift], "2nd", Table13[1st Implicated Staff], "Tr 1 General Staff", Table13[Month Received], "June")</f>
        <v>0</v>
      </c>
      <c r="J70" s="27">
        <f>COUNTIFS(Table13[Resident''s Unit], "Transformations 1", Table13[Shift], "2nd", Table13[1st Implicated Staff], "Tr 1 General Staff", Table13[Month Received], "July")</f>
        <v>0</v>
      </c>
      <c r="K70" s="27">
        <f>COUNTIFS(Table13[Resident''s Unit], "Transformations 1", Table13[Shift], "2nd", Table13[1st Implicated Staff], "Tr 1 General Staff", Table13[Month Received], "August")</f>
        <v>0</v>
      </c>
      <c r="L70" s="27">
        <f>COUNTIFS(Table13[Resident''s Unit], "Transformations 1", Table13[Shift], "2nd", Table13[1st Implicated Staff], "Tr 1 General Staff", Table13[Month Received], "September")</f>
        <v>0</v>
      </c>
      <c r="M70" s="27">
        <f>COUNTIFS(Table13[Resident''s Unit], "Transformations 1", Table13[Shift], "2nd", Table13[1st Implicated Staff], "Tr 1 General Staff", Table13[Month Received], "October")</f>
        <v>0</v>
      </c>
      <c r="N70" s="27">
        <f>COUNTIFS(Table13[Resident''s Unit], "Transformations 1", Table13[Shift], "2nd", Table13[1st Implicated Staff], "Tr 1 General Staff", Table13[Month Received], "November")</f>
        <v>0</v>
      </c>
      <c r="O70" s="27">
        <f>COUNTIFS(Table13[Resident''s Unit], "Transformations 1", Table13[Shift], "2nd", Table13[1st Implicated Staff], "Tr 1 General Staff", Table13[Month Received], "December")</f>
        <v>0</v>
      </c>
      <c r="P70" s="27">
        <f t="shared" si="9"/>
        <v>0</v>
      </c>
    </row>
    <row r="71" spans="1:16" x14ac:dyDescent="0.55000000000000004">
      <c r="A71" s="1" t="s">
        <v>416</v>
      </c>
      <c r="B71" s="27">
        <f>COUNTIFS(Table13[Resident''s Unit], "Transformations 1", Table13[Shift], "2nd &amp; 3rd", Table13[1st Implicated Staff], "Tr 1 General Staff")</f>
        <v>0</v>
      </c>
      <c r="C71" s="27"/>
      <c r="D71" s="27">
        <f>COUNTIFS(Table13[Resident''s Unit], "Transformations 1", Table13[Shift], "2nd &amp; 3rd", Table13[1st Implicated Staff], "Tr 1 General Staff", Table13[Month Received], "January")</f>
        <v>0</v>
      </c>
      <c r="E71" s="27">
        <f>COUNTIFS(Table13[Resident''s Unit], "Transformations 1", Table13[Shift], "2nd &amp; 3rd", Table13[1st Implicated Staff], "Tr 1 General Staff", Table13[Month Received], "February")</f>
        <v>0</v>
      </c>
      <c r="F71" s="27">
        <f>COUNTIFS(Table13[Resident''s Unit], "Transformations 1", Table13[Shift], "2nd &amp; 3rd", Table13[1st Implicated Staff], "Tr 1 General Staff", Table13[Month Received], "March")</f>
        <v>0</v>
      </c>
      <c r="G71" s="27">
        <f>COUNTIFS(Table13[Resident''s Unit], "Transformations 1", Table13[Shift], "2nd &amp; 3rd", Table13[1st Implicated Staff], "Tr 1 General Staff", Table13[Month Received], "April")</f>
        <v>0</v>
      </c>
      <c r="H71" s="27">
        <f>COUNTIFS(Table13[Resident''s Unit], "Transformations 1", Table13[Shift], "2nd &amp; 3rd", Table13[1st Implicated Staff], "Tr 1 General Staff", Table13[Month Received], "May")</f>
        <v>0</v>
      </c>
      <c r="I71" s="27">
        <f>COUNTIFS(Table13[Resident''s Unit], "Transformations 1", Table13[Shift], "2nd &amp; 3rd", Table13[1st Implicated Staff], "Tr 1 General Staff", Table13[Month Received], "June")</f>
        <v>0</v>
      </c>
      <c r="J71" s="27">
        <f>COUNTIFS(Table13[Resident''s Unit], "Transformations 1", Table13[Shift], "2nd &amp; 3rd", Table13[1st Implicated Staff], "Tr 1 General Staff", Table13[Month Received], "July")</f>
        <v>0</v>
      </c>
      <c r="K71" s="27">
        <f>COUNTIFS(Table13[Resident''s Unit], "Transformations 1", Table13[Shift], "2nd &amp; 3rd", Table13[1st Implicated Staff], "Tr 1 General Staff", Table13[Month Received], "August")</f>
        <v>0</v>
      </c>
      <c r="L71" s="27">
        <f>COUNTIFS(Table13[Resident''s Unit], "Transformations 1", Table13[Shift], "2nd &amp; 3rd", Table13[1st Implicated Staff], "Tr 1 General Staff", Table13[Month Received], "September")</f>
        <v>0</v>
      </c>
      <c r="M71" s="27">
        <f>COUNTIFS(Table13[Resident''s Unit], "Transformations 1", Table13[Shift], "2nd &amp; 3rd", Table13[1st Implicated Staff], "Tr 1 General Staff", Table13[Month Received], "October")</f>
        <v>0</v>
      </c>
      <c r="N71" s="27">
        <f>COUNTIFS(Table13[Resident''s Unit], "Transformations 1", Table13[Shift], "2nd &amp; 3rd", Table13[1st Implicated Staff], "Tr 1 General Staff", Table13[Month Received], "November")</f>
        <v>0</v>
      </c>
      <c r="O71" s="27">
        <f>COUNTIFS(Table13[Resident''s Unit], "Transformations 1", Table13[Shift], "2nd &amp; 3rd", Table13[1st Implicated Staff], "Tr 1 General Staff", Table13[Month Received], "December")</f>
        <v>0</v>
      </c>
      <c r="P71" s="27">
        <f t="shared" si="9"/>
        <v>0</v>
      </c>
    </row>
    <row r="72" spans="1:16" x14ac:dyDescent="0.55000000000000004">
      <c r="A72" s="1" t="s">
        <v>411</v>
      </c>
      <c r="B72" s="27">
        <f>COUNTIFS(Table13[Resident''s Unit], "Transformations 1", Table13[Shift], "3rd", Table13[1st Implicated Staff], "Tr 1 General Staff")</f>
        <v>0</v>
      </c>
      <c r="C72" s="27"/>
      <c r="D72" s="27">
        <f>COUNTIFS(Table13[Resident''s Unit], "Transformations 1", Table13[Shift], "3rd", Table13[1st Implicated Staff], "Tr 1 General Staff", Table13[Month Received], "January")</f>
        <v>0</v>
      </c>
      <c r="E72" s="27">
        <f>COUNTIFS(Table13[Resident''s Unit], "Transformations 1", Table13[Shift], "3rd", Table13[1st Implicated Staff], "Tr 1 General Staff", Table13[Month Received], "February")</f>
        <v>0</v>
      </c>
      <c r="F72" s="27">
        <f>COUNTIFS(Table13[Resident''s Unit], "Transformations 1", Table13[Shift], "3rd", Table13[1st Implicated Staff], "Tr 1 General Staff", Table13[Month Received], "March")</f>
        <v>0</v>
      </c>
      <c r="G72" s="27">
        <f>COUNTIFS(Table13[Resident''s Unit], "Transformations 1", Table13[Shift], "3rd", Table13[1st Implicated Staff], "Tr 1 General Staff", Table13[Month Received], "April")</f>
        <v>0</v>
      </c>
      <c r="H72" s="27">
        <f>COUNTIFS(Table13[Resident''s Unit], "Transformations 1", Table13[Shift], "3rd", Table13[1st Implicated Staff], "Tr 1 General Staff", Table13[Month Received], "May")</f>
        <v>0</v>
      </c>
      <c r="I72" s="27">
        <f>COUNTIFS(Table13[Resident''s Unit], "Transformations 1", Table13[Shift], "3rd", Table13[1st Implicated Staff], "Tr 1 General Staff", Table13[Month Received], "June")</f>
        <v>0</v>
      </c>
      <c r="J72" s="27">
        <f>COUNTIFS(Table13[Resident''s Unit], "Transformations 1", Table13[Shift], "3rd", Table13[1st Implicated Staff], "Tr 1 General Staff", Table13[Month Received], "July")</f>
        <v>0</v>
      </c>
      <c r="K72" s="27">
        <f>COUNTIFS(Table13[Resident''s Unit], "Transformations 1", Table13[Shift], "3rd", Table13[1st Implicated Staff], "Tr 1 General Staff", Table13[Month Received], "August")</f>
        <v>0</v>
      </c>
      <c r="L72" s="27">
        <f>COUNTIFS(Table13[Resident''s Unit], "Transformations 1", Table13[Shift], "3rd", Table13[1st Implicated Staff], "Tr 1 General Staff", Table13[Month Received], "September")</f>
        <v>0</v>
      </c>
      <c r="M72" s="27">
        <f>COUNTIFS(Table13[Resident''s Unit], "Transformations 1", Table13[Shift], "3rd", Table13[1st Implicated Staff], "Tr 1 General Staff", Table13[Month Received], "October")</f>
        <v>0</v>
      </c>
      <c r="N72" s="27">
        <f>COUNTIFS(Table13[Resident''s Unit], "Transformations 1", Table13[Shift], "3rd", Table13[1st Implicated Staff], "Tr 1 General Staff", Table13[Month Received], "November")</f>
        <v>0</v>
      </c>
      <c r="O72" s="27">
        <f>COUNTIFS(Table13[Resident''s Unit], "Transformations 1", Table13[Shift], "3rd", Table13[1st Implicated Staff], "Tr 1 General Staff", Table13[Month Received], "December")</f>
        <v>0</v>
      </c>
      <c r="P72" s="27">
        <f>SUM(D72:O72)</f>
        <v>0</v>
      </c>
    </row>
    <row r="73" spans="1:16" x14ac:dyDescent="0.55000000000000004">
      <c r="A73" s="1" t="s">
        <v>417</v>
      </c>
      <c r="B73" s="27">
        <f>COUNTIFS(Table13[Resident''s Unit], "Transformations 1", Table13[Shift], "3rd &amp; 1st", Table13[1st Implicated Staff], "Tr 1 General Staff")</f>
        <v>0</v>
      </c>
      <c r="C73" s="27"/>
      <c r="D73" s="27">
        <f>COUNTIFS(Table13[Resident''s Unit], "Transformations 1", Table13[Shift], "3rd &amp; 1st", Table13[1st Implicated Staff], "Tr 1 General Staff", Table13[Month Received], "January")</f>
        <v>0</v>
      </c>
      <c r="E73" s="27">
        <f>COUNTIFS(Table13[Resident''s Unit], "Transformations 1", Table13[Shift], "3rd &amp; 1st", Table13[1st Implicated Staff], "Tr 1 General Staff", Table13[Month Received], "February")</f>
        <v>0</v>
      </c>
      <c r="F73" s="27">
        <f>COUNTIFS(Table13[Resident''s Unit], "Transformations 1", Table13[Shift], "3rd &amp; 1st", Table13[1st Implicated Staff], "Tr 1 General Staff", Table13[Month Received], "March")</f>
        <v>0</v>
      </c>
      <c r="G73" s="27">
        <f>COUNTIFS(Table13[Resident''s Unit], "Transformations 1", Table13[Shift], "3rd &amp; 1st", Table13[1st Implicated Staff], "Tr 1 General Staff", Table13[Month Received], "April")</f>
        <v>0</v>
      </c>
      <c r="H73" s="27">
        <f>COUNTIFS(Table13[Resident''s Unit], "Transformations 1", Table13[Shift], "3rd &amp; 1st", Table13[1st Implicated Staff], "Tr 1 General Staff", Table13[Month Received], "May")</f>
        <v>0</v>
      </c>
      <c r="I73" s="27">
        <f>COUNTIFS(Table13[Resident''s Unit], "Transformations 1", Table13[Shift], "3rd &amp; 1st", Table13[1st Implicated Staff], "Tr 1 General Staff", Table13[Month Received], "June")</f>
        <v>0</v>
      </c>
      <c r="J73" s="27">
        <f>COUNTIFS(Table13[Resident''s Unit], "Transformations 1", Table13[Shift], "3rd &amp; 1st", Table13[1st Implicated Staff], "Tr 1 General Staff", Table13[Month Received], "July")</f>
        <v>0</v>
      </c>
      <c r="K73" s="27">
        <f>COUNTIFS(Table13[Resident''s Unit], "Transformations 1", Table13[Shift], "3rd &amp; 1st", Table13[1st Implicated Staff], "Tr 1 General Staff", Table13[Month Received], "August")</f>
        <v>0</v>
      </c>
      <c r="L73" s="27">
        <f>COUNTIFS(Table13[Resident''s Unit], "Transformations 1", Table13[Shift], "3rd &amp; 1st", Table13[1st Implicated Staff], "Tr 1 General Staff", Table13[Month Received], "September")</f>
        <v>0</v>
      </c>
      <c r="M73" s="27">
        <f>COUNTIFS(Table13[Resident''s Unit], "Transformations 1", Table13[Shift], "3rd &amp; 1st", Table13[1st Implicated Staff], "Tr 1 General Staff", Table13[Month Received], "October")</f>
        <v>0</v>
      </c>
      <c r="N73" s="27">
        <f>COUNTIFS(Table13[Resident''s Unit], "Transformations 1", Table13[Shift], "3rd &amp; 1st", Table13[1st Implicated Staff], "Tr 1 General Staff", Table13[Month Received], "November")</f>
        <v>0</v>
      </c>
      <c r="O73" s="27">
        <f>COUNTIFS(Table13[Resident''s Unit], "Transformations 1", Table13[Shift], "3rd &amp; 1st", Table13[1st Implicated Staff], "Tr 1 General Staff", Table13[Month Received], "December")</f>
        <v>0</v>
      </c>
      <c r="P73" s="27">
        <f t="shared" ref="P73:P74" si="10">SUM(D73:O73)</f>
        <v>0</v>
      </c>
    </row>
    <row r="74" spans="1:16" x14ac:dyDescent="0.55000000000000004">
      <c r="A74" s="1" t="s">
        <v>412</v>
      </c>
      <c r="B74" s="27">
        <f>COUNTIFS(Table13[Resident''s Unit], "Transformations 1", Table13[Shift], "All", Table13[1st Implicated Staff], "Tr 1 General Staff")</f>
        <v>0</v>
      </c>
      <c r="C74" s="27"/>
      <c r="D74" s="27">
        <f>COUNTIFS(Table13[Resident''s Unit], "Transformations 1", Table13[Shift], "All", Table13[1st Implicated Staff], "Tr 1 General Staff", Table13[Month Received], "January")</f>
        <v>0</v>
      </c>
      <c r="E74" s="27">
        <f>COUNTIFS(Table13[Resident''s Unit], "Transformations 1", Table13[Shift], "All", Table13[1st Implicated Staff], "Tr 1 General Staff", Table13[Month Received], "February")</f>
        <v>0</v>
      </c>
      <c r="F74" s="27">
        <f>COUNTIFS(Table13[Resident''s Unit], "Transformations 1", Table13[Shift], "All", Table13[1st Implicated Staff], "Tr 1 General Staff", Table13[Month Received], "March")</f>
        <v>0</v>
      </c>
      <c r="G74" s="27">
        <f>COUNTIFS(Table13[Resident''s Unit], "Transformations 1", Table13[Shift], "All", Table13[1st Implicated Staff], "Tr 1 General Staff", Table13[Month Received], "April")</f>
        <v>0</v>
      </c>
      <c r="H74" s="27">
        <f>COUNTIFS(Table13[Resident''s Unit], "Transformations 1", Table13[Shift], "All", Table13[1st Implicated Staff], "Tr 1 General Staff", Table13[Month Received], "May")</f>
        <v>0</v>
      </c>
      <c r="I74" s="27">
        <f>COUNTIFS(Table13[Resident''s Unit], "Transformations 1", Table13[Shift], "All", Table13[1st Implicated Staff], "Tr 1 General Staff", Table13[Month Received], "June")</f>
        <v>0</v>
      </c>
      <c r="J74" s="27">
        <f>COUNTIFS(Table13[Resident''s Unit], "Transformations 1", Table13[Shift], "All", Table13[1st Implicated Staff], "Tr 1 General Staff", Table13[Month Received], "July")</f>
        <v>0</v>
      </c>
      <c r="K74" s="27">
        <f>COUNTIFS(Table13[Resident''s Unit], "Transformations 1", Table13[Shift], "All", Table13[1st Implicated Staff], "Tr 1 General Staff", Table13[Month Received], "August")</f>
        <v>0</v>
      </c>
      <c r="L74" s="27">
        <f>COUNTIFS(Table13[Resident''s Unit], "Transformations 1", Table13[Shift], "All", Table13[1st Implicated Staff], "Tr 1 General Staff", Table13[Month Received], "September")</f>
        <v>0</v>
      </c>
      <c r="M74" s="27">
        <f>COUNTIFS(Table13[Resident''s Unit], "Transformations 1", Table13[Shift], "All", Table13[1st Implicated Staff], "Tr 1 General Staff", Table13[Month Received], "October")</f>
        <v>0</v>
      </c>
      <c r="N74" s="27">
        <f>COUNTIFS(Table13[Resident''s Unit], "Transformations 1", Table13[Shift], "All", Table13[1st Implicated Staff], "Tr 1 General Staff", Table13[Month Received], "November")</f>
        <v>0</v>
      </c>
      <c r="O74" s="27">
        <f>COUNTIFS(Table13[Resident''s Unit], "Transformations 1", Table13[Shift], "All", Table13[1st Implicated Staff], "Tr 1 General Staff", Table13[Month Received], "December")</f>
        <v>0</v>
      </c>
      <c r="P74" s="27">
        <f t="shared" si="10"/>
        <v>0</v>
      </c>
    </row>
    <row r="76" spans="1:16" x14ac:dyDescent="0.55000000000000004">
      <c r="A76" s="19" t="s">
        <v>61</v>
      </c>
      <c r="B76" s="129" t="s">
        <v>205</v>
      </c>
      <c r="C76" s="27" t="s">
        <v>307</v>
      </c>
      <c r="D76" s="129" t="s">
        <v>94</v>
      </c>
      <c r="E76" s="129" t="s">
        <v>95</v>
      </c>
      <c r="F76" s="129" t="s">
        <v>96</v>
      </c>
      <c r="G76" s="129" t="s">
        <v>97</v>
      </c>
      <c r="H76" s="129" t="s">
        <v>93</v>
      </c>
      <c r="I76" s="129" t="s">
        <v>98</v>
      </c>
      <c r="J76" s="129" t="s">
        <v>99</v>
      </c>
      <c r="K76" s="129" t="s">
        <v>100</v>
      </c>
      <c r="L76" s="129" t="s">
        <v>101</v>
      </c>
      <c r="M76" s="129" t="s">
        <v>102</v>
      </c>
      <c r="N76" s="129" t="s">
        <v>103</v>
      </c>
      <c r="O76" s="129" t="s">
        <v>104</v>
      </c>
      <c r="P76" s="129" t="s">
        <v>419</v>
      </c>
    </row>
    <row r="77" spans="1:16" x14ac:dyDescent="0.55000000000000004">
      <c r="A77" s="1" t="s">
        <v>406</v>
      </c>
      <c r="B77" s="27">
        <f>COUNTIFS(Table13[Resident''s Unit], "Transformations 2", Table13[Shift], "1st")</f>
        <v>0</v>
      </c>
      <c r="C77" s="27"/>
      <c r="D77" s="27">
        <f>COUNTIFS(Table13[Resident''s Unit], "Transformations 2", Table13[Shift], "1st", Table13[Month Received], "January")</f>
        <v>0</v>
      </c>
      <c r="E77" s="27">
        <f>COUNTIFS(Table13[Resident''s Unit], "Transformations 2", Table13[Shift], "1st", Table13[Month Received], "February")</f>
        <v>0</v>
      </c>
      <c r="F77" s="27">
        <f>COUNTIFS(Table13[Resident''s Unit], "Transformations 2", Table13[Shift], "1st", Table13[Month Received], "March")</f>
        <v>0</v>
      </c>
      <c r="G77" s="27">
        <f>COUNTIFS(Table13[Resident''s Unit], "Transformations 2", Table13[Shift], "1st", Table13[Month Received], "April")</f>
        <v>0</v>
      </c>
      <c r="H77" s="27">
        <f>COUNTIFS(Table13[Resident''s Unit], "Transformations 2", Table13[Shift], "1st", Table13[Month Received], "May")</f>
        <v>0</v>
      </c>
      <c r="I77" s="27">
        <f>COUNTIFS(Table13[Resident''s Unit], "Transformations 2", Table13[Shift], "1st", Table13[Month Received], "June")</f>
        <v>0</v>
      </c>
      <c r="J77" s="27">
        <f>COUNTIFS(Table13[Resident''s Unit], "Transformations 2", Table13[Shift], "1st", Table13[Month Received], "July")</f>
        <v>0</v>
      </c>
      <c r="K77" s="27">
        <f>COUNTIFS(Table13[Resident''s Unit], "Transformations 2", Table13[Shift], "1st", Table13[Month Received], "August")</f>
        <v>0</v>
      </c>
      <c r="L77" s="27">
        <f>COUNTIFS(Table13[Resident''s Unit], "Transformations 2", Table13[Shift], "1st", Table13[Month Received], "September")</f>
        <v>0</v>
      </c>
      <c r="M77" s="27">
        <f>COUNTIFS(Table13[Resident''s Unit], "Transformations 2", Table13[Shift], "1st", Table13[Month Received], "October")</f>
        <v>0</v>
      </c>
      <c r="N77" s="27">
        <f>COUNTIFS(Table13[Resident''s Unit], "Transformations 2", Table13[Shift], "1st", Table13[Month Received], "November")</f>
        <v>0</v>
      </c>
      <c r="O77" s="27">
        <f>COUNTIFS(Table13[Resident''s Unit], "Transformations 2", Table13[Shift], "1st", Table13[Month Received], "December")</f>
        <v>0</v>
      </c>
      <c r="P77" s="27">
        <f>SUM(D77:O77)</f>
        <v>0</v>
      </c>
    </row>
    <row r="78" spans="1:16" x14ac:dyDescent="0.55000000000000004">
      <c r="A78" s="1" t="s">
        <v>415</v>
      </c>
      <c r="B78" s="27">
        <f>COUNTIFS(Table13[Resident''s Unit], "Transformations 2", Table13[Shift], "1st &amp; 2nd")</f>
        <v>0</v>
      </c>
      <c r="C78" s="27"/>
      <c r="D78" s="27">
        <f>COUNTIFS(Table13[Resident''s Unit], "Transformations 2", Table13[Shift], "1st &amp; 2nd", Table13[Month Received], "January")</f>
        <v>0</v>
      </c>
      <c r="E78" s="27">
        <f>COUNTIFS(Table13[Resident''s Unit], "Transformations 2", Table13[Shift], "1st &amp; 2nd", Table13[Month Received], "February")</f>
        <v>0</v>
      </c>
      <c r="F78" s="27">
        <f>COUNTIFS(Table13[Resident''s Unit], "Transformations 2", Table13[Shift], "1st &amp; 2nd", Table13[Month Received], "March")</f>
        <v>0</v>
      </c>
      <c r="G78" s="27">
        <f>COUNTIFS(Table13[Resident''s Unit], "Transformations 2", Table13[Shift], "1st &amp; 2nd", Table13[Month Received], "April")</f>
        <v>0</v>
      </c>
      <c r="H78" s="27">
        <f>COUNTIFS(Table13[Resident''s Unit], "Transformations 2", Table13[Shift], "1st &amp; 2nd", Table13[Month Received], "May")</f>
        <v>0</v>
      </c>
      <c r="I78" s="27">
        <f>COUNTIFS(Table13[Resident''s Unit], "Transformations 2", Table13[Shift], "1st &amp; 2nd", Table13[Month Received], "June")</f>
        <v>0</v>
      </c>
      <c r="J78" s="27">
        <f>COUNTIFS(Table13[Resident''s Unit], "Transformations 2", Table13[Shift], "1st &amp; 2nd", Table13[Month Received], "July")</f>
        <v>0</v>
      </c>
      <c r="K78" s="27">
        <f>COUNTIFS(Table13[Resident''s Unit], "Transformations 2", Table13[Shift], "1st &amp; 2nd", Table13[Month Received], "August")</f>
        <v>0</v>
      </c>
      <c r="L78" s="27">
        <f>COUNTIFS(Table13[Resident''s Unit], "Transformations 2", Table13[Shift], "1st &amp; 2nd", Table13[Month Received], "September")</f>
        <v>0</v>
      </c>
      <c r="M78" s="27">
        <f>COUNTIFS(Table13[Resident''s Unit], "Transformations 2", Table13[Shift], "1st &amp; 2nd", Table13[Month Received], "October")</f>
        <v>0</v>
      </c>
      <c r="N78" s="27">
        <f>COUNTIFS(Table13[Resident''s Unit], "Transformations 2", Table13[Shift], "1st &amp; 2nd", Table13[Month Received], "November")</f>
        <v>0</v>
      </c>
      <c r="O78" s="27">
        <f>COUNTIFS(Table13[Resident''s Unit], "Transformations 2", Table13[Shift], "1st &amp; 2nd", Table13[Month Received], "December")</f>
        <v>0</v>
      </c>
      <c r="P78" s="27">
        <f t="shared" ref="P78:P83" si="11">SUM(D78:O78)</f>
        <v>0</v>
      </c>
    </row>
    <row r="79" spans="1:16" x14ac:dyDescent="0.55000000000000004">
      <c r="A79" s="1" t="s">
        <v>407</v>
      </c>
      <c r="B79" s="27">
        <f>COUNTIFS(Table13[Resident''s Unit], "Transformations 2", Table13[Shift], "2nd")</f>
        <v>0</v>
      </c>
      <c r="C79" s="27"/>
      <c r="D79" s="27">
        <f>COUNTIFS(Table13[Resident''s Unit], "Transformations 2", Table13[Shift], "2nd", Table13[Month Received], "January")</f>
        <v>0</v>
      </c>
      <c r="E79" s="27">
        <f>COUNTIFS(Table13[Resident''s Unit], "Transformations 2", Table13[Shift], "2nd", Table13[Month Received], "February")</f>
        <v>0</v>
      </c>
      <c r="F79" s="27">
        <f>COUNTIFS(Table13[Resident''s Unit], "Transformations 2", Table13[Shift], "2nd", Table13[Month Received], "March")</f>
        <v>0</v>
      </c>
      <c r="G79" s="27">
        <f>COUNTIFS(Table13[Resident''s Unit], "Transformations 2", Table13[Shift], "2nd", Table13[Month Received], "April")</f>
        <v>0</v>
      </c>
      <c r="H79" s="27">
        <f>COUNTIFS(Table13[Resident''s Unit], "Transformations 2", Table13[Shift], "2nd", Table13[Month Received], "May")</f>
        <v>0</v>
      </c>
      <c r="I79" s="27">
        <f>COUNTIFS(Table13[Resident''s Unit], "Transformations 2", Table13[Shift], "2nd", Table13[Month Received], "June")</f>
        <v>0</v>
      </c>
      <c r="J79" s="27">
        <f>COUNTIFS(Table13[Resident''s Unit], "Transformations 2", Table13[Shift], "2nd", Table13[Month Received], "July")</f>
        <v>0</v>
      </c>
      <c r="K79" s="27">
        <f>COUNTIFS(Table13[Resident''s Unit], "Transformations 2", Table13[Shift], "2nd", Table13[Month Received], "August")</f>
        <v>0</v>
      </c>
      <c r="L79" s="27">
        <f>COUNTIFS(Table13[Resident''s Unit], "Transformations 2", Table13[Shift], "2nd", Table13[Month Received], "September")</f>
        <v>0</v>
      </c>
      <c r="M79" s="27">
        <f>COUNTIFS(Table13[Resident''s Unit], "Transformations 2", Table13[Shift], "2nd", Table13[Month Received], "October")</f>
        <v>0</v>
      </c>
      <c r="N79" s="27">
        <f>COUNTIFS(Table13[Resident''s Unit], "Transformations 2", Table13[Shift], "2nd", Table13[Month Received], "November")</f>
        <v>0</v>
      </c>
      <c r="O79" s="27">
        <f>COUNTIFS(Table13[Resident''s Unit], "Transformations 2", Table13[Shift], "2nd", Table13[Month Received], "December")</f>
        <v>0</v>
      </c>
      <c r="P79" s="27">
        <f t="shared" si="11"/>
        <v>0</v>
      </c>
    </row>
    <row r="80" spans="1:16" x14ac:dyDescent="0.55000000000000004">
      <c r="A80" s="1" t="s">
        <v>416</v>
      </c>
      <c r="B80" s="27">
        <f>COUNTIFS(Table13[Resident''s Unit], "Transformations 2", Table13[Shift], "2nd &amp; 3rd")</f>
        <v>0</v>
      </c>
      <c r="C80" s="27"/>
      <c r="D80" s="27">
        <f>COUNTIFS(Table13[Resident''s Unit], "Transformations 2", Table13[Shift], "2nd &amp; 3rd", Table13[Month Received], "January")</f>
        <v>0</v>
      </c>
      <c r="E80" s="27">
        <f>COUNTIFS(Table13[Resident''s Unit], "Transformations 2", Table13[Shift], "2nd &amp; 3rd", Table13[Month Received], "February")</f>
        <v>0</v>
      </c>
      <c r="F80" s="27">
        <f>COUNTIFS(Table13[Resident''s Unit], "Transformations 2", Table13[Shift], "2nd &amp; 3rd", Table13[Month Received], "March")</f>
        <v>0</v>
      </c>
      <c r="G80" s="27">
        <f>COUNTIFS(Table13[Resident''s Unit], "Transformations 2", Table13[Shift], "2nd &amp; 3rd", Table13[Month Received], "April")</f>
        <v>0</v>
      </c>
      <c r="H80" s="27">
        <f>COUNTIFS(Table13[Resident''s Unit], "Transformations 2", Table13[Shift], "2nd &amp; 3rd", Table13[Month Received], "May")</f>
        <v>0</v>
      </c>
      <c r="I80" s="27">
        <f>COUNTIFS(Table13[Resident''s Unit], "Transformations 2", Table13[Shift], "2nd &amp; 3rd", Table13[Month Received], "June")</f>
        <v>0</v>
      </c>
      <c r="J80" s="27">
        <f>COUNTIFS(Table13[Resident''s Unit], "Transformations 2", Table13[Shift], "2nd &amp; 3rd", Table13[Month Received], "July")</f>
        <v>0</v>
      </c>
      <c r="K80" s="27">
        <f>COUNTIFS(Table13[Resident''s Unit], "Transformations 2", Table13[Shift], "2nd &amp; 3rd", Table13[Month Received], "August")</f>
        <v>0</v>
      </c>
      <c r="L80" s="27">
        <f>COUNTIFS(Table13[Resident''s Unit], "Transformations 2", Table13[Shift], "2nd &amp; 3rd", Table13[Month Received], "September")</f>
        <v>0</v>
      </c>
      <c r="M80" s="27">
        <f>COUNTIFS(Table13[Resident''s Unit], "Transformations 2", Table13[Shift], "2nd &amp; 3rd", Table13[Month Received], "October")</f>
        <v>0</v>
      </c>
      <c r="N80" s="27">
        <f>COUNTIFS(Table13[Resident''s Unit], "Transformations 2", Table13[Shift], "2nd &amp; 3rd", Table13[Month Received], "November")</f>
        <v>0</v>
      </c>
      <c r="O80" s="27">
        <f>COUNTIFS(Table13[Resident''s Unit], "Transformations 2", Table13[Shift], "2nd &amp; 3rd", Table13[Month Received], "December")</f>
        <v>0</v>
      </c>
      <c r="P80" s="27">
        <f t="shared" si="11"/>
        <v>0</v>
      </c>
    </row>
    <row r="81" spans="1:16" x14ac:dyDescent="0.55000000000000004">
      <c r="A81" s="1" t="s">
        <v>408</v>
      </c>
      <c r="B81" s="27">
        <f>COUNTIFS(Table13[Resident''s Unit], "Transformations 2", Table13[Shift], "3rd")</f>
        <v>0</v>
      </c>
      <c r="C81" s="27"/>
      <c r="D81" s="27">
        <f>COUNTIFS(Table13[Resident''s Unit], "Transformations 2", Table13[Shift], "3rd", Table13[Month Received], "January")</f>
        <v>0</v>
      </c>
      <c r="E81" s="27">
        <f>COUNTIFS(Table13[Resident''s Unit], "Transformations 2", Table13[Shift], "3rd", Table13[Month Received], "February")</f>
        <v>0</v>
      </c>
      <c r="F81" s="27">
        <f>COUNTIFS(Table13[Resident''s Unit], "Transformations 2", Table13[Shift], "3rd", Table13[Month Received], "March")</f>
        <v>0</v>
      </c>
      <c r="G81" s="27">
        <f>COUNTIFS(Table13[Resident''s Unit], "Transformations 2", Table13[Shift], "3rd", Table13[Month Received], "April")</f>
        <v>0</v>
      </c>
      <c r="H81" s="27">
        <f>COUNTIFS(Table13[Resident''s Unit], "Transformations 2", Table13[Shift], "3rd", Table13[Month Received], "May")</f>
        <v>0</v>
      </c>
      <c r="I81" s="27">
        <f>COUNTIFS(Table13[Resident''s Unit], "Transformations 2", Table13[Shift], "3rd", Table13[Month Received], "June")</f>
        <v>0</v>
      </c>
      <c r="J81" s="27">
        <f>COUNTIFS(Table13[Resident''s Unit], "Transformations 2", Table13[Shift], "3rd", Table13[Month Received], "July")</f>
        <v>0</v>
      </c>
      <c r="K81" s="27">
        <f>COUNTIFS(Table13[Resident''s Unit], "Transformations 2", Table13[Shift], "3rd", Table13[Month Received], "August")</f>
        <v>0</v>
      </c>
      <c r="L81" s="27">
        <f>COUNTIFS(Table13[Resident''s Unit], "Transformations 2", Table13[Shift], "3rd", Table13[Month Received], "September")</f>
        <v>0</v>
      </c>
      <c r="M81" s="27">
        <f>COUNTIFS(Table13[Resident''s Unit], "Transformations 2", Table13[Shift], "3rd", Table13[Month Received], "October")</f>
        <v>0</v>
      </c>
      <c r="N81" s="27">
        <f>COUNTIFS(Table13[Resident''s Unit], "Transformations 2", Table13[Shift], "3rd", Table13[Month Received], "November")</f>
        <v>0</v>
      </c>
      <c r="O81" s="27">
        <f>COUNTIFS(Table13[Resident''s Unit], "Transformations 2", Table13[Shift], "3rd", Table13[Month Received], "December")</f>
        <v>0</v>
      </c>
      <c r="P81" s="27">
        <f t="shared" si="11"/>
        <v>0</v>
      </c>
    </row>
    <row r="82" spans="1:16" x14ac:dyDescent="0.55000000000000004">
      <c r="A82" s="1" t="s">
        <v>418</v>
      </c>
      <c r="B82" s="27">
        <f>COUNTIFS(Table13[Resident''s Unit], "Transformations 2", Table13[Shift], "3rd &amp; 1st")</f>
        <v>0</v>
      </c>
      <c r="C82" s="27"/>
      <c r="D82" s="27">
        <f>COUNTIFS(Table13[Resident''s Unit], "Transformations 2", Table13[Shift], "3rd &amp; 1st", Table13[Month Received], "January")</f>
        <v>0</v>
      </c>
      <c r="E82" s="27">
        <f>COUNTIFS(Table13[Resident''s Unit], "Transformations 2", Table13[Shift], "3rd &amp; 1st", Table13[Month Received], "February")</f>
        <v>0</v>
      </c>
      <c r="F82" s="27">
        <f>COUNTIFS(Table13[Resident''s Unit], "Transformations 2", Table13[Shift], "3rd &amp; 1st", Table13[Month Received], "March")</f>
        <v>0</v>
      </c>
      <c r="G82" s="27">
        <f>COUNTIFS(Table13[Resident''s Unit], "Transformations 2", Table13[Shift], "3rd &amp; 1st", Table13[Month Received], "April")</f>
        <v>0</v>
      </c>
      <c r="H82" s="27">
        <f>COUNTIFS(Table13[Resident''s Unit], "Transformations 2", Table13[Shift], "3rd &amp; 1st", Table13[Month Received], "May")</f>
        <v>0</v>
      </c>
      <c r="I82" s="27">
        <f>COUNTIFS(Table13[Resident''s Unit], "Transformations 2", Table13[Shift], "3rd &amp; 1st", Table13[Month Received], "June")</f>
        <v>0</v>
      </c>
      <c r="J82" s="27">
        <f>COUNTIFS(Table13[Resident''s Unit], "Transformations 2", Table13[Shift], "3rd &amp; 1st", Table13[Month Received], "July")</f>
        <v>0</v>
      </c>
      <c r="K82" s="27">
        <f>COUNTIFS(Table13[Resident''s Unit], "Transformations 2", Table13[Shift], "3rd &amp; 1st", Table13[Month Received], "August")</f>
        <v>0</v>
      </c>
      <c r="L82" s="27">
        <f>COUNTIFS(Table13[Resident''s Unit], "Transformations 2", Table13[Shift], "3rd &amp; 1st", Table13[Month Received], "September")</f>
        <v>0</v>
      </c>
      <c r="M82" s="27">
        <f>COUNTIFS(Table13[Resident''s Unit], "Transformations 2", Table13[Shift], "3rd &amp; 1st", Table13[Month Received], "October")</f>
        <v>0</v>
      </c>
      <c r="N82" s="27">
        <f>COUNTIFS(Table13[Resident''s Unit], "Transformations 2", Table13[Shift], "3rd &amp; 1st", Table13[Month Received], "November")</f>
        <v>0</v>
      </c>
      <c r="O82" s="27">
        <f>COUNTIFS(Table13[Resident''s Unit], "Transformations 2", Table13[Shift], "3rd &amp; 1st", Table13[Month Received], "December")</f>
        <v>0</v>
      </c>
      <c r="P82" s="27">
        <f t="shared" si="11"/>
        <v>0</v>
      </c>
    </row>
    <row r="83" spans="1:16" x14ac:dyDescent="0.55000000000000004">
      <c r="A83" s="1" t="s">
        <v>412</v>
      </c>
      <c r="B83" s="27">
        <f>COUNTIFS(Table13[Resident''s Unit], "Transformations 2", Table13[Shift], "All")</f>
        <v>0</v>
      </c>
      <c r="C83" s="27"/>
      <c r="D83" s="27">
        <f>COUNTIFS(Table13[Resident''s Unit], "Transformations 2", Table13[Shift], "All", Table13[Month Received], "January")</f>
        <v>0</v>
      </c>
      <c r="E83" s="27">
        <f>COUNTIFS(Table13[Resident''s Unit], "Transformations 2", Table13[Shift], "All", Table13[Month Received], "February")</f>
        <v>0</v>
      </c>
      <c r="F83" s="27">
        <f>COUNTIFS(Table13[Resident''s Unit], "Transformations 2", Table13[Shift], "All", Table13[Month Received], "March")</f>
        <v>0</v>
      </c>
      <c r="G83" s="27">
        <f>COUNTIFS(Table13[Resident''s Unit], "Transformations 2", Table13[Shift], "All", Table13[Month Received], "April")</f>
        <v>0</v>
      </c>
      <c r="H83" s="27">
        <f>COUNTIFS(Table13[Resident''s Unit], "Transformations 2", Table13[Shift], "All", Table13[Month Received], "May")</f>
        <v>0</v>
      </c>
      <c r="I83" s="27">
        <f>COUNTIFS(Table13[Resident''s Unit], "Transformations 2", Table13[Shift], "All", Table13[Month Received], "June")</f>
        <v>0</v>
      </c>
      <c r="J83" s="27">
        <f>COUNTIFS(Table13[Resident''s Unit], "Transformations 2", Table13[Shift], "All", Table13[Month Received], "July")</f>
        <v>0</v>
      </c>
      <c r="K83" s="27">
        <f>COUNTIFS(Table13[Resident''s Unit], "Transformations 2", Table13[Shift], "All", Table13[Month Received], "August")</f>
        <v>0</v>
      </c>
      <c r="L83" s="27">
        <f>COUNTIFS(Table13[Resident''s Unit], "Transformations 2", Table13[Shift], "All", Table13[Month Received], "September")</f>
        <v>0</v>
      </c>
      <c r="M83" s="27">
        <f>COUNTIFS(Table13[Resident''s Unit], "Transformations 2", Table13[Shift], "All", Table13[Month Received], "October")</f>
        <v>0</v>
      </c>
      <c r="N83" s="27">
        <f>COUNTIFS(Table13[Resident''s Unit], "Transformations 2", Table13[Shift], "All", Table13[Month Received], "November")</f>
        <v>0</v>
      </c>
      <c r="O83" s="27">
        <f>COUNTIFS(Table13[Resident''s Unit], "Transformations 2", Table13[Shift], "All", Table13[Month Received], "December")</f>
        <v>0</v>
      </c>
      <c r="P83" s="27">
        <f t="shared" si="11"/>
        <v>0</v>
      </c>
    </row>
    <row r="84" spans="1:16" x14ac:dyDescent="0.55000000000000004">
      <c r="B84" s="27"/>
      <c r="C84" s="27"/>
      <c r="D84" s="27"/>
      <c r="E84" s="27"/>
      <c r="F84" s="27"/>
      <c r="G84" s="27"/>
      <c r="H84" s="27"/>
      <c r="I84" s="27"/>
      <c r="J84" s="27"/>
      <c r="K84" s="27"/>
      <c r="L84" s="27"/>
      <c r="M84" s="27"/>
      <c r="N84" s="27"/>
      <c r="O84" s="27"/>
    </row>
    <row r="85" spans="1:16" x14ac:dyDescent="0.55000000000000004">
      <c r="A85" s="1" t="s">
        <v>409</v>
      </c>
      <c r="B85" s="27">
        <f>COUNTIFS(Table13[Resident''s Unit], "Transformations 2", Table13[Shift], "1st", Table13[1st Implicated Staff], "Tr 2 General Staff")</f>
        <v>0</v>
      </c>
      <c r="C85" s="27"/>
      <c r="D85" s="27">
        <f>COUNTIFS(Table13[Resident''s Unit], "Transformations 2", Table13[Shift], "1st", Table13[1st Implicated Staff], "Tr 2 General Staff", Table13[Month Received], "January")</f>
        <v>0</v>
      </c>
      <c r="E85" s="27">
        <f>COUNTIFS(Table13[Resident''s Unit], "Transformations 2", Table13[Shift], "1st", Table13[1st Implicated Staff], "Tr 2 General Staff", Table13[Month Received], "February")</f>
        <v>0</v>
      </c>
      <c r="F85" s="27">
        <f>COUNTIFS(Table13[Resident''s Unit], "Transformations 2", Table13[Shift], "1st", Table13[1st Implicated Staff], "Tr 2 General Staff", Table13[Month Received], "March")</f>
        <v>0</v>
      </c>
      <c r="G85" s="27">
        <f>COUNTIFS(Table13[Resident''s Unit], "Transformations 2", Table13[Shift], "1st", Table13[1st Implicated Staff], "Tr 2 General Staff", Table13[Month Received], "April")</f>
        <v>0</v>
      </c>
      <c r="H85" s="27">
        <f>COUNTIFS(Table13[Resident''s Unit], "Transformations 2", Table13[Shift], "1st", Table13[1st Implicated Staff], "Tr 2 General Staff", Table13[Month Received], "May")</f>
        <v>0</v>
      </c>
      <c r="I85" s="27">
        <f>COUNTIFS(Table13[Resident''s Unit], "Transformations 2", Table13[Shift], "1st", Table13[1st Implicated Staff], "Tr 2 General Staff", Table13[Month Received], "June")</f>
        <v>0</v>
      </c>
      <c r="J85" s="27">
        <f>COUNTIFS(Table13[Resident''s Unit], "Transformations 2", Table13[Shift], "1st", Table13[1st Implicated Staff], "Tr 2 General Staff", Table13[Month Received], "July")</f>
        <v>0</v>
      </c>
      <c r="K85" s="27">
        <f>COUNTIFS(Table13[Resident''s Unit], "Transformations 2", Table13[Shift], "1st", Table13[1st Implicated Staff], "Tr 2 General Staff", Table13[Month Received], "August")</f>
        <v>0</v>
      </c>
      <c r="L85" s="27">
        <f>COUNTIFS(Table13[Resident''s Unit], "Transformations 2", Table13[Shift], "1st", Table13[1st Implicated Staff], "Tr 2 General Staff", Table13[Month Received], "September")</f>
        <v>0</v>
      </c>
      <c r="M85" s="27">
        <f>COUNTIFS(Table13[Resident''s Unit], "Transformations 2", Table13[Shift], "1st", Table13[1st Implicated Staff], "Tr 2 General Staff", Table13[Month Received], "October")</f>
        <v>0</v>
      </c>
      <c r="N85" s="27">
        <f>COUNTIFS(Table13[Resident''s Unit], "Transformations 2", Table13[Shift], "1st", Table13[1st Implicated Staff], "Tr 2 General Staff", Table13[Month Received], "November")</f>
        <v>0</v>
      </c>
      <c r="O85" s="27">
        <f>COUNTIFS(Table13[Resident''s Unit], "Transformations 2", Table13[Shift], "1st", Table13[1st Implicated Staff], "Tr 2 General Staff", Table13[Month Received], "December")</f>
        <v>0</v>
      </c>
      <c r="P85" s="27">
        <f t="shared" ref="P85:P88" si="12">SUM(D85:O85)</f>
        <v>0</v>
      </c>
    </row>
    <row r="86" spans="1:16" x14ac:dyDescent="0.55000000000000004">
      <c r="A86" s="1" t="s">
        <v>415</v>
      </c>
      <c r="B86" s="27">
        <f>COUNTIFS(Table13[Resident''s Unit], "Transformations 2", Table13[Shift], "1st &amp; 2nd", Table13[1st Implicated Staff], "Tr 2 General Staff")</f>
        <v>0</v>
      </c>
      <c r="C86" s="27"/>
      <c r="D86" s="27">
        <f>COUNTIFS(Table13[Resident''s Unit], "Transformations 2", Table13[Shift], "1st &amp; 2nd", Table13[1st Implicated Staff], "Tr 2 General Staff", Table13[Month Received], "January")</f>
        <v>0</v>
      </c>
      <c r="E86" s="27">
        <f>COUNTIFS(Table13[Resident''s Unit], "Transformations 2", Table13[Shift], "1st &amp; 2nd", Table13[1st Implicated Staff], "Tr 2 General Staff", Table13[Month Received], "February")</f>
        <v>0</v>
      </c>
      <c r="F86" s="27">
        <f>COUNTIFS(Table13[Resident''s Unit], "Transformations 2", Table13[Shift], "1st &amp; 2nd", Table13[1st Implicated Staff], "Tr 2 General Staff", Table13[Month Received], "March")</f>
        <v>0</v>
      </c>
      <c r="G86" s="27">
        <f>COUNTIFS(Table13[Resident''s Unit], "Transformations 2", Table13[Shift], "1st &amp; 2nd", Table13[1st Implicated Staff], "Tr 2 General Staff", Table13[Month Received], "April")</f>
        <v>0</v>
      </c>
      <c r="H86" s="27">
        <f>COUNTIFS(Table13[Resident''s Unit], "Transformations 2", Table13[Shift], "1st &amp; 2nd", Table13[1st Implicated Staff], "Tr 2 General Staff", Table13[Month Received], "May")</f>
        <v>0</v>
      </c>
      <c r="I86" s="27">
        <f>COUNTIFS(Table13[Resident''s Unit], "Transformations 2", Table13[Shift], "1st  &amp; 2nd", Table13[1st Implicated Staff], "Tr 2 General Staff", Table13[Month Received], "June")</f>
        <v>0</v>
      </c>
      <c r="J86" s="27">
        <f>COUNTIFS(Table13[Resident''s Unit], "Transformations 2", Table13[Shift], "1st &amp; 2nd", Table13[1st Implicated Staff], "Tr 2 General Staff", Table13[Month Received], "July")</f>
        <v>0</v>
      </c>
      <c r="K86" s="27">
        <f>COUNTIFS(Table13[Resident''s Unit], "Transformations 2", Table13[Shift], "1st &amp; 2nd", Table13[1st Implicated Staff], "Tr 2 General Staff", Table13[Month Received], "August")</f>
        <v>0</v>
      </c>
      <c r="L86" s="27">
        <f>COUNTIFS(Table13[Resident''s Unit], "Transformations 2", Table13[Shift], "1st &amp; 2nd", Table13[1st Implicated Staff], "Tr 2 General Staff", Table13[Month Received], "September")</f>
        <v>0</v>
      </c>
      <c r="M86" s="27">
        <f>COUNTIFS(Table13[Resident''s Unit], "Transformations 2", Table13[Shift], "1st &amp; 2nd", Table13[1st Implicated Staff], "Tr 2 General Staff", Table13[Month Received], "October")</f>
        <v>0</v>
      </c>
      <c r="N86" s="27">
        <f>COUNTIFS(Table13[Resident''s Unit], "Transformations 2", Table13[Shift], "1st &amp; 2nd", Table13[1st Implicated Staff], "Tr 2 General Staff", Table13[Month Received], "November")</f>
        <v>0</v>
      </c>
      <c r="O86" s="27">
        <f>COUNTIFS(Table13[Resident''s Unit], "Transformations 2", Table13[Shift], "1st &amp; 2nd", Table13[1st Implicated Staff], "Tr 2 General Staff", Table13[Month Received], "December")</f>
        <v>0</v>
      </c>
      <c r="P86" s="27">
        <f t="shared" si="12"/>
        <v>0</v>
      </c>
    </row>
    <row r="87" spans="1:16" x14ac:dyDescent="0.55000000000000004">
      <c r="A87" s="1" t="s">
        <v>410</v>
      </c>
      <c r="B87" s="27">
        <f>COUNTIFS(Table13[Resident''s Unit], "Transformations 2", Table13[Shift], "2nd", Table13[1st Implicated Staff], "Tr 2 General Staff")</f>
        <v>0</v>
      </c>
      <c r="C87" s="27"/>
      <c r="D87" s="27">
        <f>COUNTIFS(Table13[Resident''s Unit], "Transformations 2", Table13[Shift], "2nd", Table13[1st Implicated Staff], "Tr 2 General Staff", Table13[Month Received], "January")</f>
        <v>0</v>
      </c>
      <c r="E87" s="27">
        <f>COUNTIFS(Table13[Resident''s Unit], "Transformations 2", Table13[Shift], "2nd", Table13[1st Implicated Staff], "Tr 2 General Staff", Table13[Month Received], "February")</f>
        <v>0</v>
      </c>
      <c r="F87" s="27">
        <f>COUNTIFS(Table13[Resident''s Unit], "Transformations 2", Table13[Shift], "2nd", Table13[1st Implicated Staff], "Tr 2 General Staff", Table13[Month Received], "March")</f>
        <v>0</v>
      </c>
      <c r="G87" s="27">
        <f>COUNTIFS(Table13[Resident''s Unit], "Transformations 2", Table13[Shift], "2nd", Table13[1st Implicated Staff], "Tr 2 General Staff", Table13[Month Received], "April")</f>
        <v>0</v>
      </c>
      <c r="H87" s="27">
        <f>COUNTIFS(Table13[Resident''s Unit], "Transformations 2", Table13[Shift], "2nd", Table13[1st Implicated Staff], "Tr 2 General Staff", Table13[Month Received], "May")</f>
        <v>0</v>
      </c>
      <c r="I87" s="27">
        <f>COUNTIFS(Table13[Resident''s Unit], "Transformations 2", Table13[Shift], "2nd", Table13[1st Implicated Staff], "Tr 2 General Staff", Table13[Month Received], "June")</f>
        <v>0</v>
      </c>
      <c r="J87" s="27">
        <f>COUNTIFS(Table13[Resident''s Unit], "Transformations 2", Table13[Shift], "2nd", Table13[1st Implicated Staff], "Tr 2 General Staff", Table13[Month Received], "July")</f>
        <v>0</v>
      </c>
      <c r="K87" s="27">
        <f>COUNTIFS(Table13[Resident''s Unit], "Transformations 2", Table13[Shift], "2nd", Table13[1st Implicated Staff], "Tr 2 General Staff", Table13[Month Received], "August")</f>
        <v>0</v>
      </c>
      <c r="L87" s="27">
        <f>COUNTIFS(Table13[Resident''s Unit], "Transformations 2", Table13[Shift], "2nd", Table13[1st Implicated Staff], "Tr 2 General Staff", Table13[Month Received], "September")</f>
        <v>0</v>
      </c>
      <c r="M87" s="27">
        <f>COUNTIFS(Table13[Resident''s Unit], "Transformations 2", Table13[Shift], "2nd", Table13[1st Implicated Staff], "Tr 2 General Staff", Table13[Month Received], "October")</f>
        <v>0</v>
      </c>
      <c r="N87" s="27">
        <f>COUNTIFS(Table13[Resident''s Unit], "Transformations 2", Table13[Shift], "2nd", Table13[1st Implicated Staff], "Tr 2 General Staff", Table13[Month Received], "November")</f>
        <v>0</v>
      </c>
      <c r="O87" s="27">
        <f>COUNTIFS(Table13[Resident''s Unit], "Transformations 2", Table13[Shift], "2nd", Table13[1st Implicated Staff], "Tr 2 General Staff", Table13[Month Received], "December")</f>
        <v>0</v>
      </c>
      <c r="P87" s="27">
        <f t="shared" si="12"/>
        <v>0</v>
      </c>
    </row>
    <row r="88" spans="1:16" x14ac:dyDescent="0.55000000000000004">
      <c r="A88" s="1" t="s">
        <v>416</v>
      </c>
      <c r="B88" s="27">
        <f>COUNTIFS(Table13[Resident''s Unit], "Transformations 2", Table13[Shift], "2nd &amp; 3rd", Table13[1st Implicated Staff], "Tr 2 General Staff")</f>
        <v>0</v>
      </c>
      <c r="C88" s="27"/>
      <c r="D88" s="27">
        <f>COUNTIFS(Table13[Resident''s Unit], "Transformations 2", Table13[Shift], "2nd &amp; 3rd", Table13[1st Implicated Staff], "Tr 2 General Staff", Table13[Month Received], "January")</f>
        <v>0</v>
      </c>
      <c r="E88" s="27">
        <f>COUNTIFS(Table13[Resident''s Unit], "Transformations 2", Table13[Shift], "2nd &amp; 3rd", Table13[1st Implicated Staff], "Tr 2 General Staff", Table13[Month Received], "February")</f>
        <v>0</v>
      </c>
      <c r="F88" s="27">
        <f>COUNTIFS(Table13[Resident''s Unit], "Transformations 2", Table13[Shift], "2nd &amp; 3rd", Table13[1st Implicated Staff], "Tr 2 General Staff", Table13[Month Received], "March")</f>
        <v>0</v>
      </c>
      <c r="G88" s="27">
        <f>COUNTIFS(Table13[Resident''s Unit], "Transformations 2", Table13[Shift], "2nd &amp; 3rd", Table13[1st Implicated Staff], "Tr 2 General Staff", Table13[Month Received], "April")</f>
        <v>0</v>
      </c>
      <c r="H88" s="27">
        <f>COUNTIFS(Table13[Resident''s Unit], "Transformations 2", Table13[Shift], "2nd &amp; 3rd", Table13[1st Implicated Staff], "Tr 2 General Staff", Table13[Month Received], "May")</f>
        <v>0</v>
      </c>
      <c r="I88" s="27">
        <f>COUNTIFS(Table13[Resident''s Unit], "Transformations 2", Table13[Shift], "2nd &amp; 3rd", Table13[1st Implicated Staff], "Tr 2 General Staff", Table13[Month Received], "June")</f>
        <v>0</v>
      </c>
      <c r="J88" s="27">
        <f>COUNTIFS(Table13[Resident''s Unit], "Transformations 2", Table13[Shift], "2nd &amp; 3rd", Table13[1st Implicated Staff], "Tr 2 General Staff", Table13[Month Received], "July")</f>
        <v>0</v>
      </c>
      <c r="K88" s="27">
        <f>COUNTIFS(Table13[Resident''s Unit], "Transformations 2", Table13[Shift], "2nd &amp; 3rd", Table13[1st Implicated Staff], "Tr 2 General Staff", Table13[Month Received], "August")</f>
        <v>0</v>
      </c>
      <c r="L88" s="27">
        <f>COUNTIFS(Table13[Resident''s Unit], "Transformations 2", Table13[Shift], "2nd &amp; 3rd", Table13[1st Implicated Staff], "Tr 2 General Staff", Table13[Month Received], "September")</f>
        <v>0</v>
      </c>
      <c r="M88" s="27">
        <f>COUNTIFS(Table13[Resident''s Unit], "Transformations 2", Table13[Shift], "2nd &amp; 3rd", Table13[1st Implicated Staff], "Tr 2 General Staff", Table13[Month Received], "October")</f>
        <v>0</v>
      </c>
      <c r="N88" s="27">
        <f>COUNTIFS(Table13[Resident''s Unit], "Transformations 2", Table13[Shift], "2nd &amp; 3rd", Table13[1st Implicated Staff], "Tr 2 General Staff", Table13[Month Received], "November")</f>
        <v>0</v>
      </c>
      <c r="O88" s="27">
        <f>COUNTIFS(Table13[Resident''s Unit], "Transformations 2", Table13[Shift], "2nd &amp; 3rd", Table13[1st Implicated Staff], "Tr 2 General Staff", Table13[Month Received], "December")</f>
        <v>0</v>
      </c>
      <c r="P88" s="27">
        <f t="shared" si="12"/>
        <v>0</v>
      </c>
    </row>
    <row r="89" spans="1:16" x14ac:dyDescent="0.55000000000000004">
      <c r="A89" s="1" t="s">
        <v>411</v>
      </c>
      <c r="B89" s="27">
        <f>COUNTIFS(Table13[Resident''s Unit], "Transformations 2", Table13[Shift], "3rd", Table13[1st Implicated Staff], "Tr 2 General Staff")</f>
        <v>0</v>
      </c>
      <c r="C89" s="27"/>
      <c r="D89" s="27">
        <f>COUNTIFS(Table13[Resident''s Unit], "Transformations 2", Table13[Shift], "3rd", Table13[1st Implicated Staff], "Tr 2 General Staff", Table13[Month Received], "January")</f>
        <v>0</v>
      </c>
      <c r="E89" s="27">
        <f>COUNTIFS(Table13[Resident''s Unit], "Transformations 2", Table13[Shift], "3rd", Table13[1st Implicated Staff], "Tr 2 General Staff", Table13[Month Received], "February")</f>
        <v>0</v>
      </c>
      <c r="F89" s="27">
        <f>COUNTIFS(Table13[Resident''s Unit], "Transformations 2", Table13[Shift], "3rd", Table13[1st Implicated Staff], "Tr 2 General Staff", Table13[Month Received], "March")</f>
        <v>0</v>
      </c>
      <c r="G89" s="27">
        <f>COUNTIFS(Table13[Resident''s Unit], "Transformations 2", Table13[Shift], "3rd", Table13[1st Implicated Staff], "Tr 2 General Staff", Table13[Month Received], "April")</f>
        <v>0</v>
      </c>
      <c r="H89" s="27">
        <f>COUNTIFS(Table13[Resident''s Unit], "Transformations 2", Table13[Shift], "3rd", Table13[1st Implicated Staff], "Tr 2 General Staff", Table13[Month Received], "May")</f>
        <v>0</v>
      </c>
      <c r="I89" s="27">
        <f>COUNTIFS(Table13[Resident''s Unit], "Transformations 2", Table13[Shift], "3rd", Table13[1st Implicated Staff], "Tr 2 General Staff", Table13[Month Received], "June")</f>
        <v>0</v>
      </c>
      <c r="J89" s="27">
        <f>COUNTIFS(Table13[Resident''s Unit], "Transformations 2", Table13[Shift], "3rd", Table13[1st Implicated Staff], "Tr 2 General Staff", Table13[Month Received], "July")</f>
        <v>0</v>
      </c>
      <c r="K89" s="27">
        <f>COUNTIFS(Table13[Resident''s Unit], "Transformations 2", Table13[Shift], "3rd", Table13[1st Implicated Staff], "Tr 2 General Staff", Table13[Month Received], "August")</f>
        <v>0</v>
      </c>
      <c r="L89" s="27">
        <f>COUNTIFS(Table13[Resident''s Unit], "Transformations 2", Table13[Shift], "3rd", Table13[1st Implicated Staff], "Tr 2 General Staff", Table13[Month Received], "September")</f>
        <v>0</v>
      </c>
      <c r="M89" s="27">
        <f>COUNTIFS(Table13[Resident''s Unit], "Transformations 2", Table13[Shift], "3rd", Table13[1st Implicated Staff], "Tr 2 General Staff", Table13[Month Received], "October")</f>
        <v>0</v>
      </c>
      <c r="N89" s="27">
        <f>COUNTIFS(Table13[Resident''s Unit], "Transformations 2", Table13[Shift], "3rd", Table13[1st Implicated Staff], "Tr 2 General Staff", Table13[Month Received], "November")</f>
        <v>0</v>
      </c>
      <c r="O89" s="27">
        <f>COUNTIFS(Table13[Resident''s Unit], "Transformations 2", Table13[Shift], "3rd", Table13[1st Implicated Staff], "Tr 2 General Staff", Table13[Month Received], "December")</f>
        <v>0</v>
      </c>
      <c r="P89" s="27">
        <f>SUM(D89:O89)</f>
        <v>0</v>
      </c>
    </row>
    <row r="90" spans="1:16" x14ac:dyDescent="0.55000000000000004">
      <c r="A90" s="1" t="s">
        <v>417</v>
      </c>
      <c r="B90" s="27">
        <f>COUNTIFS(Table13[Resident''s Unit], "Transformations 2", Table13[Shift], "3rd &amp; 1st", Table13[1st Implicated Staff], "Tr 2 General Staff")</f>
        <v>0</v>
      </c>
      <c r="C90" s="27"/>
      <c r="D90" s="27">
        <f>COUNTIFS(Table13[Resident''s Unit], "Transformations 2", Table13[Shift], "3rd &amp; 1st", Table13[1st Implicated Staff], "Tr 2 General Staff", Table13[Month Received], "January")</f>
        <v>0</v>
      </c>
      <c r="E90" s="27">
        <f>COUNTIFS(Table13[Resident''s Unit], "Transformations 2", Table13[Shift], "3rd &amp; 1st", Table13[1st Implicated Staff], "Tr 2 General Staff", Table13[Month Received], "February")</f>
        <v>0</v>
      </c>
      <c r="F90" s="27">
        <f>COUNTIFS(Table13[Resident''s Unit], "Transformations 2", Table13[Shift], "3rd &amp; 1st", Table13[1st Implicated Staff], "Tr 2 General Staff", Table13[Month Received], "March")</f>
        <v>0</v>
      </c>
      <c r="G90" s="27">
        <f>COUNTIFS(Table13[Resident''s Unit], "Transformations 2", Table13[Shift], "3rd &amp; 1st", Table13[1st Implicated Staff], "Tr 2 General Staff", Table13[Month Received], "April")</f>
        <v>0</v>
      </c>
      <c r="H90" s="27">
        <f>COUNTIFS(Table13[Resident''s Unit], "Transformations 2", Table13[Shift], "3rd &amp; 1st", Table13[1st Implicated Staff], "Tr 2 General Staff", Table13[Month Received], "May")</f>
        <v>0</v>
      </c>
      <c r="I90" s="27">
        <f>COUNTIFS(Table13[Resident''s Unit], "Transformations 2", Table13[Shift], "3rd &amp; 1st", Table13[1st Implicated Staff], "Tr 2 General Staff", Table13[Month Received], "June")</f>
        <v>0</v>
      </c>
      <c r="J90" s="27">
        <f>COUNTIFS(Table13[Resident''s Unit], "Transformations 2", Table13[Shift], "3rd &amp; 1st", Table13[1st Implicated Staff], "Tr 2 General Staff", Table13[Month Received], "July")</f>
        <v>0</v>
      </c>
      <c r="K90" s="27">
        <f>COUNTIFS(Table13[Resident''s Unit], "Transformations 2", Table13[Shift], "3rd &amp; 1st", Table13[1st Implicated Staff], "Tr 2 General Staff", Table13[Month Received], "August")</f>
        <v>0</v>
      </c>
      <c r="L90" s="27">
        <f>COUNTIFS(Table13[Resident''s Unit], "Transformations 2", Table13[Shift], "3rd &amp; 1st", Table13[1st Implicated Staff], "Tr 2 General Staff", Table13[Month Received], "September")</f>
        <v>0</v>
      </c>
      <c r="M90" s="27">
        <f>COUNTIFS(Table13[Resident''s Unit], "Transformations 2", Table13[Shift], "3rd &amp; 1st", Table13[1st Implicated Staff], "Tr 2 General Staff", Table13[Month Received], "October")</f>
        <v>0</v>
      </c>
      <c r="N90" s="27">
        <f>COUNTIFS(Table13[Resident''s Unit], "Transformations 2", Table13[Shift], "3rd &amp; 1st", Table13[1st Implicated Staff], "Tr 2 General Staff", Table13[Month Received], "November")</f>
        <v>0</v>
      </c>
      <c r="O90" s="27">
        <f>COUNTIFS(Table13[Resident''s Unit], "Transformations 2", Table13[Shift], "3rd &amp; 1st", Table13[1st Implicated Staff], "Tr 2 General Staff", Table13[Month Received], "December")</f>
        <v>0</v>
      </c>
      <c r="P90" s="27">
        <f t="shared" ref="P90:P91" si="13">SUM(D90:O90)</f>
        <v>0</v>
      </c>
    </row>
    <row r="91" spans="1:16" x14ac:dyDescent="0.55000000000000004">
      <c r="A91" s="1" t="s">
        <v>412</v>
      </c>
      <c r="B91" s="27">
        <f>COUNTIFS(Table13[Resident''s Unit], "Transformations 2", Table13[Shift], "All", Table13[1st Implicated Staff], "Tr 2 General Staff")</f>
        <v>0</v>
      </c>
      <c r="C91" s="27"/>
      <c r="D91" s="27">
        <f>COUNTIFS(Table13[Resident''s Unit], "Transformations 2", Table13[Shift], "All", Table13[1st Implicated Staff], "Tr 2 General Staff", Table13[Month Received], "January")</f>
        <v>0</v>
      </c>
      <c r="E91" s="27">
        <f>COUNTIFS(Table13[Resident''s Unit], "Transformations 2", Table13[Shift], "All", Table13[1st Implicated Staff], "Tr 2 General Staff", Table13[Month Received], "February")</f>
        <v>0</v>
      </c>
      <c r="F91" s="27">
        <f>COUNTIFS(Table13[Resident''s Unit], "Transformations 2", Table13[Shift], "All", Table13[1st Implicated Staff], "Tr 2 General Staff", Table13[Month Received], "March")</f>
        <v>0</v>
      </c>
      <c r="G91" s="27">
        <f>COUNTIFS(Table13[Resident''s Unit], "Transformations 2", Table13[Shift], "All", Table13[1st Implicated Staff], "Tr 2 General Staff", Table13[Month Received], "April")</f>
        <v>0</v>
      </c>
      <c r="H91" s="27">
        <f>COUNTIFS(Table13[Resident''s Unit], "Transformations 2", Table13[Shift], "All", Table13[1st Implicated Staff], "Tr 2 General Staff", Table13[Month Received], "May")</f>
        <v>0</v>
      </c>
      <c r="I91" s="27">
        <f>COUNTIFS(Table13[Resident''s Unit], "Transformations 2", Table13[Shift], "All", Table13[1st Implicated Staff], "Tr 2 General Staff", Table13[Month Received], "June")</f>
        <v>0</v>
      </c>
      <c r="J91" s="27">
        <f>COUNTIFS(Table13[Resident''s Unit], "Transformations 2", Table13[Shift], "All", Table13[1st Implicated Staff], "Tr 2 General Staff", Table13[Month Received], "July")</f>
        <v>0</v>
      </c>
      <c r="K91" s="27">
        <f>COUNTIFS(Table13[Resident''s Unit], "Transformations 2", Table13[Shift], "All", Table13[1st Implicated Staff], "Tr 2 General Staff", Table13[Month Received], "August")</f>
        <v>0</v>
      </c>
      <c r="L91" s="27">
        <f>COUNTIFS(Table13[Resident''s Unit], "Transformations 2", Table13[Shift], "All", Table13[1st Implicated Staff], "Tr 2 General Staff", Table13[Month Received], "September")</f>
        <v>0</v>
      </c>
      <c r="M91" s="27">
        <f>COUNTIFS(Table13[Resident''s Unit], "Transformations 2", Table13[Shift], "All", Table13[1st Implicated Staff], "Tr 2 General Staff", Table13[Month Received], "October")</f>
        <v>0</v>
      </c>
      <c r="N91" s="27">
        <f>COUNTIFS(Table13[Resident''s Unit], "Transformations 2", Table13[Shift], "All", Table13[1st Implicated Staff], "Tr 2 General Staff", Table13[Month Received], "November")</f>
        <v>0</v>
      </c>
      <c r="O91" s="27">
        <f>COUNTIFS(Table13[Resident''s Unit], "Transformations 2", Table13[Shift], "All", Table13[1st Implicated Staff], "Tr 2 General Staff", Table13[Month Received], "December")</f>
        <v>0</v>
      </c>
      <c r="P91" s="27">
        <f t="shared" si="13"/>
        <v>0</v>
      </c>
    </row>
    <row r="93" spans="1:16" x14ac:dyDescent="0.55000000000000004">
      <c r="A93" s="19" t="s">
        <v>62</v>
      </c>
      <c r="B93" s="129" t="s">
        <v>205</v>
      </c>
      <c r="C93" s="27" t="s">
        <v>307</v>
      </c>
      <c r="D93" s="129" t="s">
        <v>94</v>
      </c>
      <c r="E93" s="129" t="s">
        <v>95</v>
      </c>
      <c r="F93" s="129" t="s">
        <v>96</v>
      </c>
      <c r="G93" s="129" t="s">
        <v>97</v>
      </c>
      <c r="H93" s="129" t="s">
        <v>93</v>
      </c>
      <c r="I93" s="129" t="s">
        <v>98</v>
      </c>
      <c r="J93" s="129" t="s">
        <v>99</v>
      </c>
      <c r="K93" s="129" t="s">
        <v>100</v>
      </c>
      <c r="L93" s="129" t="s">
        <v>101</v>
      </c>
      <c r="M93" s="129" t="s">
        <v>102</v>
      </c>
      <c r="N93" s="129" t="s">
        <v>103</v>
      </c>
      <c r="O93" s="129" t="s">
        <v>104</v>
      </c>
      <c r="P93" s="129" t="s">
        <v>419</v>
      </c>
    </row>
    <row r="94" spans="1:16" x14ac:dyDescent="0.55000000000000004">
      <c r="A94" s="1" t="s">
        <v>406</v>
      </c>
      <c r="B94" s="27">
        <f>COUNTIFS(Table13[Resident''s Unit], "Triad", Table13[Shift], "1st")</f>
        <v>0</v>
      </c>
      <c r="C94" s="27"/>
      <c r="D94" s="27">
        <f>COUNTIFS(Table13[Resident''s Unit], "Triad", Table13[Shift], "1st", Table13[Month Received], "January")</f>
        <v>0</v>
      </c>
      <c r="E94" s="27">
        <f>COUNTIFS(Table13[Resident''s Unit], "Triad", Table13[Shift], "1st", Table13[Month Received], "February")</f>
        <v>0</v>
      </c>
      <c r="F94" s="27">
        <f>COUNTIFS(Table13[Resident''s Unit], "Triad", Table13[Shift], "1st", Table13[Month Received], "March")</f>
        <v>0</v>
      </c>
      <c r="G94" s="27">
        <f>COUNTIFS(Table13[Resident''s Unit], "Triad", Table13[Shift], "1st", Table13[Month Received], "April")</f>
        <v>0</v>
      </c>
      <c r="H94" s="27">
        <f>COUNTIFS(Table13[Resident''s Unit], "Triad", Table13[Shift], "1st", Table13[Month Received], "May")</f>
        <v>0</v>
      </c>
      <c r="I94" s="27">
        <f>COUNTIFS(Table13[Resident''s Unit], "Triad", Table13[Shift], "1st", Table13[Month Received], "June")</f>
        <v>0</v>
      </c>
      <c r="J94" s="27">
        <f>COUNTIFS(Table13[Resident''s Unit], "Triad", Table13[Shift], "1st", Table13[Month Received], "July")</f>
        <v>0</v>
      </c>
      <c r="K94" s="27">
        <f>COUNTIFS(Table13[Resident''s Unit], "Triad", Table13[Shift], "1st", Table13[Month Received], "August")</f>
        <v>0</v>
      </c>
      <c r="L94" s="27">
        <f>COUNTIFS(Table13[Resident''s Unit], "Triad", Table13[Shift], "1st", Table13[Month Received], "September")</f>
        <v>0</v>
      </c>
      <c r="M94" s="27">
        <f>COUNTIFS(Table13[Resident''s Unit], "Triad", Table13[Shift], "1st", Table13[Month Received], "October")</f>
        <v>0</v>
      </c>
      <c r="N94" s="27">
        <f>COUNTIFS(Table13[Resident''s Unit], "Triad", Table13[Shift], "1st", Table13[Month Received], "November")</f>
        <v>0</v>
      </c>
      <c r="O94" s="27">
        <f>COUNTIFS(Table13[Resident''s Unit], "Triad", Table13[Shift], "1st", Table13[Month Received], "December")</f>
        <v>0</v>
      </c>
      <c r="P94" s="27">
        <f>SUM(D94:O94)</f>
        <v>0</v>
      </c>
    </row>
    <row r="95" spans="1:16" x14ac:dyDescent="0.55000000000000004">
      <c r="A95" s="1" t="s">
        <v>415</v>
      </c>
      <c r="B95" s="27">
        <f>COUNTIFS(Table13[Resident''s Unit], "Triad", Table13[Shift], "1st &amp; 2nd")</f>
        <v>0</v>
      </c>
      <c r="C95" s="27"/>
      <c r="D95" s="27">
        <f>COUNTIFS(Table13[Resident''s Unit], "Triad", Table13[Shift], "1st &amp; 2nd", Table13[Month Received], "January")</f>
        <v>0</v>
      </c>
      <c r="E95" s="27">
        <f>COUNTIFS(Table13[Resident''s Unit], "Triad", Table13[Shift], "1st &amp; 2nd", Table13[Month Received], "February")</f>
        <v>0</v>
      </c>
      <c r="F95" s="27">
        <f>COUNTIFS(Table13[Resident''s Unit], "Triad", Table13[Shift], "1st &amp; 2nd", Table13[Month Received], "March")</f>
        <v>0</v>
      </c>
      <c r="G95" s="27">
        <f>COUNTIFS(Table13[Resident''s Unit], "Triad", Table13[Shift], "1st &amp; 2nd", Table13[Month Received], "April")</f>
        <v>0</v>
      </c>
      <c r="H95" s="27">
        <f>COUNTIFS(Table13[Resident''s Unit], "Triad", Table13[Shift], "1st &amp; 2nd", Table13[Month Received], "May")</f>
        <v>0</v>
      </c>
      <c r="I95" s="27">
        <f>COUNTIFS(Table13[Resident''s Unit], "Triad", Table13[Shift], "1st &amp; 2nd", Table13[Month Received], "June")</f>
        <v>0</v>
      </c>
      <c r="J95" s="27">
        <f>COUNTIFS(Table13[Resident''s Unit], "Triad", Table13[Shift], "1st &amp; 2nd", Table13[Month Received], "July")</f>
        <v>0</v>
      </c>
      <c r="K95" s="27">
        <f>COUNTIFS(Table13[Resident''s Unit], "Triad", Table13[Shift], "1st &amp; 2nd", Table13[Month Received], "August")</f>
        <v>0</v>
      </c>
      <c r="L95" s="27">
        <f>COUNTIFS(Table13[Resident''s Unit], "Triad", Table13[Shift], "1st &amp; 2nd", Table13[Month Received], "September")</f>
        <v>0</v>
      </c>
      <c r="M95" s="27">
        <f>COUNTIFS(Table13[Resident''s Unit], "Triad", Table13[Shift], "1st &amp; 2nd", Table13[Month Received], "October")</f>
        <v>0</v>
      </c>
      <c r="N95" s="27">
        <f>COUNTIFS(Table13[Resident''s Unit], "Triad", Table13[Shift], "1st &amp; 2nd", Table13[Month Received], "November")</f>
        <v>0</v>
      </c>
      <c r="O95" s="27">
        <f>COUNTIFS(Table13[Resident''s Unit], "Triad", Table13[Shift], "1st &amp; 2nd", Table13[Month Received], "December")</f>
        <v>0</v>
      </c>
      <c r="P95" s="27">
        <f t="shared" ref="P95:P100" si="14">SUM(D95:O95)</f>
        <v>0</v>
      </c>
    </row>
    <row r="96" spans="1:16" x14ac:dyDescent="0.55000000000000004">
      <c r="A96" s="1" t="s">
        <v>407</v>
      </c>
      <c r="B96" s="27">
        <f>COUNTIFS(Table13[Resident''s Unit], "Triad", Table13[Shift], "2nd")</f>
        <v>0</v>
      </c>
      <c r="C96" s="27"/>
      <c r="D96" s="27">
        <f>COUNTIFS(Table13[Resident''s Unit], "Triad", Table13[Shift], "2nd", Table13[Month Received], "January")</f>
        <v>0</v>
      </c>
      <c r="E96" s="27">
        <f>COUNTIFS(Table13[Resident''s Unit], "Triad", Table13[Shift], "2nd", Table13[Month Received], "February")</f>
        <v>0</v>
      </c>
      <c r="F96" s="27">
        <f>COUNTIFS(Table13[Resident''s Unit], "Triad", Table13[Shift], "2nd", Table13[Month Received], "March")</f>
        <v>0</v>
      </c>
      <c r="G96" s="27">
        <f>COUNTIFS(Table13[Resident''s Unit], "Triad", Table13[Shift], "2nd", Table13[Month Received], "April")</f>
        <v>0</v>
      </c>
      <c r="H96" s="27">
        <f>COUNTIFS(Table13[Resident''s Unit], "Triad", Table13[Shift], "2nd", Table13[Month Received], "May")</f>
        <v>0</v>
      </c>
      <c r="I96" s="27">
        <f>COUNTIFS(Table13[Resident''s Unit], "Triad", Table13[Shift], "2nd", Table13[Month Received], "June")</f>
        <v>0</v>
      </c>
      <c r="J96" s="27">
        <f>COUNTIFS(Table13[Resident''s Unit], "Triad", Table13[Shift], "2nd", Table13[Month Received], "July")</f>
        <v>0</v>
      </c>
      <c r="K96" s="27">
        <f>COUNTIFS(Table13[Resident''s Unit], "Triad", Table13[Shift], "2nd", Table13[Month Received], "August")</f>
        <v>0</v>
      </c>
      <c r="L96" s="27">
        <f>COUNTIFS(Table13[Resident''s Unit], "Triad", Table13[Shift], "2nd", Table13[Month Received], "September")</f>
        <v>0</v>
      </c>
      <c r="M96" s="27">
        <f>COUNTIFS(Table13[Resident''s Unit], "Triad", Table13[Shift], "2nd", Table13[Month Received], "October")</f>
        <v>0</v>
      </c>
      <c r="N96" s="27">
        <f>COUNTIFS(Table13[Resident''s Unit], "Triad", Table13[Shift], "2nd", Table13[Month Received], "November")</f>
        <v>0</v>
      </c>
      <c r="O96" s="27">
        <f>COUNTIFS(Table13[Resident''s Unit], "Triad", Table13[Shift], "2nd", Table13[Month Received], "December")</f>
        <v>0</v>
      </c>
      <c r="P96" s="27">
        <f t="shared" si="14"/>
        <v>0</v>
      </c>
    </row>
    <row r="97" spans="1:16" x14ac:dyDescent="0.55000000000000004">
      <c r="A97" s="1" t="s">
        <v>416</v>
      </c>
      <c r="B97" s="27">
        <f>COUNTIFS(Table13[Resident''s Unit], "Triad", Table13[Shift], "2nd &amp; 3rd")</f>
        <v>0</v>
      </c>
      <c r="C97" s="27"/>
      <c r="D97" s="27">
        <f>COUNTIFS(Table13[Resident''s Unit], "Triad", Table13[Shift], "2nd &amp; 3rd", Table13[Month Received], "January")</f>
        <v>0</v>
      </c>
      <c r="E97" s="27">
        <f>COUNTIFS(Table13[Resident''s Unit], "Triad", Table13[Shift], "2nd &amp; 3rd", Table13[Month Received], "February")</f>
        <v>0</v>
      </c>
      <c r="F97" s="27">
        <f>COUNTIFS(Table13[Resident''s Unit], "Triad", Table13[Shift], "2nd &amp; 3rd", Table13[Month Received], "March")</f>
        <v>0</v>
      </c>
      <c r="G97" s="27">
        <f>COUNTIFS(Table13[Resident''s Unit], "Triad", Table13[Shift], "2nd &amp; 3rd", Table13[Month Received], "April")</f>
        <v>0</v>
      </c>
      <c r="H97" s="27">
        <f>COUNTIFS(Table13[Resident''s Unit], "Triad", Table13[Shift], "2nd &amp; 3rd", Table13[Month Received], "May")</f>
        <v>0</v>
      </c>
      <c r="I97" s="27">
        <f>COUNTIFS(Table13[Resident''s Unit], "Triad", Table13[Shift], "2nd &amp; 3rd", Table13[Month Received], "June")</f>
        <v>0</v>
      </c>
      <c r="J97" s="27">
        <f>COUNTIFS(Table13[Resident''s Unit], "Triad", Table13[Shift], "2nd &amp; 3rd", Table13[Month Received], "July")</f>
        <v>0</v>
      </c>
      <c r="K97" s="27">
        <f>COUNTIFS(Table13[Resident''s Unit], "Triad", Table13[Shift], "2nd &amp; 3rd", Table13[Month Received], "August")</f>
        <v>0</v>
      </c>
      <c r="L97" s="27">
        <f>COUNTIFS(Table13[Resident''s Unit], "Triad", Table13[Shift], "2nd &amp; 3rd", Table13[Month Received], "September")</f>
        <v>0</v>
      </c>
      <c r="M97" s="27">
        <f>COUNTIFS(Table13[Resident''s Unit], "Triad", Table13[Shift], "2nd &amp; 3rd", Table13[Month Received], "October")</f>
        <v>0</v>
      </c>
      <c r="N97" s="27">
        <f>COUNTIFS(Table13[Resident''s Unit], "Triad", Table13[Shift], "2nd &amp; 3rd", Table13[Month Received], "November")</f>
        <v>0</v>
      </c>
      <c r="O97" s="27">
        <f>COUNTIFS(Table13[Resident''s Unit], "Triad", Table13[Shift], "2nd &amp; 3rd", Table13[Month Received], "December")</f>
        <v>0</v>
      </c>
      <c r="P97" s="27">
        <f t="shared" si="14"/>
        <v>0</v>
      </c>
    </row>
    <row r="98" spans="1:16" x14ac:dyDescent="0.55000000000000004">
      <c r="A98" s="1" t="s">
        <v>408</v>
      </c>
      <c r="B98" s="27">
        <f>COUNTIFS(Table13[Resident''s Unit], "Triad", Table13[Shift], "3rd")</f>
        <v>0</v>
      </c>
      <c r="C98" s="27"/>
      <c r="D98" s="27">
        <f>COUNTIFS(Table13[Resident''s Unit], "Triad", Table13[Shift], "3rd", Table13[Month Received], "January")</f>
        <v>0</v>
      </c>
      <c r="E98" s="27">
        <f>COUNTIFS(Table13[Resident''s Unit], "Triad", Table13[Shift], "3rd", Table13[Month Received], "February")</f>
        <v>0</v>
      </c>
      <c r="F98" s="27">
        <f>COUNTIFS(Table13[Resident''s Unit], "Triad", Table13[Shift], "3rd", Table13[Month Received], "March")</f>
        <v>0</v>
      </c>
      <c r="G98" s="27">
        <f>COUNTIFS(Table13[Resident''s Unit], "Triad", Table13[Shift], "3rd", Table13[Month Received], "April")</f>
        <v>0</v>
      </c>
      <c r="H98" s="27">
        <f>COUNTIFS(Table13[Resident''s Unit], "Triad", Table13[Shift], "3rd", Table13[Month Received], "May")</f>
        <v>0</v>
      </c>
      <c r="I98" s="27">
        <f>COUNTIFS(Table13[Resident''s Unit], "Triad", Table13[Shift], "3rd", Table13[Month Received], "June")</f>
        <v>0</v>
      </c>
      <c r="J98" s="27">
        <f>COUNTIFS(Table13[Resident''s Unit], "Triad", Table13[Shift], "3rd", Table13[Month Received], "July")</f>
        <v>0</v>
      </c>
      <c r="K98" s="27">
        <f>COUNTIFS(Table13[Resident''s Unit], "Triad", Table13[Shift], "3rd", Table13[Month Received], "August")</f>
        <v>0</v>
      </c>
      <c r="L98" s="27">
        <f>COUNTIFS(Table13[Resident''s Unit], "Triad", Table13[Shift], "3rd", Table13[Month Received], "September")</f>
        <v>0</v>
      </c>
      <c r="M98" s="27">
        <f>COUNTIFS(Table13[Resident''s Unit], "Triad", Table13[Shift], "3rd", Table13[Month Received], "October")</f>
        <v>0</v>
      </c>
      <c r="N98" s="27">
        <f>COUNTIFS(Table13[Resident''s Unit], "Triad", Table13[Shift], "3rd", Table13[Month Received], "November")</f>
        <v>0</v>
      </c>
      <c r="O98" s="27">
        <f>COUNTIFS(Table13[Resident''s Unit], "Triad", Table13[Shift], "3rd", Table13[Month Received], "December")</f>
        <v>0</v>
      </c>
      <c r="P98" s="27">
        <f t="shared" si="14"/>
        <v>0</v>
      </c>
    </row>
    <row r="99" spans="1:16" x14ac:dyDescent="0.55000000000000004">
      <c r="A99" s="1" t="s">
        <v>418</v>
      </c>
      <c r="B99" s="27">
        <f>COUNTIFS(Table13[Resident''s Unit], "Triad", Table13[Shift], "3rd &amp; 1st")</f>
        <v>0</v>
      </c>
      <c r="C99" s="27"/>
      <c r="D99" s="27">
        <f>COUNTIFS(Table13[Resident''s Unit], "Triad", Table13[Shift], "3rd &amp; 1st", Table13[Month Received], "January")</f>
        <v>0</v>
      </c>
      <c r="E99" s="27">
        <f>COUNTIFS(Table13[Resident''s Unit], "Triad", Table13[Shift], "3rd &amp; 1st", Table13[Month Received], "February")</f>
        <v>0</v>
      </c>
      <c r="F99" s="27">
        <f>COUNTIFS(Table13[Resident''s Unit], "Triad", Table13[Shift], "3rd &amp; 1st", Table13[Month Received], "March")</f>
        <v>0</v>
      </c>
      <c r="G99" s="27">
        <f>COUNTIFS(Table13[Resident''s Unit], "Triad", Table13[Shift], "3rd &amp; 1st", Table13[Month Received], "April")</f>
        <v>0</v>
      </c>
      <c r="H99" s="27">
        <f>COUNTIFS(Table13[Resident''s Unit], "Triad", Table13[Shift], "3rd &amp; 1st", Table13[Month Received], "May")</f>
        <v>0</v>
      </c>
      <c r="I99" s="27">
        <f>COUNTIFS(Table13[Resident''s Unit], "Triad", Table13[Shift], "3rd &amp; 1st", Table13[Month Received], "June")</f>
        <v>0</v>
      </c>
      <c r="J99" s="27">
        <f>COUNTIFS(Table13[Resident''s Unit], "Triad", Table13[Shift], "3rd &amp; 1st", Table13[Month Received], "July")</f>
        <v>0</v>
      </c>
      <c r="K99" s="27">
        <f>COUNTIFS(Table13[Resident''s Unit], "Triad", Table13[Shift], "3rd &amp; 1st", Table13[Month Received], "August")</f>
        <v>0</v>
      </c>
      <c r="L99" s="27">
        <f>COUNTIFS(Table13[Resident''s Unit], "Triad", Table13[Shift], "3rd &amp; 1st", Table13[Month Received], "September")</f>
        <v>0</v>
      </c>
      <c r="M99" s="27">
        <f>COUNTIFS(Table13[Resident''s Unit], "Triad", Table13[Shift], "3rd &amp; 1st", Table13[Month Received], "October")</f>
        <v>0</v>
      </c>
      <c r="N99" s="27">
        <f>COUNTIFS(Table13[Resident''s Unit], "Triad", Table13[Shift], "3rd &amp; 1st", Table13[Month Received], "November")</f>
        <v>0</v>
      </c>
      <c r="O99" s="27">
        <f>COUNTIFS(Table13[Resident''s Unit], "Triad", Table13[Shift], "3rd &amp; 1st", Table13[Month Received], "December")</f>
        <v>0</v>
      </c>
      <c r="P99" s="27">
        <f t="shared" si="14"/>
        <v>0</v>
      </c>
    </row>
    <row r="100" spans="1:16" x14ac:dyDescent="0.55000000000000004">
      <c r="A100" s="1" t="s">
        <v>412</v>
      </c>
      <c r="B100" s="27">
        <f>COUNTIFS(Table13[Resident''s Unit], "Triad", Table13[Shift], "All")</f>
        <v>0</v>
      </c>
      <c r="C100" s="27"/>
      <c r="D100" s="27">
        <f>COUNTIFS(Table13[Resident''s Unit], "Triad", Table13[Shift], "All", Table13[Month Received], "January")</f>
        <v>0</v>
      </c>
      <c r="E100" s="27">
        <f>COUNTIFS(Table13[Resident''s Unit], "Triad", Table13[Shift], "All", Table13[Month Received], "February")</f>
        <v>0</v>
      </c>
      <c r="F100" s="27">
        <f>COUNTIFS(Table13[Resident''s Unit], "Triad", Table13[Shift], "All", Table13[Month Received], "March")</f>
        <v>0</v>
      </c>
      <c r="G100" s="27">
        <f>COUNTIFS(Table13[Resident''s Unit], "Triad", Table13[Shift], "All", Table13[Month Received], "April")</f>
        <v>0</v>
      </c>
      <c r="H100" s="27">
        <f>COUNTIFS(Table13[Resident''s Unit], "Triad", Table13[Shift], "All", Table13[Month Received], "May")</f>
        <v>0</v>
      </c>
      <c r="I100" s="27">
        <f>COUNTIFS(Table13[Resident''s Unit], "Triad", Table13[Shift], "All", Table13[Month Received], "June")</f>
        <v>0</v>
      </c>
      <c r="J100" s="27">
        <f>COUNTIFS(Table13[Resident''s Unit], "Triad", Table13[Shift], "All", Table13[Month Received], "July")</f>
        <v>0</v>
      </c>
      <c r="K100" s="27">
        <f>COUNTIFS(Table13[Resident''s Unit], "Triad", Table13[Shift], "All", Table13[Month Received], "August")</f>
        <v>0</v>
      </c>
      <c r="L100" s="27">
        <f>COUNTIFS(Table13[Resident''s Unit], "Triad", Table13[Shift], "All", Table13[Month Received], "September")</f>
        <v>0</v>
      </c>
      <c r="M100" s="27">
        <f>COUNTIFS(Table13[Resident''s Unit], "Triad", Table13[Shift], "All", Table13[Month Received], "October")</f>
        <v>0</v>
      </c>
      <c r="N100" s="27">
        <f>COUNTIFS(Table13[Resident''s Unit], "Triad", Table13[Shift], "All", Table13[Month Received], "November")</f>
        <v>0</v>
      </c>
      <c r="O100" s="27">
        <f>COUNTIFS(Table13[Resident''s Unit], "Triad", Table13[Shift], "All", Table13[Month Received], "December")</f>
        <v>0</v>
      </c>
      <c r="P100" s="27">
        <f t="shared" si="14"/>
        <v>0</v>
      </c>
    </row>
    <row r="101" spans="1:16" x14ac:dyDescent="0.55000000000000004">
      <c r="B101" s="27"/>
      <c r="C101" s="27"/>
      <c r="D101" s="27"/>
      <c r="E101" s="27"/>
      <c r="F101" s="27"/>
      <c r="G101" s="27"/>
      <c r="H101" s="27"/>
      <c r="I101" s="27"/>
      <c r="J101" s="27"/>
      <c r="K101" s="27"/>
      <c r="L101" s="27"/>
      <c r="M101" s="27"/>
      <c r="N101" s="27"/>
      <c r="O101" s="27"/>
    </row>
    <row r="102" spans="1:16" x14ac:dyDescent="0.55000000000000004">
      <c r="A102" s="1" t="s">
        <v>409</v>
      </c>
      <c r="B102" s="27">
        <f>COUNTIFS(Table13[Resident''s Unit], "Triad", Table13[Shift], "1st", Table13[1st Implicated Staff], "Triad General Staff")</f>
        <v>0</v>
      </c>
      <c r="C102" s="27"/>
      <c r="D102" s="27">
        <f>COUNTIFS(Table13[Resident''s Unit], "Triad", Table13[Shift], "1st", Table13[1st Implicated Staff], "Triad General Staff", Table13[Month Received], "January")</f>
        <v>0</v>
      </c>
      <c r="E102" s="27">
        <f>COUNTIFS(Table13[Resident''s Unit], "Triad", Table13[Shift], "1st", Table13[1st Implicated Staff], "Triad General Staff", Table13[Month Received], "February")</f>
        <v>0</v>
      </c>
      <c r="F102" s="27">
        <f>COUNTIFS(Table13[Resident''s Unit], "Triad", Table13[Shift], "1st", Table13[1st Implicated Staff], "Triad General Staff", Table13[Month Received], "March")</f>
        <v>0</v>
      </c>
      <c r="G102" s="27">
        <f>COUNTIFS(Table13[Resident''s Unit], "Triad", Table13[Shift], "1st", Table13[1st Implicated Staff], "Triad General Staff", Table13[Month Received], "April")</f>
        <v>0</v>
      </c>
      <c r="H102" s="27">
        <f>COUNTIFS(Table13[Resident''s Unit], "Triad", Table13[Shift], "1st", Table13[1st Implicated Staff], "Triad General Staff", Table13[Month Received], "May")</f>
        <v>0</v>
      </c>
      <c r="I102" s="27">
        <f>COUNTIFS(Table13[Resident''s Unit], "Triad", Table13[Shift], "1st", Table13[1st Implicated Staff], "Triad General Staff", Table13[Month Received], "June")</f>
        <v>0</v>
      </c>
      <c r="J102" s="27">
        <f>COUNTIFS(Table13[Resident''s Unit], "Triad", Table13[Shift], "1st", Table13[1st Implicated Staff], "Triad General Staff", Table13[Month Received], "July")</f>
        <v>0</v>
      </c>
      <c r="K102" s="27">
        <f>COUNTIFS(Table13[Resident''s Unit], "Triad", Table13[Shift], "1st", Table13[1st Implicated Staff], "Triad General Staff", Table13[Month Received], "August")</f>
        <v>0</v>
      </c>
      <c r="L102" s="27">
        <f>COUNTIFS(Table13[Resident''s Unit], "Triad", Table13[Shift], "1st", Table13[1st Implicated Staff], "Triad General Staff", Table13[Month Received], "September")</f>
        <v>0</v>
      </c>
      <c r="M102" s="27">
        <f>COUNTIFS(Table13[Resident''s Unit], "Triad", Table13[Shift], "1st", Table13[1st Implicated Staff], "Triad General Staff", Table13[Month Received], "October")</f>
        <v>0</v>
      </c>
      <c r="N102" s="27">
        <f>COUNTIFS(Table13[Resident''s Unit], "Triad", Table13[Shift], "1st", Table13[1st Implicated Staff], "Triad General Staff", Table13[Month Received], "November")</f>
        <v>0</v>
      </c>
      <c r="O102" s="27">
        <f>COUNTIFS(Table13[Resident''s Unit], "Triad", Table13[Shift], "1st", Table13[1st Implicated Staff], "Triad General Staff", Table13[Month Received], "December")</f>
        <v>0</v>
      </c>
      <c r="P102" s="27">
        <f t="shared" ref="P102:P105" si="15">SUM(D102:O102)</f>
        <v>0</v>
      </c>
    </row>
    <row r="103" spans="1:16" x14ac:dyDescent="0.55000000000000004">
      <c r="A103" s="1" t="s">
        <v>415</v>
      </c>
      <c r="B103" s="27">
        <f>COUNTIFS(Table13[Resident''s Unit], "Triad", Table13[Shift], "1st &amp; 2nd", Table13[1st Implicated Staff], "Triad General Staff")</f>
        <v>0</v>
      </c>
      <c r="C103" s="27"/>
      <c r="D103" s="27">
        <f>COUNTIFS(Table13[Resident''s Unit], "Triad", Table13[Shift], "1st &amp; 2nd", Table13[1st Implicated Staff], "Triad General Staff", Table13[Month Received], "January")</f>
        <v>0</v>
      </c>
      <c r="E103" s="27">
        <f>COUNTIFS(Table13[Resident''s Unit], "Triad", Table13[Shift], "1st &amp; 2nd", Table13[1st Implicated Staff], "Triad General Staff", Table13[Month Received], "February")</f>
        <v>0</v>
      </c>
      <c r="F103" s="27">
        <f>COUNTIFS(Table13[Resident''s Unit], "Triad", Table13[Shift], "1st &amp; 2nd", Table13[1st Implicated Staff], "Triad General Staff", Table13[Month Received], "March")</f>
        <v>0</v>
      </c>
      <c r="G103" s="27">
        <f>COUNTIFS(Table13[Resident''s Unit], "Triad", Table13[Shift], "1st &amp; 2nd", Table13[1st Implicated Staff], "Triad General Staff", Table13[Month Received], "April")</f>
        <v>0</v>
      </c>
      <c r="H103" s="27">
        <f>COUNTIFS(Table13[Resident''s Unit], "Triad", Table13[Shift], "1st &amp; 2nd", Table13[1st Implicated Staff], "Triad General Staff", Table13[Month Received], "May")</f>
        <v>0</v>
      </c>
      <c r="I103" s="27">
        <f>COUNTIFS(Table13[Resident''s Unit], "Triad", Table13[Shift], "1st  &amp; 2nd", Table13[1st Implicated Staff], "Triad General Staff", Table13[Month Received], "June")</f>
        <v>0</v>
      </c>
      <c r="J103" s="27">
        <f>COUNTIFS(Table13[Resident''s Unit], "Triad", Table13[Shift], "1st &amp; 2nd", Table13[1st Implicated Staff], "Triad General Staff", Table13[Month Received], "July")</f>
        <v>0</v>
      </c>
      <c r="K103" s="27">
        <f>COUNTIFS(Table13[Resident''s Unit], "Triad", Table13[Shift], "1st &amp; 2nd", Table13[1st Implicated Staff], "Triad General Staff", Table13[Month Received], "August")</f>
        <v>0</v>
      </c>
      <c r="L103" s="27">
        <f>COUNTIFS(Table13[Resident''s Unit], "Triad", Table13[Shift], "1st &amp; 2nd", Table13[1st Implicated Staff], "Triad General Staff", Table13[Month Received], "September")</f>
        <v>0</v>
      </c>
      <c r="M103" s="27">
        <f>COUNTIFS(Table13[Resident''s Unit], "Triad", Table13[Shift], "1st &amp; 2nd", Table13[1st Implicated Staff], "Triad General Staff", Table13[Month Received], "October")</f>
        <v>0</v>
      </c>
      <c r="N103" s="27">
        <f>COUNTIFS(Table13[Resident''s Unit], "Triad", Table13[Shift], "1st &amp; 2nd", Table13[1st Implicated Staff], "Triad General Staff", Table13[Month Received], "November")</f>
        <v>0</v>
      </c>
      <c r="O103" s="27">
        <f>COUNTIFS(Table13[Resident''s Unit], "Triad", Table13[Shift], "1st &amp; 2nd", Table13[1st Implicated Staff], "Triad General Staff", Table13[Month Received], "December")</f>
        <v>0</v>
      </c>
      <c r="P103" s="27">
        <f t="shared" si="15"/>
        <v>0</v>
      </c>
    </row>
    <row r="104" spans="1:16" x14ac:dyDescent="0.55000000000000004">
      <c r="A104" s="1" t="s">
        <v>410</v>
      </c>
      <c r="B104" s="27">
        <f>COUNTIFS(Table13[Resident''s Unit], "Triad", Table13[Shift], "2nd", Table13[1st Implicated Staff], "Triad General Staff")</f>
        <v>0</v>
      </c>
      <c r="C104" s="27"/>
      <c r="D104" s="27">
        <f>COUNTIFS(Table13[Resident''s Unit], "Triad", Table13[Shift], "2nd", Table13[1st Implicated Staff], "Triad General Staff", Table13[Month Received], "January")</f>
        <v>0</v>
      </c>
      <c r="E104" s="27">
        <f>COUNTIFS(Table13[Resident''s Unit], "Triad", Table13[Shift], "2nd", Table13[1st Implicated Staff], "Triad General Staff", Table13[Month Received], "February")</f>
        <v>0</v>
      </c>
      <c r="F104" s="27">
        <f>COUNTIFS(Table13[Resident''s Unit], "Triad", Table13[Shift], "2nd", Table13[1st Implicated Staff], "Triad General Staff", Table13[Month Received], "March")</f>
        <v>0</v>
      </c>
      <c r="G104" s="27">
        <f>COUNTIFS(Table13[Resident''s Unit], "Triad", Table13[Shift], "2nd", Table13[1st Implicated Staff], "Triad General Staff", Table13[Month Received], "April")</f>
        <v>0</v>
      </c>
      <c r="H104" s="27">
        <f>COUNTIFS(Table13[Resident''s Unit], "Triad", Table13[Shift], "2nd", Table13[1st Implicated Staff], "Triad General Staff", Table13[Month Received], "May")</f>
        <v>0</v>
      </c>
      <c r="I104" s="27">
        <f>COUNTIFS(Table13[Resident''s Unit], "Triad", Table13[Shift], "2nd", Table13[1st Implicated Staff], "Triad General Staff", Table13[Month Received], "June")</f>
        <v>0</v>
      </c>
      <c r="J104" s="27">
        <f>COUNTIFS(Table13[Resident''s Unit], "Triad", Table13[Shift], "2nd", Table13[1st Implicated Staff], "Triad General Staff", Table13[Month Received], "July")</f>
        <v>0</v>
      </c>
      <c r="K104" s="27">
        <f>COUNTIFS(Table13[Resident''s Unit], "Triad", Table13[Shift], "2nd", Table13[1st Implicated Staff], "Triad General Staff", Table13[Month Received], "August")</f>
        <v>0</v>
      </c>
      <c r="L104" s="27">
        <f>COUNTIFS(Table13[Resident''s Unit], "Triad", Table13[Shift], "2nd", Table13[1st Implicated Staff], "Triad General Staff", Table13[Month Received], "September")</f>
        <v>0</v>
      </c>
      <c r="M104" s="27">
        <f>COUNTIFS(Table13[Resident''s Unit], "Triad", Table13[Shift], "2nd", Table13[1st Implicated Staff], "Triad General Staff", Table13[Month Received], "October")</f>
        <v>0</v>
      </c>
      <c r="N104" s="27">
        <f>COUNTIFS(Table13[Resident''s Unit], "Triad", Table13[Shift], "2nd", Table13[1st Implicated Staff], "Triad General Staff", Table13[Month Received], "November")</f>
        <v>0</v>
      </c>
      <c r="O104" s="27">
        <f>COUNTIFS(Table13[Resident''s Unit], "Triad", Table13[Shift], "2nd", Table13[1st Implicated Staff], "Triad General Staff", Table13[Month Received], "December")</f>
        <v>0</v>
      </c>
      <c r="P104" s="27">
        <f t="shared" si="15"/>
        <v>0</v>
      </c>
    </row>
    <row r="105" spans="1:16" x14ac:dyDescent="0.55000000000000004">
      <c r="A105" s="1" t="s">
        <v>416</v>
      </c>
      <c r="B105" s="27">
        <f>COUNTIFS(Table13[Resident''s Unit], "Triad", Table13[Shift], "2nd &amp; 3rd", Table13[1st Implicated Staff], "Triad General Staff")</f>
        <v>0</v>
      </c>
      <c r="C105" s="27"/>
      <c r="D105" s="27">
        <f>COUNTIFS(Table13[Resident''s Unit], "Triad", Table13[Shift], "2nd &amp; 3rd", Table13[1st Implicated Staff], "Triad General Staff", Table13[Month Received], "January")</f>
        <v>0</v>
      </c>
      <c r="E105" s="27">
        <f>COUNTIFS(Table13[Resident''s Unit], "Triad", Table13[Shift], "2nd &amp; 3rd", Table13[1st Implicated Staff], "Triad General Staff", Table13[Month Received], "February")</f>
        <v>0</v>
      </c>
      <c r="F105" s="27">
        <f>COUNTIFS(Table13[Resident''s Unit], "Triad", Table13[Shift], "2nd &amp; 3rd", Table13[1st Implicated Staff], "Triad General Staff", Table13[Month Received], "March")</f>
        <v>0</v>
      </c>
      <c r="G105" s="27">
        <f>COUNTIFS(Table13[Resident''s Unit], "Triad", Table13[Shift], "2nd &amp; 3rd", Table13[1st Implicated Staff], "Triad General Staff", Table13[Month Received], "April")</f>
        <v>0</v>
      </c>
      <c r="H105" s="27">
        <f>COUNTIFS(Table13[Resident''s Unit], "Triad", Table13[Shift], "2nd &amp; 3rd", Table13[1st Implicated Staff], "Triad General Staff", Table13[Month Received], "May")</f>
        <v>0</v>
      </c>
      <c r="I105" s="27">
        <f>COUNTIFS(Table13[Resident''s Unit], "Triad", Table13[Shift], "2nd &amp; 3rd", Table13[1st Implicated Staff], "Triad General Staff", Table13[Month Received], "June")</f>
        <v>0</v>
      </c>
      <c r="J105" s="27">
        <f>COUNTIFS(Table13[Resident''s Unit], "Triad", Table13[Shift], "2nd &amp; 3rd", Table13[1st Implicated Staff], "Triad General Staff", Table13[Month Received], "July")</f>
        <v>0</v>
      </c>
      <c r="K105" s="27">
        <f>COUNTIFS(Table13[Resident''s Unit], "Triad", Table13[Shift], "2nd &amp; 3rd", Table13[1st Implicated Staff], "Triad General Staff", Table13[Month Received], "August")</f>
        <v>0</v>
      </c>
      <c r="L105" s="27">
        <f>COUNTIFS(Table13[Resident''s Unit], "Triad", Table13[Shift], "2nd &amp; 3rd", Table13[1st Implicated Staff], "Triad General Staff", Table13[Month Received], "September")</f>
        <v>0</v>
      </c>
      <c r="M105" s="27">
        <f>COUNTIFS(Table13[Resident''s Unit], "Triad", Table13[Shift], "2nd &amp; 3rd", Table13[1st Implicated Staff], "Triad General Staff", Table13[Month Received], "October")</f>
        <v>0</v>
      </c>
      <c r="N105" s="27">
        <f>COUNTIFS(Table13[Resident''s Unit], "Triad", Table13[Shift], "2nd &amp; 3rd", Table13[1st Implicated Staff], "Triad General Staff", Table13[Month Received], "November")</f>
        <v>0</v>
      </c>
      <c r="O105" s="27">
        <f>COUNTIFS(Table13[Resident''s Unit], "Triad", Table13[Shift], "2nd &amp; 3rd", Table13[1st Implicated Staff], "Triad General Staff", Table13[Month Received], "December")</f>
        <v>0</v>
      </c>
      <c r="P105" s="27">
        <f t="shared" si="15"/>
        <v>0</v>
      </c>
    </row>
    <row r="106" spans="1:16" x14ac:dyDescent="0.55000000000000004">
      <c r="A106" s="1" t="s">
        <v>411</v>
      </c>
      <c r="B106" s="27">
        <f>COUNTIFS(Table13[Resident''s Unit], "Triad", Table13[Shift], "3rd", Table13[1st Implicated Staff], "Triad General Staff")</f>
        <v>0</v>
      </c>
      <c r="C106" s="27"/>
      <c r="D106" s="27">
        <f>COUNTIFS(Table13[Resident''s Unit], "Triad", Table13[Shift], "3rd", Table13[1st Implicated Staff], "Triad General Staff", Table13[Month Received], "January")</f>
        <v>0</v>
      </c>
      <c r="E106" s="27">
        <f>COUNTIFS(Table13[Resident''s Unit], "Triad", Table13[Shift], "3rd", Table13[1st Implicated Staff], "Triad General Staff", Table13[Month Received], "February")</f>
        <v>0</v>
      </c>
      <c r="F106" s="27">
        <f>COUNTIFS(Table13[Resident''s Unit], "Triad", Table13[Shift], "3rd", Table13[1st Implicated Staff], "Triad General Staff", Table13[Month Received], "March")</f>
        <v>0</v>
      </c>
      <c r="G106" s="27">
        <f>COUNTIFS(Table13[Resident''s Unit], "Triad", Table13[Shift], "3rd", Table13[1st Implicated Staff], "Triad General Staff", Table13[Month Received], "April")</f>
        <v>0</v>
      </c>
      <c r="H106" s="27">
        <f>COUNTIFS(Table13[Resident''s Unit], "Triad", Table13[Shift], "3rd", Table13[1st Implicated Staff], "Triad General Staff", Table13[Month Received], "May")</f>
        <v>0</v>
      </c>
      <c r="I106" s="27">
        <f>COUNTIFS(Table13[Resident''s Unit], "Triad", Table13[Shift], "3rd", Table13[1st Implicated Staff], "Triad General Staff", Table13[Month Received], "June")</f>
        <v>0</v>
      </c>
      <c r="J106" s="27">
        <f>COUNTIFS(Table13[Resident''s Unit], "Triad", Table13[Shift], "3rd", Table13[1st Implicated Staff], "Triad General Staff", Table13[Month Received], "July")</f>
        <v>0</v>
      </c>
      <c r="K106" s="27">
        <f>COUNTIFS(Table13[Resident''s Unit], "Triad", Table13[Shift], "3rd", Table13[1st Implicated Staff], "Triad General Staff", Table13[Month Received], "August")</f>
        <v>0</v>
      </c>
      <c r="L106" s="27">
        <f>COUNTIFS(Table13[Resident''s Unit], "Triad", Table13[Shift], "3rd", Table13[1st Implicated Staff], "Triad General Staff", Table13[Month Received], "September")</f>
        <v>0</v>
      </c>
      <c r="M106" s="27">
        <f>COUNTIFS(Table13[Resident''s Unit], "Triad", Table13[Shift], "3rd", Table13[1st Implicated Staff], "Triad General Staff", Table13[Month Received], "October")</f>
        <v>0</v>
      </c>
      <c r="N106" s="27">
        <f>COUNTIFS(Table13[Resident''s Unit], "Triad", Table13[Shift], "3rd", Table13[1st Implicated Staff], "Triad General Staff", Table13[Month Received], "November")</f>
        <v>0</v>
      </c>
      <c r="O106" s="27">
        <f>COUNTIFS(Table13[Resident''s Unit], "Triad", Table13[Shift], "3rd", Table13[1st Implicated Staff], "Triad General Staff", Table13[Month Received], "December")</f>
        <v>0</v>
      </c>
      <c r="P106" s="27">
        <f>SUM(D106:O106)</f>
        <v>0</v>
      </c>
    </row>
    <row r="107" spans="1:16" x14ac:dyDescent="0.55000000000000004">
      <c r="A107" s="1" t="s">
        <v>417</v>
      </c>
      <c r="B107" s="27">
        <f>COUNTIFS(Table13[Resident''s Unit], "Triad", Table13[Shift], "3rd &amp; 1st", Table13[1st Implicated Staff], "Triad General Staff")</f>
        <v>0</v>
      </c>
      <c r="C107" s="27"/>
      <c r="D107" s="27">
        <f>COUNTIFS(Table13[Resident''s Unit], "Triad", Table13[Shift], "3rd &amp; 1st", Table13[1st Implicated Staff], "Triad General Staff", Table13[Month Received], "January")</f>
        <v>0</v>
      </c>
      <c r="E107" s="27">
        <f>COUNTIFS(Table13[Resident''s Unit], "Triad", Table13[Shift], "3rd &amp; 1st", Table13[1st Implicated Staff], "Triad General Staff", Table13[Month Received], "February")</f>
        <v>0</v>
      </c>
      <c r="F107" s="27">
        <f>COUNTIFS(Table13[Resident''s Unit], "Triad", Table13[Shift], "3rd &amp; 1st", Table13[1st Implicated Staff], "Triad General Staff", Table13[Month Received], "March")</f>
        <v>0</v>
      </c>
      <c r="G107" s="27">
        <f>COUNTIFS(Table13[Resident''s Unit], "Triad", Table13[Shift], "3rd &amp; 1st", Table13[1st Implicated Staff], "Triad General Staff", Table13[Month Received], "April")</f>
        <v>0</v>
      </c>
      <c r="H107" s="27">
        <f>COUNTIFS(Table13[Resident''s Unit], "Triad", Table13[Shift], "3rd &amp; 1st", Table13[1st Implicated Staff], "Triad General Staff", Table13[Month Received], "May")</f>
        <v>0</v>
      </c>
      <c r="I107" s="27">
        <f>COUNTIFS(Table13[Resident''s Unit], "Triad", Table13[Shift], "3rd &amp; 1st", Table13[1st Implicated Staff], "Triad General Staff", Table13[Month Received], "June")</f>
        <v>0</v>
      </c>
      <c r="J107" s="27">
        <f>COUNTIFS(Table13[Resident''s Unit], "Triad", Table13[Shift], "3rd &amp; 1st", Table13[1st Implicated Staff], "Triad General Staff", Table13[Month Received], "July")</f>
        <v>0</v>
      </c>
      <c r="K107" s="27">
        <f>COUNTIFS(Table13[Resident''s Unit], "Triad", Table13[Shift], "3rd &amp; 1st", Table13[1st Implicated Staff], "Triad General Staff", Table13[Month Received], "August")</f>
        <v>0</v>
      </c>
      <c r="L107" s="27">
        <f>COUNTIFS(Table13[Resident''s Unit], "Triad", Table13[Shift], "3rd &amp; 1st", Table13[1st Implicated Staff], "Triad General Staff", Table13[Month Received], "September")</f>
        <v>0</v>
      </c>
      <c r="M107" s="27">
        <f>COUNTIFS(Table13[Resident''s Unit], "Triad", Table13[Shift], "3rd &amp; 1st", Table13[1st Implicated Staff], "Triad General Staff", Table13[Month Received], "October")</f>
        <v>0</v>
      </c>
      <c r="N107" s="27">
        <f>COUNTIFS(Table13[Resident''s Unit], "Triad", Table13[Shift], "3rd &amp; 1st", Table13[1st Implicated Staff], "Triad General Staff", Table13[Month Received], "November")</f>
        <v>0</v>
      </c>
      <c r="O107" s="27">
        <f>COUNTIFS(Table13[Resident''s Unit], "Triad", Table13[Shift], "3rd &amp; 1st", Table13[1st Implicated Staff], "Triad General Staff", Table13[Month Received], "December")</f>
        <v>0</v>
      </c>
      <c r="P107" s="27">
        <f t="shared" ref="P107:P108" si="16">SUM(D107:O107)</f>
        <v>0</v>
      </c>
    </row>
    <row r="108" spans="1:16" x14ac:dyDescent="0.55000000000000004">
      <c r="A108" s="1" t="s">
        <v>412</v>
      </c>
      <c r="B108" s="27">
        <f>COUNTIFS(Table13[Resident''s Unit], "Triad", Table13[Shift], "All", Table13[1st Implicated Staff], "Triad General Staff")</f>
        <v>0</v>
      </c>
      <c r="C108" s="27"/>
      <c r="D108" s="27">
        <f>COUNTIFS(Table13[Resident''s Unit], "Triad", Table13[Shift], "All", Table13[1st Implicated Staff], "Triad General Staff", Table13[Month Received], "January")</f>
        <v>0</v>
      </c>
      <c r="E108" s="27">
        <f>COUNTIFS(Table13[Resident''s Unit], "Triad", Table13[Shift], "All", Table13[1st Implicated Staff], "Triad General Staff", Table13[Month Received], "February")</f>
        <v>0</v>
      </c>
      <c r="F108" s="27">
        <f>COUNTIFS(Table13[Resident''s Unit], "Triad", Table13[Shift], "All", Table13[1st Implicated Staff], "Triad General Staff", Table13[Month Received], "March")</f>
        <v>0</v>
      </c>
      <c r="G108" s="27">
        <f>COUNTIFS(Table13[Resident''s Unit], "Triad", Table13[Shift], "All", Table13[1st Implicated Staff], "Triad General Staff", Table13[Month Received], "April")</f>
        <v>0</v>
      </c>
      <c r="H108" s="27">
        <f>COUNTIFS(Table13[Resident''s Unit], "Triad", Table13[Shift], "All", Table13[1st Implicated Staff], "Triad General Staff", Table13[Month Received], "May")</f>
        <v>0</v>
      </c>
      <c r="I108" s="27">
        <f>COUNTIFS(Table13[Resident''s Unit], "Triad", Table13[Shift], "All", Table13[1st Implicated Staff], "Triad General Staff", Table13[Month Received], "June")</f>
        <v>0</v>
      </c>
      <c r="J108" s="27">
        <f>COUNTIFS(Table13[Resident''s Unit], "Triad", Table13[Shift], "All", Table13[1st Implicated Staff], "Triad General Staff", Table13[Month Received], "July")</f>
        <v>0</v>
      </c>
      <c r="K108" s="27">
        <f>COUNTIFS(Table13[Resident''s Unit], "Triad", Table13[Shift], "All", Table13[1st Implicated Staff], "Triad General Staff", Table13[Month Received], "August")</f>
        <v>0</v>
      </c>
      <c r="L108" s="27">
        <f>COUNTIFS(Table13[Resident''s Unit], "Triad", Table13[Shift], "All", Table13[1st Implicated Staff], "Triad General Staff", Table13[Month Received], "September")</f>
        <v>0</v>
      </c>
      <c r="M108" s="27">
        <f>COUNTIFS(Table13[Resident''s Unit], "Triad", Table13[Shift], "All", Table13[1st Implicated Staff], "Triad General Staff", Table13[Month Received], "October")</f>
        <v>0</v>
      </c>
      <c r="N108" s="27">
        <f>COUNTIFS(Table13[Resident''s Unit], "Triad", Table13[Shift], "All", Table13[1st Implicated Staff], "Triad General Staff", Table13[Month Received], "November")</f>
        <v>0</v>
      </c>
      <c r="O108" s="27">
        <f>COUNTIFS(Table13[Resident''s Unit], "Triad", Table13[Shift], "All", Table13[1st Implicated Staff], "Triad General Staff", Table13[Month Received], "December")</f>
        <v>0</v>
      </c>
      <c r="P108" s="27">
        <f t="shared" si="16"/>
        <v>0</v>
      </c>
    </row>
    <row r="110" spans="1:16" x14ac:dyDescent="0.55000000000000004">
      <c r="A110" s="19" t="s">
        <v>64</v>
      </c>
      <c r="B110" s="129" t="s">
        <v>205</v>
      </c>
      <c r="C110" s="27" t="s">
        <v>307</v>
      </c>
      <c r="D110" s="129" t="s">
        <v>94</v>
      </c>
      <c r="E110" s="129" t="s">
        <v>95</v>
      </c>
      <c r="F110" s="129" t="s">
        <v>96</v>
      </c>
      <c r="G110" s="129" t="s">
        <v>97</v>
      </c>
      <c r="H110" s="129" t="s">
        <v>93</v>
      </c>
      <c r="I110" s="129" t="s">
        <v>98</v>
      </c>
      <c r="J110" s="129" t="s">
        <v>99</v>
      </c>
      <c r="K110" s="129" t="s">
        <v>100</v>
      </c>
      <c r="L110" s="129" t="s">
        <v>101</v>
      </c>
      <c r="M110" s="129" t="s">
        <v>102</v>
      </c>
      <c r="N110" s="129" t="s">
        <v>103</v>
      </c>
      <c r="O110" s="129" t="s">
        <v>104</v>
      </c>
      <c r="P110" s="129" t="s">
        <v>419</v>
      </c>
    </row>
    <row r="111" spans="1:16" x14ac:dyDescent="0.55000000000000004">
      <c r="A111" s="1" t="s">
        <v>406</v>
      </c>
      <c r="B111" s="27">
        <f>COUNTIFS(Table13[Resident''s Unit], "Turning Point", Table13[Shift], "1st")</f>
        <v>0</v>
      </c>
      <c r="C111" s="27"/>
      <c r="D111" s="27">
        <f>COUNTIFS(Table13[Resident''s Unit], "Turning Point", Table13[Shift], "1st", Table13[Month Received], "January")</f>
        <v>0</v>
      </c>
      <c r="E111" s="27">
        <f>COUNTIFS(Table13[Resident''s Unit], "Turning Point", Table13[Shift], "1st", Table13[Month Received], "February")</f>
        <v>0</v>
      </c>
      <c r="F111" s="27">
        <f>COUNTIFS(Table13[Resident''s Unit], "Turning Point", Table13[Shift], "1st", Table13[Month Received], "March")</f>
        <v>0</v>
      </c>
      <c r="G111" s="27">
        <f>COUNTIFS(Table13[Resident''s Unit], "Turning Point", Table13[Shift], "1st", Table13[Month Received], "April")</f>
        <v>0</v>
      </c>
      <c r="H111" s="27">
        <f>COUNTIFS(Table13[Resident''s Unit], "Turning Point", Table13[Shift], "1st", Table13[Month Received], "May")</f>
        <v>0</v>
      </c>
      <c r="I111" s="27">
        <f>COUNTIFS(Table13[Resident''s Unit], "Turning Point", Table13[Shift], "1st", Table13[Month Received], "June")</f>
        <v>0</v>
      </c>
      <c r="J111" s="27">
        <f>COUNTIFS(Table13[Resident''s Unit], "Turning Point", Table13[Shift], "1st", Table13[Month Received], "July")</f>
        <v>0</v>
      </c>
      <c r="K111" s="27">
        <f>COUNTIFS(Table13[Resident''s Unit], "Turning Point", Table13[Shift], "1st", Table13[Month Received], "August")</f>
        <v>0</v>
      </c>
      <c r="L111" s="27">
        <f>COUNTIFS(Table13[Resident''s Unit], "Turning Point", Table13[Shift], "1st", Table13[Month Received], "September")</f>
        <v>0</v>
      </c>
      <c r="M111" s="27">
        <f>COUNTIFS(Table13[Resident''s Unit], "Turning Point", Table13[Shift], "1st", Table13[Month Received], "October")</f>
        <v>0</v>
      </c>
      <c r="N111" s="27">
        <f>COUNTIFS(Table13[Resident''s Unit], "Turning Point", Table13[Shift], "1st", Table13[Month Received], "November")</f>
        <v>0</v>
      </c>
      <c r="O111" s="27">
        <f>COUNTIFS(Table13[Resident''s Unit], "Turning Point", Table13[Shift], "1st", Table13[Month Received], "December")</f>
        <v>0</v>
      </c>
      <c r="P111" s="27">
        <f>SUM(D111:O111)</f>
        <v>0</v>
      </c>
    </row>
    <row r="112" spans="1:16" x14ac:dyDescent="0.55000000000000004">
      <c r="A112" s="1" t="s">
        <v>415</v>
      </c>
      <c r="B112" s="27">
        <f>COUNTIFS(Table13[Resident''s Unit], "Turning Point", Table13[Shift], "1st &amp; 2nd")</f>
        <v>0</v>
      </c>
      <c r="C112" s="27"/>
      <c r="D112" s="27">
        <f>COUNTIFS(Table13[Resident''s Unit], "Turning Point", Table13[Shift], "1st &amp; 2nd", Table13[Month Received], "January")</f>
        <v>0</v>
      </c>
      <c r="E112" s="27">
        <f>COUNTIFS(Table13[Resident''s Unit], "Turning Point", Table13[Shift], "1st &amp; 2nd", Table13[Month Received], "February")</f>
        <v>0</v>
      </c>
      <c r="F112" s="27">
        <f>COUNTIFS(Table13[Resident''s Unit], "Turning Point", Table13[Shift], "1st &amp; 2nd", Table13[Month Received], "March")</f>
        <v>0</v>
      </c>
      <c r="G112" s="27">
        <f>COUNTIFS(Table13[Resident''s Unit], "Turning Point", Table13[Shift], "1st &amp; 2nd", Table13[Month Received], "April")</f>
        <v>0</v>
      </c>
      <c r="H112" s="27">
        <f>COUNTIFS(Table13[Resident''s Unit], "Turning Point", Table13[Shift], "1st &amp; 2nd", Table13[Month Received], "May")</f>
        <v>0</v>
      </c>
      <c r="I112" s="27">
        <f>COUNTIFS(Table13[Resident''s Unit], "Turning Point", Table13[Shift], "1st &amp; 2nd", Table13[Month Received], "June")</f>
        <v>0</v>
      </c>
      <c r="J112" s="27">
        <f>COUNTIFS(Table13[Resident''s Unit], "Turning Point", Table13[Shift], "1st &amp; 2nd", Table13[Month Received], "July")</f>
        <v>0</v>
      </c>
      <c r="K112" s="27">
        <f>COUNTIFS(Table13[Resident''s Unit], "Turning Point", Table13[Shift], "1st &amp; 2nd", Table13[Month Received], "August")</f>
        <v>0</v>
      </c>
      <c r="L112" s="27">
        <f>COUNTIFS(Table13[Resident''s Unit], "Turning Point", Table13[Shift], "1st &amp; 2nd", Table13[Month Received], "September")</f>
        <v>0</v>
      </c>
      <c r="M112" s="27">
        <f>COUNTIFS(Table13[Resident''s Unit], "Turning Point", Table13[Shift], "1st &amp; 2nd", Table13[Month Received], "October")</f>
        <v>0</v>
      </c>
      <c r="N112" s="27">
        <f>COUNTIFS(Table13[Resident''s Unit], "Turning Point", Table13[Shift], "1st &amp; 2nd", Table13[Month Received], "November")</f>
        <v>0</v>
      </c>
      <c r="O112" s="27">
        <f>COUNTIFS(Table13[Resident''s Unit], "Turning Point", Table13[Shift], "1st &amp; 2nd", Table13[Month Received], "December")</f>
        <v>0</v>
      </c>
      <c r="P112" s="27">
        <f t="shared" ref="P112:P117" si="17">SUM(D112:O112)</f>
        <v>0</v>
      </c>
    </row>
    <row r="113" spans="1:16" x14ac:dyDescent="0.55000000000000004">
      <c r="A113" s="1" t="s">
        <v>407</v>
      </c>
      <c r="B113" s="27">
        <f>COUNTIFS(Table13[Resident''s Unit], "Turning Point", Table13[Shift], "2nd")</f>
        <v>0</v>
      </c>
      <c r="C113" s="27"/>
      <c r="D113" s="27">
        <f>COUNTIFS(Table13[Resident''s Unit], "Turning Point", Table13[Shift], "2nd", Table13[Month Received], "January")</f>
        <v>0</v>
      </c>
      <c r="E113" s="27">
        <f>COUNTIFS(Table13[Resident''s Unit], "Turning Point", Table13[Shift], "2nd", Table13[Month Received], "February")</f>
        <v>0</v>
      </c>
      <c r="F113" s="27">
        <f>COUNTIFS(Table13[Resident''s Unit], "Turning Point", Table13[Shift], "2nd", Table13[Month Received], "March")</f>
        <v>0</v>
      </c>
      <c r="G113" s="27">
        <f>COUNTIFS(Table13[Resident''s Unit], "Turning Point", Table13[Shift], "2nd", Table13[Month Received], "April")</f>
        <v>0</v>
      </c>
      <c r="H113" s="27">
        <f>COUNTIFS(Table13[Resident''s Unit], "Turning Point", Table13[Shift], "2nd", Table13[Month Received], "May")</f>
        <v>0</v>
      </c>
      <c r="I113" s="27">
        <f>COUNTIFS(Table13[Resident''s Unit], "Turning Point", Table13[Shift], "2nd", Table13[Month Received], "June")</f>
        <v>0</v>
      </c>
      <c r="J113" s="27">
        <f>COUNTIFS(Table13[Resident''s Unit], "Turning Point", Table13[Shift], "2nd", Table13[Month Received], "July")</f>
        <v>0</v>
      </c>
      <c r="K113" s="27">
        <f>COUNTIFS(Table13[Resident''s Unit], "Turning Point", Table13[Shift], "2nd", Table13[Month Received], "August")</f>
        <v>0</v>
      </c>
      <c r="L113" s="27">
        <f>COUNTIFS(Table13[Resident''s Unit], "Turning Point", Table13[Shift], "2nd", Table13[Month Received], "September")</f>
        <v>0</v>
      </c>
      <c r="M113" s="27">
        <f>COUNTIFS(Table13[Resident''s Unit], "Turning Point", Table13[Shift], "2nd", Table13[Month Received], "October")</f>
        <v>0</v>
      </c>
      <c r="N113" s="27">
        <f>COUNTIFS(Table13[Resident''s Unit], "Turning Point", Table13[Shift], "2nd", Table13[Month Received], "November")</f>
        <v>0</v>
      </c>
      <c r="O113" s="27">
        <f>COUNTIFS(Table13[Resident''s Unit], "Turning Point", Table13[Shift], "2nd", Table13[Month Received], "December")</f>
        <v>0</v>
      </c>
      <c r="P113" s="27">
        <f t="shared" si="17"/>
        <v>0</v>
      </c>
    </row>
    <row r="114" spans="1:16" x14ac:dyDescent="0.55000000000000004">
      <c r="A114" s="1" t="s">
        <v>416</v>
      </c>
      <c r="B114" s="27">
        <f>COUNTIFS(Table13[Resident''s Unit], "Turning Point", Table13[Shift], "2nd &amp; 3rd")</f>
        <v>0</v>
      </c>
      <c r="C114" s="27"/>
      <c r="D114" s="27">
        <f>COUNTIFS(Table13[Resident''s Unit], "Turning Point", Table13[Shift], "2nd &amp; 3rd", Table13[Month Received], "January")</f>
        <v>0</v>
      </c>
      <c r="E114" s="27">
        <f>COUNTIFS(Table13[Resident''s Unit], "Turning Point", Table13[Shift], "2nd &amp; 3rd", Table13[Month Received], "February")</f>
        <v>0</v>
      </c>
      <c r="F114" s="27">
        <f>COUNTIFS(Table13[Resident''s Unit], "Turning Point", Table13[Shift], "2nd &amp; 3rd", Table13[Month Received], "March")</f>
        <v>0</v>
      </c>
      <c r="G114" s="27">
        <f>COUNTIFS(Table13[Resident''s Unit], "Turning Point", Table13[Shift], "2nd &amp; 3rd", Table13[Month Received], "April")</f>
        <v>0</v>
      </c>
      <c r="H114" s="27">
        <f>COUNTIFS(Table13[Resident''s Unit], "Turning Point", Table13[Shift], "2nd &amp; 3rd", Table13[Month Received], "May")</f>
        <v>0</v>
      </c>
      <c r="I114" s="27">
        <f>COUNTIFS(Table13[Resident''s Unit], "Turning Point", Table13[Shift], "2nd &amp; 3rd", Table13[Month Received], "June")</f>
        <v>0</v>
      </c>
      <c r="J114" s="27">
        <f>COUNTIFS(Table13[Resident''s Unit], "Turning Point", Table13[Shift], "2nd &amp; 3rd", Table13[Month Received], "July")</f>
        <v>0</v>
      </c>
      <c r="K114" s="27">
        <f>COUNTIFS(Table13[Resident''s Unit], "Turning Point", Table13[Shift], "2nd &amp; 3rd", Table13[Month Received], "August")</f>
        <v>0</v>
      </c>
      <c r="L114" s="27">
        <f>COUNTIFS(Table13[Resident''s Unit], "Turning Point", Table13[Shift], "2nd &amp; 3rd", Table13[Month Received], "September")</f>
        <v>0</v>
      </c>
      <c r="M114" s="27">
        <f>COUNTIFS(Table13[Resident''s Unit], "Turning Point", Table13[Shift], "2nd &amp; 3rd", Table13[Month Received], "October")</f>
        <v>0</v>
      </c>
      <c r="N114" s="27">
        <f>COUNTIFS(Table13[Resident''s Unit], "Turning Point", Table13[Shift], "2nd &amp; 3rd", Table13[Month Received], "November")</f>
        <v>0</v>
      </c>
      <c r="O114" s="27">
        <f>COUNTIFS(Table13[Resident''s Unit], "Turning Point", Table13[Shift], "2nd &amp; 3rd", Table13[Month Received], "December")</f>
        <v>0</v>
      </c>
      <c r="P114" s="27">
        <f t="shared" si="17"/>
        <v>0</v>
      </c>
    </row>
    <row r="115" spans="1:16" x14ac:dyDescent="0.55000000000000004">
      <c r="A115" s="1" t="s">
        <v>408</v>
      </c>
      <c r="B115" s="27">
        <f>COUNTIFS(Table13[Resident''s Unit], "Turning Point", Table13[Shift], "3rd")</f>
        <v>0</v>
      </c>
      <c r="C115" s="27"/>
      <c r="D115" s="27">
        <f>COUNTIFS(Table13[Resident''s Unit], "Turning Point", Table13[Shift], "3rd", Table13[Month Received], "January")</f>
        <v>0</v>
      </c>
      <c r="E115" s="27">
        <f>COUNTIFS(Table13[Resident''s Unit], "Turning Point", Table13[Shift], "3rd", Table13[Month Received], "February")</f>
        <v>0</v>
      </c>
      <c r="F115" s="27">
        <f>COUNTIFS(Table13[Resident''s Unit], "Turning Point", Table13[Shift], "3rd", Table13[Month Received], "March")</f>
        <v>0</v>
      </c>
      <c r="G115" s="27">
        <f>COUNTIFS(Table13[Resident''s Unit], "Turning Point", Table13[Shift], "3rd", Table13[Month Received], "April")</f>
        <v>0</v>
      </c>
      <c r="H115" s="27">
        <f>COUNTIFS(Table13[Resident''s Unit], "Turning Point", Table13[Shift], "3rd", Table13[Month Received], "May")</f>
        <v>0</v>
      </c>
      <c r="I115" s="27">
        <f>COUNTIFS(Table13[Resident''s Unit], "Turning Point", Table13[Shift], "3rd", Table13[Month Received], "June")</f>
        <v>0</v>
      </c>
      <c r="J115" s="27">
        <f>COUNTIFS(Table13[Resident''s Unit], "Turning Point", Table13[Shift], "3rd", Table13[Month Received], "July")</f>
        <v>0</v>
      </c>
      <c r="K115" s="27">
        <f>COUNTIFS(Table13[Resident''s Unit], "Turning Point", Table13[Shift], "3rd", Table13[Month Received], "August")</f>
        <v>0</v>
      </c>
      <c r="L115" s="27">
        <f>COUNTIFS(Table13[Resident''s Unit], "Turning Point", Table13[Shift], "3rd", Table13[Month Received], "September")</f>
        <v>0</v>
      </c>
      <c r="M115" s="27">
        <f>COUNTIFS(Table13[Resident''s Unit], "Turning Point", Table13[Shift], "3rd", Table13[Month Received], "October")</f>
        <v>0</v>
      </c>
      <c r="N115" s="27">
        <f>COUNTIFS(Table13[Resident''s Unit], "Turning Point", Table13[Shift], "3rd", Table13[Month Received], "November")</f>
        <v>0</v>
      </c>
      <c r="O115" s="27">
        <f>COUNTIFS(Table13[Resident''s Unit], "Turning Point", Table13[Shift], "3rd", Table13[Month Received], "December")</f>
        <v>0</v>
      </c>
      <c r="P115" s="27">
        <f t="shared" si="17"/>
        <v>0</v>
      </c>
    </row>
    <row r="116" spans="1:16" x14ac:dyDescent="0.55000000000000004">
      <c r="A116" s="1" t="s">
        <v>418</v>
      </c>
      <c r="B116" s="27">
        <f>COUNTIFS(Table13[Resident''s Unit], "Turning Point", Table13[Shift], "3rd &amp; 1st")</f>
        <v>0</v>
      </c>
      <c r="C116" s="27"/>
      <c r="D116" s="27">
        <f>COUNTIFS(Table13[Resident''s Unit], "Turning Point", Table13[Shift], "3rd &amp; 1st", Table13[Month Received], "January")</f>
        <v>0</v>
      </c>
      <c r="E116" s="27">
        <f>COUNTIFS(Table13[Resident''s Unit], "Turning Point", Table13[Shift], "3rd &amp; 1st", Table13[Month Received], "February")</f>
        <v>0</v>
      </c>
      <c r="F116" s="27">
        <f>COUNTIFS(Table13[Resident''s Unit], "Turning Point", Table13[Shift], "3rd &amp; 1st", Table13[Month Received], "March")</f>
        <v>0</v>
      </c>
      <c r="G116" s="27">
        <f>COUNTIFS(Table13[Resident''s Unit], "Turning Point", Table13[Shift], "3rd &amp; 1st", Table13[Month Received], "April")</f>
        <v>0</v>
      </c>
      <c r="H116" s="27">
        <f>COUNTIFS(Table13[Resident''s Unit], "Turning Point", Table13[Shift], "3rd &amp; 1st", Table13[Month Received], "May")</f>
        <v>0</v>
      </c>
      <c r="I116" s="27">
        <f>COUNTIFS(Table13[Resident''s Unit], "Turning Point", Table13[Shift], "3rd &amp; 1st", Table13[Month Received], "June")</f>
        <v>0</v>
      </c>
      <c r="J116" s="27">
        <f>COUNTIFS(Table13[Resident''s Unit], "Turning Point", Table13[Shift], "3rd &amp; 1st", Table13[Month Received], "July")</f>
        <v>0</v>
      </c>
      <c r="K116" s="27">
        <f>COUNTIFS(Table13[Resident''s Unit], "Turning Point", Table13[Shift], "3rd &amp; 1st", Table13[Month Received], "August")</f>
        <v>0</v>
      </c>
      <c r="L116" s="27">
        <f>COUNTIFS(Table13[Resident''s Unit], "Turning Point", Table13[Shift], "3rd &amp; 1st", Table13[Month Received], "September")</f>
        <v>0</v>
      </c>
      <c r="M116" s="27">
        <f>COUNTIFS(Table13[Resident''s Unit], "Turning Point", Table13[Shift], "3rd &amp; 1st", Table13[Month Received], "October")</f>
        <v>0</v>
      </c>
      <c r="N116" s="27">
        <f>COUNTIFS(Table13[Resident''s Unit], "Turning Point", Table13[Shift], "3rd &amp; 1st", Table13[Month Received], "November")</f>
        <v>0</v>
      </c>
      <c r="O116" s="27">
        <f>COUNTIFS(Table13[Resident''s Unit], "Turning Point", Table13[Shift], "3rd &amp; 1st", Table13[Month Received], "December")</f>
        <v>0</v>
      </c>
      <c r="P116" s="27">
        <f t="shared" si="17"/>
        <v>0</v>
      </c>
    </row>
    <row r="117" spans="1:16" x14ac:dyDescent="0.55000000000000004">
      <c r="A117" s="1" t="s">
        <v>412</v>
      </c>
      <c r="B117" s="27">
        <f>COUNTIFS(Table13[Resident''s Unit], "Turning Point", Table13[Shift], "All")</f>
        <v>0</v>
      </c>
      <c r="C117" s="27"/>
      <c r="D117" s="27">
        <f>COUNTIFS(Table13[Resident''s Unit], "Turning Point", Table13[Shift], "All", Table13[Month Received], "January")</f>
        <v>0</v>
      </c>
      <c r="E117" s="27">
        <f>COUNTIFS(Table13[Resident''s Unit], "Turning Point", Table13[Shift], "All", Table13[Month Received], "February")</f>
        <v>0</v>
      </c>
      <c r="F117" s="27">
        <f>COUNTIFS(Table13[Resident''s Unit], "Turning Point", Table13[Shift], "All", Table13[Month Received], "March")</f>
        <v>0</v>
      </c>
      <c r="G117" s="27">
        <f>COUNTIFS(Table13[Resident''s Unit], "Turning Point", Table13[Shift], "All", Table13[Month Received], "April")</f>
        <v>0</v>
      </c>
      <c r="H117" s="27">
        <f>COUNTIFS(Table13[Resident''s Unit], "Turning Point", Table13[Shift], "All", Table13[Month Received], "May")</f>
        <v>0</v>
      </c>
      <c r="I117" s="27">
        <f>COUNTIFS(Table13[Resident''s Unit], "Turning Point", Table13[Shift], "All", Table13[Month Received], "June")</f>
        <v>0</v>
      </c>
      <c r="J117" s="27">
        <f>COUNTIFS(Table13[Resident''s Unit], "Turning Point", Table13[Shift], "All", Table13[Month Received], "July")</f>
        <v>0</v>
      </c>
      <c r="K117" s="27">
        <f>COUNTIFS(Table13[Resident''s Unit], "Turning Point", Table13[Shift], "All", Table13[Month Received], "August")</f>
        <v>0</v>
      </c>
      <c r="L117" s="27">
        <f>COUNTIFS(Table13[Resident''s Unit], "Turning Point", Table13[Shift], "All", Table13[Month Received], "September")</f>
        <v>0</v>
      </c>
      <c r="M117" s="27">
        <f>COUNTIFS(Table13[Resident''s Unit], "Turning Point", Table13[Shift], "All", Table13[Month Received], "October")</f>
        <v>0</v>
      </c>
      <c r="N117" s="27">
        <f>COUNTIFS(Table13[Resident''s Unit], "Turning Point", Table13[Shift], "All", Table13[Month Received], "November")</f>
        <v>0</v>
      </c>
      <c r="O117" s="27">
        <f>COUNTIFS(Table13[Resident''s Unit], "Turning Point", Table13[Shift], "All", Table13[Month Received], "December")</f>
        <v>0</v>
      </c>
      <c r="P117" s="27">
        <f t="shared" si="17"/>
        <v>0</v>
      </c>
    </row>
    <row r="118" spans="1:16" x14ac:dyDescent="0.55000000000000004">
      <c r="B118" s="27"/>
      <c r="C118" s="27"/>
      <c r="D118" s="27"/>
      <c r="E118" s="27"/>
      <c r="F118" s="27"/>
      <c r="G118" s="27"/>
      <c r="H118" s="27"/>
      <c r="I118" s="27"/>
      <c r="J118" s="27"/>
      <c r="K118" s="27"/>
      <c r="L118" s="27"/>
      <c r="M118" s="27"/>
      <c r="N118" s="27"/>
      <c r="O118" s="27"/>
    </row>
    <row r="119" spans="1:16" x14ac:dyDescent="0.55000000000000004">
      <c r="A119" s="1" t="s">
        <v>409</v>
      </c>
      <c r="B119" s="27">
        <f>COUNTIFS(Table13[Resident''s Unit], "Turning Point", Table13[Shift], "1st", Table13[1st Implicated Staff], "TP General Staff")</f>
        <v>0</v>
      </c>
      <c r="C119" s="27"/>
      <c r="D119" s="27">
        <f>COUNTIFS(Table13[Resident''s Unit], "Turning Point", Table13[Shift], "1st", Table13[1st Implicated Staff], "TP General Staff", Table13[Month Received], "January")</f>
        <v>0</v>
      </c>
      <c r="E119" s="27">
        <f>COUNTIFS(Table13[Resident''s Unit], "Turning Point", Table13[Shift], "1st", Table13[1st Implicated Staff], "TP General Staff", Table13[Month Received], "February")</f>
        <v>0</v>
      </c>
      <c r="F119" s="27">
        <f>COUNTIFS(Table13[Resident''s Unit], "Turning Point", Table13[Shift], "1st", Table13[1st Implicated Staff], "TP General Staff", Table13[Month Received], "March")</f>
        <v>0</v>
      </c>
      <c r="G119" s="27">
        <f>COUNTIFS(Table13[Resident''s Unit], "Turning Point", Table13[Shift], "1st", Table13[1st Implicated Staff], "TP General Staff", Table13[Month Received], "April")</f>
        <v>0</v>
      </c>
      <c r="H119" s="27">
        <f>COUNTIFS(Table13[Resident''s Unit], "Turning Point", Table13[Shift], "1st", Table13[1st Implicated Staff], "TP General Staff", Table13[Month Received], "May")</f>
        <v>0</v>
      </c>
      <c r="I119" s="27">
        <f>COUNTIFS(Table13[Resident''s Unit], "Turning Point", Table13[Shift], "1st", Table13[1st Implicated Staff], "TP General Staff", Table13[Month Received], "June")</f>
        <v>0</v>
      </c>
      <c r="J119" s="27">
        <f>COUNTIFS(Table13[Resident''s Unit], "Turning Point", Table13[Shift], "1st", Table13[1st Implicated Staff], "TP General Staff", Table13[Month Received], "July")</f>
        <v>0</v>
      </c>
      <c r="K119" s="27">
        <f>COUNTIFS(Table13[Resident''s Unit], "Turning Point", Table13[Shift], "1st", Table13[1st Implicated Staff], "TP General Staff", Table13[Month Received], "August")</f>
        <v>0</v>
      </c>
      <c r="L119" s="27">
        <f>COUNTIFS(Table13[Resident''s Unit], "Turning Point", Table13[Shift], "1st", Table13[1st Implicated Staff], "TP General Staff", Table13[Month Received], "September")</f>
        <v>0</v>
      </c>
      <c r="M119" s="27">
        <f>COUNTIFS(Table13[Resident''s Unit], "Turning Point", Table13[Shift], "1st", Table13[1st Implicated Staff], "TP General Staff", Table13[Month Received], "October")</f>
        <v>0</v>
      </c>
      <c r="N119" s="27">
        <f>COUNTIFS(Table13[Resident''s Unit], "Turning Point", Table13[Shift], "1st", Table13[1st Implicated Staff], "TP General Staff", Table13[Month Received], "November")</f>
        <v>0</v>
      </c>
      <c r="O119" s="27">
        <f>COUNTIFS(Table13[Resident''s Unit], "Turning Point", Table13[Shift], "1st", Table13[1st Implicated Staff], "TP General Staff", Table13[Month Received], "December")</f>
        <v>0</v>
      </c>
      <c r="P119" s="27">
        <f t="shared" ref="P119:P122" si="18">SUM(D119:O119)</f>
        <v>0</v>
      </c>
    </row>
    <row r="120" spans="1:16" x14ac:dyDescent="0.55000000000000004">
      <c r="A120" s="1" t="s">
        <v>415</v>
      </c>
      <c r="B120" s="27">
        <f>COUNTIFS(Table13[Resident''s Unit], "Turning Point", Table13[Shift], "1st &amp; 2nd", Table13[1st Implicated Staff], "TP General Staff")</f>
        <v>0</v>
      </c>
      <c r="C120" s="27"/>
      <c r="D120" s="27">
        <f>COUNTIFS(Table13[Resident''s Unit], "Turning Point", Table13[Shift], "1st &amp; 2nd", Table13[1st Implicated Staff], "TP General Staff", Table13[Month Received], "January")</f>
        <v>0</v>
      </c>
      <c r="E120" s="27">
        <f>COUNTIFS(Table13[Resident''s Unit], "Turning Point", Table13[Shift], "1st &amp; 2nd", Table13[1st Implicated Staff], "TP General Staff", Table13[Month Received], "February")</f>
        <v>0</v>
      </c>
      <c r="F120" s="27">
        <f>COUNTIFS(Table13[Resident''s Unit], "Turning Point", Table13[Shift], "1st &amp; 2nd", Table13[1st Implicated Staff], "TP General Staff", Table13[Month Received], "March")</f>
        <v>0</v>
      </c>
      <c r="G120" s="27">
        <f>COUNTIFS(Table13[Resident''s Unit], "Turning Point", Table13[Shift], "1st &amp; 2nd", Table13[1st Implicated Staff], "TP General Staff", Table13[Month Received], "April")</f>
        <v>0</v>
      </c>
      <c r="H120" s="27">
        <f>COUNTIFS(Table13[Resident''s Unit], "Turning Point", Table13[Shift], "1st &amp; 2nd", Table13[1st Implicated Staff], "TP General Staff", Table13[Month Received], "May")</f>
        <v>0</v>
      </c>
      <c r="I120" s="27">
        <f>COUNTIFS(Table13[Resident''s Unit], "Turning Point", Table13[Shift], "1st  &amp; 2nd", Table13[1st Implicated Staff], "TP General Staff", Table13[Month Received], "June")</f>
        <v>0</v>
      </c>
      <c r="J120" s="27">
        <f>COUNTIFS(Table13[Resident''s Unit], "Turning Point", Table13[Shift], "1st &amp; 2nd", Table13[1st Implicated Staff], "TP General Staff", Table13[Month Received], "July")</f>
        <v>0</v>
      </c>
      <c r="K120" s="27">
        <f>COUNTIFS(Table13[Resident''s Unit], "Turning Point", Table13[Shift], "1st &amp; 2nd", Table13[1st Implicated Staff], "TP General Staff", Table13[Month Received], "August")</f>
        <v>0</v>
      </c>
      <c r="L120" s="27">
        <f>COUNTIFS(Table13[Resident''s Unit], "Turning Point", Table13[Shift], "1st &amp; 2nd", Table13[1st Implicated Staff], "TP General Staff", Table13[Month Received], "September")</f>
        <v>0</v>
      </c>
      <c r="M120" s="27">
        <f>COUNTIFS(Table13[Resident''s Unit], "Turning Point", Table13[Shift], "1st &amp; 2nd", Table13[1st Implicated Staff], "TP General Staff", Table13[Month Received], "October")</f>
        <v>0</v>
      </c>
      <c r="N120" s="27">
        <f>COUNTIFS(Table13[Resident''s Unit], "Turning Point", Table13[Shift], "1st &amp; 2nd", Table13[1st Implicated Staff], "TP General Staff", Table13[Month Received], "November")</f>
        <v>0</v>
      </c>
      <c r="O120" s="27">
        <f>COUNTIFS(Table13[Resident''s Unit], "Turning Point", Table13[Shift], "1st &amp; 2nd", Table13[1st Implicated Staff], "TP General Staff", Table13[Month Received], "December")</f>
        <v>0</v>
      </c>
      <c r="P120" s="27">
        <f t="shared" si="18"/>
        <v>0</v>
      </c>
    </row>
    <row r="121" spans="1:16" x14ac:dyDescent="0.55000000000000004">
      <c r="A121" s="1" t="s">
        <v>410</v>
      </c>
      <c r="B121" s="27">
        <f>COUNTIFS(Table13[Resident''s Unit], "Turning Point", Table13[Shift], "2nd", Table13[1st Implicated Staff], "TP General Staff")</f>
        <v>0</v>
      </c>
      <c r="C121" s="27"/>
      <c r="D121" s="27">
        <f>COUNTIFS(Table13[Resident''s Unit], "Turning Point", Table13[Shift], "2nd", Table13[1st Implicated Staff], "TP General Staff", Table13[Month Received], "January")</f>
        <v>0</v>
      </c>
      <c r="E121" s="27">
        <f>COUNTIFS(Table13[Resident''s Unit], "Turning Point", Table13[Shift], "2nd", Table13[1st Implicated Staff], "TP General Staff", Table13[Month Received], "February")</f>
        <v>0</v>
      </c>
      <c r="F121" s="27">
        <f>COUNTIFS(Table13[Resident''s Unit], "Turning Point", Table13[Shift], "2nd", Table13[1st Implicated Staff], "TP General Staff", Table13[Month Received], "March")</f>
        <v>0</v>
      </c>
      <c r="G121" s="27">
        <f>COUNTIFS(Table13[Resident''s Unit], "Turning Point", Table13[Shift], "2nd", Table13[1st Implicated Staff], "TP General Staff", Table13[Month Received], "April")</f>
        <v>0</v>
      </c>
      <c r="H121" s="27">
        <f>COUNTIFS(Table13[Resident''s Unit], "Turning Point", Table13[Shift], "2nd", Table13[1st Implicated Staff], "TP General Staff", Table13[Month Received], "May")</f>
        <v>0</v>
      </c>
      <c r="I121" s="27">
        <f>COUNTIFS(Table13[Resident''s Unit], "Turning Point", Table13[Shift], "2nd", Table13[1st Implicated Staff], "TP General Staff", Table13[Month Received], "June")</f>
        <v>0</v>
      </c>
      <c r="J121" s="27">
        <f>COUNTIFS(Table13[Resident''s Unit], "Turning Point", Table13[Shift], "2nd", Table13[1st Implicated Staff], "TP General Staff", Table13[Month Received], "July")</f>
        <v>0</v>
      </c>
      <c r="K121" s="27">
        <f>COUNTIFS(Table13[Resident''s Unit], "Turning Point", Table13[Shift], "2nd", Table13[1st Implicated Staff], "TP General Staff", Table13[Month Received], "August")</f>
        <v>0</v>
      </c>
      <c r="L121" s="27">
        <f>COUNTIFS(Table13[Resident''s Unit], "Turning Point", Table13[Shift], "2nd", Table13[1st Implicated Staff], "TP General Staff", Table13[Month Received], "September")</f>
        <v>0</v>
      </c>
      <c r="M121" s="27">
        <f>COUNTIFS(Table13[Resident''s Unit], "Turning Point", Table13[Shift], "2nd", Table13[1st Implicated Staff], "TP General Staff", Table13[Month Received], "October")</f>
        <v>0</v>
      </c>
      <c r="N121" s="27">
        <f>COUNTIFS(Table13[Resident''s Unit], "Turning Point", Table13[Shift], "2nd", Table13[1st Implicated Staff], "TP General Staff", Table13[Month Received], "November")</f>
        <v>0</v>
      </c>
      <c r="O121" s="27">
        <f>COUNTIFS(Table13[Resident''s Unit], "Turning Point", Table13[Shift], "2nd", Table13[1st Implicated Staff], "TP General Staff", Table13[Month Received], "December")</f>
        <v>0</v>
      </c>
      <c r="P121" s="27">
        <f t="shared" si="18"/>
        <v>0</v>
      </c>
    </row>
    <row r="122" spans="1:16" x14ac:dyDescent="0.55000000000000004">
      <c r="A122" s="1" t="s">
        <v>416</v>
      </c>
      <c r="B122" s="27">
        <f>COUNTIFS(Table13[Resident''s Unit], "Turning Point", Table13[Shift], "2nd &amp; 3rd", Table13[1st Implicated Staff], "TP General Staff")</f>
        <v>0</v>
      </c>
      <c r="C122" s="27"/>
      <c r="D122" s="27">
        <f>COUNTIFS(Table13[Resident''s Unit], "Turning Point", Table13[Shift], "2nd &amp; 3rd", Table13[1st Implicated Staff], "TP General Staff", Table13[Month Received], "January")</f>
        <v>0</v>
      </c>
      <c r="E122" s="27">
        <f>COUNTIFS(Table13[Resident''s Unit], "Turning Point", Table13[Shift], "2nd &amp; 3rd", Table13[1st Implicated Staff], "TP General Staff", Table13[Month Received], "February")</f>
        <v>0</v>
      </c>
      <c r="F122" s="27">
        <f>COUNTIFS(Table13[Resident''s Unit], "Turning Point", Table13[Shift], "2nd &amp; 3rd", Table13[1st Implicated Staff], "TP General Staff", Table13[Month Received], "March")</f>
        <v>0</v>
      </c>
      <c r="G122" s="27">
        <f>COUNTIFS(Table13[Resident''s Unit], "Turning Point", Table13[Shift], "2nd &amp; 3rd", Table13[1st Implicated Staff], "TP General Staff", Table13[Month Received], "April")</f>
        <v>0</v>
      </c>
      <c r="H122" s="27">
        <f>COUNTIFS(Table13[Resident''s Unit], "Turning Point", Table13[Shift], "2nd &amp; 3rd", Table13[1st Implicated Staff], "TP General Staff", Table13[Month Received], "May")</f>
        <v>0</v>
      </c>
      <c r="I122" s="27">
        <f>COUNTIFS(Table13[Resident''s Unit], "Turning Point", Table13[Shift], "2nd &amp; 3rd", Table13[1st Implicated Staff], "TP General Staff", Table13[Month Received], "June")</f>
        <v>0</v>
      </c>
      <c r="J122" s="27">
        <f>COUNTIFS(Table13[Resident''s Unit], "Turning Point", Table13[Shift], "2nd &amp; 3rd", Table13[1st Implicated Staff], "TP General Staff", Table13[Month Received], "July")</f>
        <v>0</v>
      </c>
      <c r="K122" s="27">
        <f>COUNTIFS(Table13[Resident''s Unit], "Turning Point", Table13[Shift], "2nd &amp; 3rd", Table13[1st Implicated Staff], "TP General Staff", Table13[Month Received], "August")</f>
        <v>0</v>
      </c>
      <c r="L122" s="27">
        <f>COUNTIFS(Table13[Resident''s Unit], "Turning Point", Table13[Shift], "2nd &amp; 3rd", Table13[1st Implicated Staff], "TP General Staff", Table13[Month Received], "September")</f>
        <v>0</v>
      </c>
      <c r="M122" s="27">
        <f>COUNTIFS(Table13[Resident''s Unit], "Turning Point", Table13[Shift], "2nd &amp; 3rd", Table13[1st Implicated Staff], "TP General Staff", Table13[Month Received], "October")</f>
        <v>0</v>
      </c>
      <c r="N122" s="27">
        <f>COUNTIFS(Table13[Resident''s Unit], "Turning Point", Table13[Shift], "2nd &amp; 3rd", Table13[1st Implicated Staff], "TP General Staff", Table13[Month Received], "November")</f>
        <v>0</v>
      </c>
      <c r="O122" s="27">
        <f>COUNTIFS(Table13[Resident''s Unit], "Turning Point", Table13[Shift], "2nd &amp; 3rd", Table13[1st Implicated Staff], "TP General Staff", Table13[Month Received], "December")</f>
        <v>0</v>
      </c>
      <c r="P122" s="27">
        <f t="shared" si="18"/>
        <v>0</v>
      </c>
    </row>
    <row r="123" spans="1:16" x14ac:dyDescent="0.55000000000000004">
      <c r="A123" s="1" t="s">
        <v>411</v>
      </c>
      <c r="B123" s="27">
        <f>COUNTIFS(Table13[Resident''s Unit], "Turning Point", Table13[Shift], "3rd", Table13[1st Implicated Staff], "TP General Staff")</f>
        <v>0</v>
      </c>
      <c r="C123" s="27"/>
      <c r="D123" s="27">
        <f>COUNTIFS(Table13[Resident''s Unit], "Turning Point", Table13[Shift], "3rd", Table13[1st Implicated Staff], "TP General Staff", Table13[Month Received], "January")</f>
        <v>0</v>
      </c>
      <c r="E123" s="27">
        <f>COUNTIFS(Table13[Resident''s Unit], "Turning Point", Table13[Shift], "3rd", Table13[1st Implicated Staff], "TP General Staff", Table13[Month Received], "February")</f>
        <v>0</v>
      </c>
      <c r="F123" s="27">
        <f>COUNTIFS(Table13[Resident''s Unit], "Turning Point", Table13[Shift], "3rd", Table13[1st Implicated Staff], "TP General Staff", Table13[Month Received], "March")</f>
        <v>0</v>
      </c>
      <c r="G123" s="27">
        <f>COUNTIFS(Table13[Resident''s Unit], "Turning Point", Table13[Shift], "3rd", Table13[1st Implicated Staff], "TP General Staff", Table13[Month Received], "April")</f>
        <v>0</v>
      </c>
      <c r="H123" s="27">
        <f>COUNTIFS(Table13[Resident''s Unit], "Turning Point", Table13[Shift], "3rd", Table13[1st Implicated Staff], "TP General Staff", Table13[Month Received], "May")</f>
        <v>0</v>
      </c>
      <c r="I123" s="27">
        <f>COUNTIFS(Table13[Resident''s Unit], "Turning Point", Table13[Shift], "3rd", Table13[1st Implicated Staff], "TP General Staff", Table13[Month Received], "June")</f>
        <v>0</v>
      </c>
      <c r="J123" s="27">
        <f>COUNTIFS(Table13[Resident''s Unit], "Turning Point", Table13[Shift], "3rd", Table13[1st Implicated Staff], "TP General Staff", Table13[Month Received], "July")</f>
        <v>0</v>
      </c>
      <c r="K123" s="27">
        <f>COUNTIFS(Table13[Resident''s Unit], "Turning Point", Table13[Shift], "3rd", Table13[1st Implicated Staff], "TP General Staff", Table13[Month Received], "August")</f>
        <v>0</v>
      </c>
      <c r="L123" s="27">
        <f>COUNTIFS(Table13[Resident''s Unit], "Turning Point", Table13[Shift], "3rd", Table13[1st Implicated Staff], "TP General Staff", Table13[Month Received], "September")</f>
        <v>0</v>
      </c>
      <c r="M123" s="27">
        <f>COUNTIFS(Table13[Resident''s Unit], "Turning Point", Table13[Shift], "3rd", Table13[1st Implicated Staff], "TP General Staff", Table13[Month Received], "October")</f>
        <v>0</v>
      </c>
      <c r="N123" s="27">
        <f>COUNTIFS(Table13[Resident''s Unit], "Turning Point", Table13[Shift], "3rd", Table13[1st Implicated Staff], "TP General Staff", Table13[Month Received], "November")</f>
        <v>0</v>
      </c>
      <c r="O123" s="27">
        <f>COUNTIFS(Table13[Resident''s Unit], "Turning Point", Table13[Shift], "3rd", Table13[1st Implicated Staff], "TP General Staff", Table13[Month Received], "December")</f>
        <v>0</v>
      </c>
      <c r="P123" s="27">
        <f>SUM(D123:O123)</f>
        <v>0</v>
      </c>
    </row>
    <row r="124" spans="1:16" x14ac:dyDescent="0.55000000000000004">
      <c r="A124" s="1" t="s">
        <v>417</v>
      </c>
      <c r="B124" s="27">
        <f>COUNTIFS(Table13[Resident''s Unit], "Turning Point", Table13[Shift], "3rd &amp; 1st", Table13[1st Implicated Staff], "TP General Staff")</f>
        <v>0</v>
      </c>
      <c r="C124" s="27"/>
      <c r="D124" s="27">
        <f>COUNTIFS(Table13[Resident''s Unit], "Turning Point", Table13[Shift], "3rd &amp; 1st", Table13[1st Implicated Staff], "TP General Staff", Table13[Month Received], "January")</f>
        <v>0</v>
      </c>
      <c r="E124" s="27">
        <f>COUNTIFS(Table13[Resident''s Unit], "Turning Point", Table13[Shift], "3rd &amp; 1st", Table13[1st Implicated Staff], "TP General Staff", Table13[Month Received], "February")</f>
        <v>0</v>
      </c>
      <c r="F124" s="27">
        <f>COUNTIFS(Table13[Resident''s Unit], "Turning Point", Table13[Shift], "3rd &amp; 1st", Table13[1st Implicated Staff], "TP General Staff", Table13[Month Received], "March")</f>
        <v>0</v>
      </c>
      <c r="G124" s="27">
        <f>COUNTIFS(Table13[Resident''s Unit], "Turning Point", Table13[Shift], "3rd &amp; 1st", Table13[1st Implicated Staff], "TP General Staff", Table13[Month Received], "April")</f>
        <v>0</v>
      </c>
      <c r="H124" s="27">
        <f>COUNTIFS(Table13[Resident''s Unit], "Turning Point", Table13[Shift], "3rd &amp; 1st", Table13[1st Implicated Staff], "TP General Staff", Table13[Month Received], "May")</f>
        <v>0</v>
      </c>
      <c r="I124" s="27">
        <f>COUNTIFS(Table13[Resident''s Unit], "Turning Point", Table13[Shift], "3rd &amp; 1st", Table13[1st Implicated Staff], "TP General Staff", Table13[Month Received], "June")</f>
        <v>0</v>
      </c>
      <c r="J124" s="27">
        <f>COUNTIFS(Table13[Resident''s Unit], "Turning Point", Table13[Shift], "3rd &amp; 1st", Table13[1st Implicated Staff], "TP General Staff", Table13[Month Received], "July")</f>
        <v>0</v>
      </c>
      <c r="K124" s="27">
        <f>COUNTIFS(Table13[Resident''s Unit], "Turning Point", Table13[Shift], "3rd &amp; 1st", Table13[1st Implicated Staff], "TP General Staff", Table13[Month Received], "August")</f>
        <v>0</v>
      </c>
      <c r="L124" s="27">
        <f>COUNTIFS(Table13[Resident''s Unit], "Turning Point", Table13[Shift], "3rd &amp; 1st", Table13[1st Implicated Staff], "TP General Staff", Table13[Month Received], "September")</f>
        <v>0</v>
      </c>
      <c r="M124" s="27">
        <f>COUNTIFS(Table13[Resident''s Unit], "Turning Point", Table13[Shift], "3rd &amp; 1st", Table13[1st Implicated Staff], "TP General Staff", Table13[Month Received], "October")</f>
        <v>0</v>
      </c>
      <c r="N124" s="27">
        <f>COUNTIFS(Table13[Resident''s Unit], "Turning Point", Table13[Shift], "3rd &amp; 1st", Table13[1st Implicated Staff], "TP General Staff", Table13[Month Received], "November")</f>
        <v>0</v>
      </c>
      <c r="O124" s="27">
        <f>COUNTIFS(Table13[Resident''s Unit], "Turning Point", Table13[Shift], "3rd &amp; 1st", Table13[1st Implicated Staff], "TP General Staff", Table13[Month Received], "December")</f>
        <v>0</v>
      </c>
      <c r="P124" s="27">
        <f t="shared" ref="P124:P125" si="19">SUM(D124:O124)</f>
        <v>0</v>
      </c>
    </row>
    <row r="125" spans="1:16" x14ac:dyDescent="0.55000000000000004">
      <c r="A125" s="1" t="s">
        <v>412</v>
      </c>
      <c r="B125" s="27">
        <f>COUNTIFS(Table13[Resident''s Unit], "Turning Point", Table13[Shift], "All", Table13[1st Implicated Staff], "TP General Staff")</f>
        <v>0</v>
      </c>
      <c r="C125" s="27"/>
      <c r="D125" s="27">
        <f>COUNTIFS(Table13[Resident''s Unit], "Turning Point", Table13[Shift], "All", Table13[1st Implicated Staff], "TP General Staff", Table13[Month Received], "January")</f>
        <v>0</v>
      </c>
      <c r="E125" s="27">
        <f>COUNTIFS(Table13[Resident''s Unit], "Turning Point", Table13[Shift], "All", Table13[1st Implicated Staff], "TP General Staff", Table13[Month Received], "February")</f>
        <v>0</v>
      </c>
      <c r="F125" s="27">
        <f>COUNTIFS(Table13[Resident''s Unit], "Turning Point", Table13[Shift], "All", Table13[1st Implicated Staff], "TP General Staff", Table13[Month Received], "March")</f>
        <v>0</v>
      </c>
      <c r="G125" s="27">
        <f>COUNTIFS(Table13[Resident''s Unit], "Turning Point", Table13[Shift], "All", Table13[1st Implicated Staff], "TP General Staff", Table13[Month Received], "April")</f>
        <v>0</v>
      </c>
      <c r="H125" s="27">
        <f>COUNTIFS(Table13[Resident''s Unit], "Turning Point", Table13[Shift], "All", Table13[1st Implicated Staff], "TP General Staff", Table13[Month Received], "May")</f>
        <v>0</v>
      </c>
      <c r="I125" s="27">
        <f>COUNTIFS(Table13[Resident''s Unit], "Turning Point", Table13[Shift], "All", Table13[1st Implicated Staff], "TP General Staff", Table13[Month Received], "June")</f>
        <v>0</v>
      </c>
      <c r="J125" s="27">
        <f>COUNTIFS(Table13[Resident''s Unit], "Turning Point", Table13[Shift], "All", Table13[1st Implicated Staff], "TP General Staff", Table13[Month Received], "July")</f>
        <v>0</v>
      </c>
      <c r="K125" s="27">
        <f>COUNTIFS(Table13[Resident''s Unit], "Turning Point", Table13[Shift], "All", Table13[1st Implicated Staff], "TP General Staff", Table13[Month Received], "August")</f>
        <v>0</v>
      </c>
      <c r="L125" s="27">
        <f>COUNTIFS(Table13[Resident''s Unit], "Turning Point", Table13[Shift], "All", Table13[1st Implicated Staff], "TP General Staff", Table13[Month Received], "September")</f>
        <v>0</v>
      </c>
      <c r="M125" s="27">
        <f>COUNTIFS(Table13[Resident''s Unit], "Turning Point", Table13[Shift], "All", Table13[1st Implicated Staff], "TP General Staff", Table13[Month Received], "October")</f>
        <v>0</v>
      </c>
      <c r="N125" s="27">
        <f>COUNTIFS(Table13[Resident''s Unit], "Turning Point", Table13[Shift], "All", Table13[1st Implicated Staff], "TP General Staff", Table13[Month Received], "November")</f>
        <v>0</v>
      </c>
      <c r="O125" s="27">
        <f>COUNTIFS(Table13[Resident''s Unit], "Turning Point", Table13[Shift], "All", Table13[1st Implicated Staff], "TP General Staff", Table13[Month Received], "December")</f>
        <v>0</v>
      </c>
      <c r="P125" s="27">
        <f t="shared" si="19"/>
        <v>0</v>
      </c>
    </row>
    <row r="127" spans="1:16" x14ac:dyDescent="0.55000000000000004">
      <c r="A127" s="19" t="s">
        <v>63</v>
      </c>
      <c r="B127" s="129" t="s">
        <v>205</v>
      </c>
      <c r="C127" s="27" t="s">
        <v>307</v>
      </c>
      <c r="D127" s="129" t="s">
        <v>94</v>
      </c>
      <c r="E127" s="129" t="s">
        <v>95</v>
      </c>
      <c r="F127" s="129" t="s">
        <v>96</v>
      </c>
      <c r="G127" s="129" t="s">
        <v>97</v>
      </c>
      <c r="H127" s="129" t="s">
        <v>93</v>
      </c>
      <c r="I127" s="129" t="s">
        <v>98</v>
      </c>
      <c r="J127" s="129" t="s">
        <v>99</v>
      </c>
      <c r="K127" s="129" t="s">
        <v>100</v>
      </c>
      <c r="L127" s="129" t="s">
        <v>101</v>
      </c>
      <c r="M127" s="129" t="s">
        <v>102</v>
      </c>
      <c r="N127" s="129" t="s">
        <v>103</v>
      </c>
      <c r="O127" s="129" t="s">
        <v>104</v>
      </c>
      <c r="P127" s="129" t="s">
        <v>419</v>
      </c>
    </row>
    <row r="128" spans="1:16" x14ac:dyDescent="0.55000000000000004">
      <c r="A128" s="1" t="s">
        <v>406</v>
      </c>
      <c r="B128" s="27">
        <f>COUNTIFS(Table13[Resident''s Unit], "Waypoint", Table13[Shift], "1st")</f>
        <v>0</v>
      </c>
      <c r="C128" s="27"/>
      <c r="D128" s="27">
        <f>COUNTIFS(Table13[Resident''s Unit], "Waypoint", Table13[Shift], "1st", Table13[Month Received], "January")</f>
        <v>0</v>
      </c>
      <c r="E128" s="27">
        <f>COUNTIFS(Table13[Resident''s Unit], "Waypoint", Table13[Shift], "1st", Table13[Month Received], "February")</f>
        <v>0</v>
      </c>
      <c r="F128" s="27">
        <f>COUNTIFS(Table13[Resident''s Unit], "Waypoint", Table13[Shift], "1st", Table13[Month Received], "March")</f>
        <v>0</v>
      </c>
      <c r="G128" s="27">
        <f>COUNTIFS(Table13[Resident''s Unit], "Waypoint", Table13[Shift], "1st", Table13[Month Received], "April")</f>
        <v>0</v>
      </c>
      <c r="H128" s="27">
        <f>COUNTIFS(Table13[Resident''s Unit], "Waypoint", Table13[Shift], "1st", Table13[Month Received], "May")</f>
        <v>0</v>
      </c>
      <c r="I128" s="27">
        <f>COUNTIFS(Table13[Resident''s Unit], "Waypoint", Table13[Shift], "1st", Table13[Month Received], "June")</f>
        <v>0</v>
      </c>
      <c r="J128" s="27">
        <f>COUNTIFS(Table13[Resident''s Unit], "Waypoint", Table13[Shift], "1st", Table13[Month Received], "July")</f>
        <v>0</v>
      </c>
      <c r="K128" s="27">
        <f>COUNTIFS(Table13[Resident''s Unit], "Waypoint", Table13[Shift], "1st", Table13[Month Received], "August")</f>
        <v>0</v>
      </c>
      <c r="L128" s="27">
        <f>COUNTIFS(Table13[Resident''s Unit], "Waypoint", Table13[Shift], "1st", Table13[Month Received], "September")</f>
        <v>0</v>
      </c>
      <c r="M128" s="27">
        <f>COUNTIFS(Table13[Resident''s Unit], "Waypoint", Table13[Shift], "1st", Table13[Month Received], "October")</f>
        <v>0</v>
      </c>
      <c r="N128" s="27">
        <f>COUNTIFS(Table13[Resident''s Unit], "Waypoint", Table13[Shift], "1st", Table13[Month Received], "November")</f>
        <v>0</v>
      </c>
      <c r="O128" s="27">
        <f>COUNTIFS(Table13[Resident''s Unit], "Waypoint", Table13[Shift], "1st", Table13[Month Received], "December")</f>
        <v>0</v>
      </c>
      <c r="P128" s="27">
        <f>SUM(D128:O128)</f>
        <v>0</v>
      </c>
    </row>
    <row r="129" spans="1:16" x14ac:dyDescent="0.55000000000000004">
      <c r="A129" s="1" t="s">
        <v>415</v>
      </c>
      <c r="B129" s="27">
        <f>COUNTIFS(Table13[Resident''s Unit], "Waypoint", Table13[Shift], "1st &amp; 2nd")</f>
        <v>0</v>
      </c>
      <c r="C129" s="27"/>
      <c r="D129" s="27">
        <f>COUNTIFS(Table13[Resident''s Unit], "Waypoint", Table13[Shift], "1st &amp; 2nd", Table13[Month Received], "January")</f>
        <v>0</v>
      </c>
      <c r="E129" s="27">
        <f>COUNTIFS(Table13[Resident''s Unit], "Waypoint", Table13[Shift], "1st &amp; 2nd", Table13[Month Received], "February")</f>
        <v>0</v>
      </c>
      <c r="F129" s="27">
        <f>COUNTIFS(Table13[Resident''s Unit], "Waypoint", Table13[Shift], "1st &amp; 2nd", Table13[Month Received], "March")</f>
        <v>0</v>
      </c>
      <c r="G129" s="27">
        <f>COUNTIFS(Table13[Resident''s Unit], "Waypoint", Table13[Shift], "1st &amp; 2nd", Table13[Month Received], "April")</f>
        <v>0</v>
      </c>
      <c r="H129" s="27">
        <f>COUNTIFS(Table13[Resident''s Unit], "Waypoint", Table13[Shift], "1st &amp; 2nd", Table13[Month Received], "May")</f>
        <v>0</v>
      </c>
      <c r="I129" s="27">
        <f>COUNTIFS(Table13[Resident''s Unit], "Waypoint", Table13[Shift], "1st &amp; 2nd", Table13[Month Received], "June")</f>
        <v>0</v>
      </c>
      <c r="J129" s="27">
        <f>COUNTIFS(Table13[Resident''s Unit], "Waypoint", Table13[Shift], "1st &amp; 2nd", Table13[Month Received], "July")</f>
        <v>0</v>
      </c>
      <c r="K129" s="27">
        <f>COUNTIFS(Table13[Resident''s Unit], "Waypoint", Table13[Shift], "1st &amp; 2nd", Table13[Month Received], "August")</f>
        <v>0</v>
      </c>
      <c r="L129" s="27">
        <f>COUNTIFS(Table13[Resident''s Unit], "Waypoint", Table13[Shift], "1st &amp; 2nd", Table13[Month Received], "September")</f>
        <v>0</v>
      </c>
      <c r="M129" s="27">
        <f>COUNTIFS(Table13[Resident''s Unit], "Waypoint", Table13[Shift], "1st &amp; 2nd", Table13[Month Received], "October")</f>
        <v>0</v>
      </c>
      <c r="N129" s="27">
        <f>COUNTIFS(Table13[Resident''s Unit], "Waypoint", Table13[Shift], "1st &amp; 2nd", Table13[Month Received], "November")</f>
        <v>0</v>
      </c>
      <c r="O129" s="27">
        <f>COUNTIFS(Table13[Resident''s Unit], "Waypoint", Table13[Shift], "1st &amp; 2nd", Table13[Month Received], "December")</f>
        <v>0</v>
      </c>
      <c r="P129" s="27">
        <f t="shared" ref="P129:P134" si="20">SUM(D129:O129)</f>
        <v>0</v>
      </c>
    </row>
    <row r="130" spans="1:16" x14ac:dyDescent="0.55000000000000004">
      <c r="A130" s="1" t="s">
        <v>407</v>
      </c>
      <c r="B130" s="27">
        <f>COUNTIFS(Table13[Resident''s Unit], "Waypoint", Table13[Shift], "2nd")</f>
        <v>0</v>
      </c>
      <c r="C130" s="27"/>
      <c r="D130" s="27">
        <f>COUNTIFS(Table13[Resident''s Unit], "Waypoint", Table13[Shift], "2nd", Table13[Month Received], "January")</f>
        <v>0</v>
      </c>
      <c r="E130" s="27">
        <f>COUNTIFS(Table13[Resident''s Unit], "Waypoint", Table13[Shift], "2nd", Table13[Month Received], "February")</f>
        <v>0</v>
      </c>
      <c r="F130" s="27">
        <f>COUNTIFS(Table13[Resident''s Unit], "Waypoint", Table13[Shift], "2nd", Table13[Month Received], "March")</f>
        <v>0</v>
      </c>
      <c r="G130" s="27">
        <f>COUNTIFS(Table13[Resident''s Unit], "Waypoint", Table13[Shift], "2nd", Table13[Month Received], "April")</f>
        <v>0</v>
      </c>
      <c r="H130" s="27">
        <f>COUNTIFS(Table13[Resident''s Unit], "Waypoint", Table13[Shift], "2nd", Table13[Month Received], "May")</f>
        <v>0</v>
      </c>
      <c r="I130" s="27">
        <f>COUNTIFS(Table13[Resident''s Unit], "Waypoint", Table13[Shift], "2nd", Table13[Month Received], "June")</f>
        <v>0</v>
      </c>
      <c r="J130" s="27">
        <f>COUNTIFS(Table13[Resident''s Unit], "Waypoint", Table13[Shift], "2nd", Table13[Month Received], "July")</f>
        <v>0</v>
      </c>
      <c r="K130" s="27">
        <f>COUNTIFS(Table13[Resident''s Unit], "Waypoint", Table13[Shift], "2nd", Table13[Month Received], "August")</f>
        <v>0</v>
      </c>
      <c r="L130" s="27">
        <f>COUNTIFS(Table13[Resident''s Unit], "Waypoint", Table13[Shift], "2nd", Table13[Month Received], "September")</f>
        <v>0</v>
      </c>
      <c r="M130" s="27">
        <f>COUNTIFS(Table13[Resident''s Unit], "Waypoint", Table13[Shift], "2nd", Table13[Month Received], "October")</f>
        <v>0</v>
      </c>
      <c r="N130" s="27">
        <f>COUNTIFS(Table13[Resident''s Unit], "Waypoint", Table13[Shift], "2nd", Table13[Month Received], "November")</f>
        <v>0</v>
      </c>
      <c r="O130" s="27">
        <f>COUNTIFS(Table13[Resident''s Unit], "Waypoint", Table13[Shift], "2nd", Table13[Month Received], "December")</f>
        <v>0</v>
      </c>
      <c r="P130" s="27">
        <f t="shared" si="20"/>
        <v>0</v>
      </c>
    </row>
    <row r="131" spans="1:16" x14ac:dyDescent="0.55000000000000004">
      <c r="A131" s="1" t="s">
        <v>416</v>
      </c>
      <c r="B131" s="27">
        <f>COUNTIFS(Table13[Resident''s Unit], "Waypoint", Table13[Shift], "2nd &amp; 3rd")</f>
        <v>0</v>
      </c>
      <c r="C131" s="27"/>
      <c r="D131" s="27">
        <f>COUNTIFS(Table13[Resident''s Unit], "Waypoint", Table13[Shift], "2nd &amp; 3rd", Table13[Month Received], "January")</f>
        <v>0</v>
      </c>
      <c r="E131" s="27">
        <f>COUNTIFS(Table13[Resident''s Unit], "Waypoint", Table13[Shift], "2nd &amp; 3rd", Table13[Month Received], "February")</f>
        <v>0</v>
      </c>
      <c r="F131" s="27">
        <f>COUNTIFS(Table13[Resident''s Unit], "Waypoint", Table13[Shift], "2nd &amp; 3rd", Table13[Month Received], "March")</f>
        <v>0</v>
      </c>
      <c r="G131" s="27">
        <f>COUNTIFS(Table13[Resident''s Unit], "Waypoint", Table13[Shift], "2nd &amp; 3rd", Table13[Month Received], "April")</f>
        <v>0</v>
      </c>
      <c r="H131" s="27">
        <f>COUNTIFS(Table13[Resident''s Unit], "Waypoint", Table13[Shift], "2nd &amp; 3rd", Table13[Month Received], "May")</f>
        <v>0</v>
      </c>
      <c r="I131" s="27">
        <f>COUNTIFS(Table13[Resident''s Unit], "Waypoint", Table13[Shift], "2nd &amp; 3rd", Table13[Month Received], "June")</f>
        <v>0</v>
      </c>
      <c r="J131" s="27">
        <f>COUNTIFS(Table13[Resident''s Unit], "Waypoint", Table13[Shift], "2nd &amp; 3rd", Table13[Month Received], "July")</f>
        <v>0</v>
      </c>
      <c r="K131" s="27">
        <f>COUNTIFS(Table13[Resident''s Unit], "Waypoint", Table13[Shift], "2nd &amp; 3rd", Table13[Month Received], "August")</f>
        <v>0</v>
      </c>
      <c r="L131" s="27">
        <f>COUNTIFS(Table13[Resident''s Unit], "Waypoint", Table13[Shift], "2nd &amp; 3rd", Table13[Month Received], "September")</f>
        <v>0</v>
      </c>
      <c r="M131" s="27">
        <f>COUNTIFS(Table13[Resident''s Unit], "Waypoint", Table13[Shift], "2nd &amp; 3rd", Table13[Month Received], "October")</f>
        <v>0</v>
      </c>
      <c r="N131" s="27">
        <f>COUNTIFS(Table13[Resident''s Unit], "Waypoint", Table13[Shift], "2nd &amp; 3rd", Table13[Month Received], "November")</f>
        <v>0</v>
      </c>
      <c r="O131" s="27">
        <f>COUNTIFS(Table13[Resident''s Unit], "Waypoint", Table13[Shift], "2nd &amp; 3rd", Table13[Month Received], "December")</f>
        <v>0</v>
      </c>
      <c r="P131" s="27">
        <f t="shared" si="20"/>
        <v>0</v>
      </c>
    </row>
    <row r="132" spans="1:16" x14ac:dyDescent="0.55000000000000004">
      <c r="A132" s="1" t="s">
        <v>408</v>
      </c>
      <c r="B132" s="27">
        <f>COUNTIFS(Table13[Resident''s Unit], "Waypoint", Table13[Shift], "3rd")</f>
        <v>0</v>
      </c>
      <c r="C132" s="27"/>
      <c r="D132" s="27">
        <f>COUNTIFS(Table13[Resident''s Unit], "Waypoint", Table13[Shift], "3rd", Table13[Month Received], "January")</f>
        <v>0</v>
      </c>
      <c r="E132" s="27">
        <f>COUNTIFS(Table13[Resident''s Unit], "Waypoint", Table13[Shift], "3rd", Table13[Month Received], "February")</f>
        <v>0</v>
      </c>
      <c r="F132" s="27">
        <f>COUNTIFS(Table13[Resident''s Unit], "Waypoint", Table13[Shift], "3rd", Table13[Month Received], "March")</f>
        <v>0</v>
      </c>
      <c r="G132" s="27">
        <f>COUNTIFS(Table13[Resident''s Unit], "Waypoint", Table13[Shift], "3rd", Table13[Month Received], "April")</f>
        <v>0</v>
      </c>
      <c r="H132" s="27">
        <f>COUNTIFS(Table13[Resident''s Unit], "Waypoint", Table13[Shift], "3rd", Table13[Month Received], "May")</f>
        <v>0</v>
      </c>
      <c r="I132" s="27">
        <f>COUNTIFS(Table13[Resident''s Unit], "Waypoint", Table13[Shift], "3rd", Table13[Month Received], "June")</f>
        <v>0</v>
      </c>
      <c r="J132" s="27">
        <f>COUNTIFS(Table13[Resident''s Unit], "Waypoint", Table13[Shift], "3rd", Table13[Month Received], "July")</f>
        <v>0</v>
      </c>
      <c r="K132" s="27">
        <f>COUNTIFS(Table13[Resident''s Unit], "Waypoint", Table13[Shift], "3rd", Table13[Month Received], "August")</f>
        <v>0</v>
      </c>
      <c r="L132" s="27">
        <f>COUNTIFS(Table13[Resident''s Unit], "Waypoint", Table13[Shift], "3rd", Table13[Month Received], "September")</f>
        <v>0</v>
      </c>
      <c r="M132" s="27">
        <f>COUNTIFS(Table13[Resident''s Unit], "Waypoint", Table13[Shift], "3rd", Table13[Month Received], "October")</f>
        <v>0</v>
      </c>
      <c r="N132" s="27">
        <f>COUNTIFS(Table13[Resident''s Unit], "Waypoint", Table13[Shift], "3rd", Table13[Month Received], "November")</f>
        <v>0</v>
      </c>
      <c r="O132" s="27">
        <f>COUNTIFS(Table13[Resident''s Unit], "Waypoint", Table13[Shift], "3rd", Table13[Month Received], "December")</f>
        <v>0</v>
      </c>
      <c r="P132" s="27">
        <f t="shared" si="20"/>
        <v>0</v>
      </c>
    </row>
    <row r="133" spans="1:16" x14ac:dyDescent="0.55000000000000004">
      <c r="A133" s="1" t="s">
        <v>418</v>
      </c>
      <c r="B133" s="27">
        <f>COUNTIFS(Table13[Resident''s Unit], "Waypoint", Table13[Shift], "3rd &amp; 1st")</f>
        <v>0</v>
      </c>
      <c r="C133" s="27"/>
      <c r="D133" s="27">
        <f>COUNTIFS(Table13[Resident''s Unit], "Waypoint", Table13[Shift], "3rd &amp; 1st", Table13[Month Received], "January")</f>
        <v>0</v>
      </c>
      <c r="E133" s="27">
        <f>COUNTIFS(Table13[Resident''s Unit], "Waypoint", Table13[Shift], "3rd &amp; 1st", Table13[Month Received], "February")</f>
        <v>0</v>
      </c>
      <c r="F133" s="27">
        <f>COUNTIFS(Table13[Resident''s Unit], "Waypoint", Table13[Shift], "3rd &amp; 1st", Table13[Month Received], "March")</f>
        <v>0</v>
      </c>
      <c r="G133" s="27">
        <f>COUNTIFS(Table13[Resident''s Unit], "Waypoint", Table13[Shift], "3rd &amp; 1st", Table13[Month Received], "April")</f>
        <v>0</v>
      </c>
      <c r="H133" s="27">
        <f>COUNTIFS(Table13[Resident''s Unit], "Waypoint", Table13[Shift], "3rd &amp; 1st", Table13[Month Received], "May")</f>
        <v>0</v>
      </c>
      <c r="I133" s="27">
        <f>COUNTIFS(Table13[Resident''s Unit], "Waypoint", Table13[Shift], "3rd &amp; 1st", Table13[Month Received], "June")</f>
        <v>0</v>
      </c>
      <c r="J133" s="27">
        <f>COUNTIFS(Table13[Resident''s Unit], "Waypoint", Table13[Shift], "3rd &amp; 1st", Table13[Month Received], "July")</f>
        <v>0</v>
      </c>
      <c r="K133" s="27">
        <f>COUNTIFS(Table13[Resident''s Unit], "Waypoint", Table13[Shift], "3rd &amp; 1st", Table13[Month Received], "August")</f>
        <v>0</v>
      </c>
      <c r="L133" s="27">
        <f>COUNTIFS(Table13[Resident''s Unit], "Waypoint", Table13[Shift], "3rd &amp; 1st", Table13[Month Received], "September")</f>
        <v>0</v>
      </c>
      <c r="M133" s="27">
        <f>COUNTIFS(Table13[Resident''s Unit], "Waypoint", Table13[Shift], "3rd &amp; 1st", Table13[Month Received], "October")</f>
        <v>0</v>
      </c>
      <c r="N133" s="27">
        <f>COUNTIFS(Table13[Resident''s Unit], "Waypoint", Table13[Shift], "3rd &amp; 1st", Table13[Month Received], "November")</f>
        <v>0</v>
      </c>
      <c r="O133" s="27">
        <f>COUNTIFS(Table13[Resident''s Unit], "Waypoint", Table13[Shift], "3rd &amp; 1st", Table13[Month Received], "December")</f>
        <v>0</v>
      </c>
      <c r="P133" s="27">
        <f t="shared" si="20"/>
        <v>0</v>
      </c>
    </row>
    <row r="134" spans="1:16" x14ac:dyDescent="0.55000000000000004">
      <c r="A134" s="1" t="s">
        <v>412</v>
      </c>
      <c r="B134" s="27">
        <f>COUNTIFS(Table13[Resident''s Unit], "Waypoint", Table13[Shift], "All")</f>
        <v>0</v>
      </c>
      <c r="C134" s="27"/>
      <c r="D134" s="27">
        <f>COUNTIFS(Table13[Resident''s Unit], "Waypoint", Table13[Shift], "All", Table13[Month Received], "January")</f>
        <v>0</v>
      </c>
      <c r="E134" s="27">
        <f>COUNTIFS(Table13[Resident''s Unit], "Waypoint", Table13[Shift], "All", Table13[Month Received], "February")</f>
        <v>0</v>
      </c>
      <c r="F134" s="27">
        <f>COUNTIFS(Table13[Resident''s Unit], "Waypoint", Table13[Shift], "All", Table13[Month Received], "March")</f>
        <v>0</v>
      </c>
      <c r="G134" s="27">
        <f>COUNTIFS(Table13[Resident''s Unit], "Waypoint", Table13[Shift], "All", Table13[Month Received], "April")</f>
        <v>0</v>
      </c>
      <c r="H134" s="27">
        <f>COUNTIFS(Table13[Resident''s Unit], "Waypoint", Table13[Shift], "All", Table13[Month Received], "May")</f>
        <v>0</v>
      </c>
      <c r="I134" s="27">
        <f>COUNTIFS(Table13[Resident''s Unit], "Waypoint", Table13[Shift], "All", Table13[Month Received], "June")</f>
        <v>0</v>
      </c>
      <c r="J134" s="27">
        <f>COUNTIFS(Table13[Resident''s Unit], "Waypoint", Table13[Shift], "All", Table13[Month Received], "July")</f>
        <v>0</v>
      </c>
      <c r="K134" s="27">
        <f>COUNTIFS(Table13[Resident''s Unit], "Waypoint", Table13[Shift], "All", Table13[Month Received], "August")</f>
        <v>0</v>
      </c>
      <c r="L134" s="27">
        <f>COUNTIFS(Table13[Resident''s Unit], "Waypoint", Table13[Shift], "All", Table13[Month Received], "September")</f>
        <v>0</v>
      </c>
      <c r="M134" s="27">
        <f>COUNTIFS(Table13[Resident''s Unit], "Waypoint", Table13[Shift], "All", Table13[Month Received], "October")</f>
        <v>0</v>
      </c>
      <c r="N134" s="27">
        <f>COUNTIFS(Table13[Resident''s Unit], "Waypoint", Table13[Shift], "All", Table13[Month Received], "November")</f>
        <v>0</v>
      </c>
      <c r="O134" s="27">
        <f>COUNTIFS(Table13[Resident''s Unit], "Waypoint", Table13[Shift], "All", Table13[Month Received], "December")</f>
        <v>0</v>
      </c>
      <c r="P134" s="27">
        <f t="shared" si="20"/>
        <v>0</v>
      </c>
    </row>
    <row r="135" spans="1:16" x14ac:dyDescent="0.55000000000000004">
      <c r="B135" s="27"/>
      <c r="C135" s="27"/>
      <c r="D135" s="27"/>
      <c r="E135" s="27"/>
      <c r="F135" s="27"/>
      <c r="G135" s="27"/>
      <c r="H135" s="27"/>
      <c r="I135" s="27"/>
      <c r="J135" s="27"/>
      <c r="K135" s="27"/>
      <c r="L135" s="27"/>
      <c r="M135" s="27"/>
      <c r="N135" s="27"/>
      <c r="O135" s="27"/>
    </row>
    <row r="136" spans="1:16" x14ac:dyDescent="0.55000000000000004">
      <c r="A136" s="1" t="s">
        <v>409</v>
      </c>
      <c r="B136" s="27">
        <f>COUNTIFS(Table13[Resident''s Unit], "Waypoint", Table13[Shift], "1st", Table13[1st Implicated Staff], "WP General Staff")</f>
        <v>0</v>
      </c>
      <c r="C136" s="27"/>
      <c r="D136" s="27">
        <f>COUNTIFS(Table13[Resident''s Unit], "Waypoint", Table13[Shift], "1st", Table13[1st Implicated Staff], "WP General Staff", Table13[Month Received], "January")</f>
        <v>0</v>
      </c>
      <c r="E136" s="27">
        <f>COUNTIFS(Table13[Resident''s Unit], "Waypoint", Table13[Shift], "1st", Table13[1st Implicated Staff], "WP General Staff", Table13[Month Received], "February")</f>
        <v>0</v>
      </c>
      <c r="F136" s="27">
        <f>COUNTIFS(Table13[Resident''s Unit], "Waypoint", Table13[Shift], "1st", Table13[1st Implicated Staff], "WP General Staff", Table13[Month Received], "March")</f>
        <v>0</v>
      </c>
      <c r="G136" s="27">
        <f>COUNTIFS(Table13[Resident''s Unit], "Waypoint", Table13[Shift], "1st", Table13[1st Implicated Staff], "WP General Staff", Table13[Month Received], "April")</f>
        <v>0</v>
      </c>
      <c r="H136" s="27">
        <f>COUNTIFS(Table13[Resident''s Unit], "Waypoint", Table13[Shift], "1st", Table13[1st Implicated Staff], "WP General Staff", Table13[Month Received], "May")</f>
        <v>0</v>
      </c>
      <c r="I136" s="27">
        <f>COUNTIFS(Table13[Resident''s Unit], "Waypoint", Table13[Shift], "1st", Table13[1st Implicated Staff], "WP General Staff", Table13[Month Received], "June")</f>
        <v>0</v>
      </c>
      <c r="J136" s="27">
        <f>COUNTIFS(Table13[Resident''s Unit], "Waypoint", Table13[Shift], "1st", Table13[1st Implicated Staff], "WP General Staff", Table13[Month Received], "July")</f>
        <v>0</v>
      </c>
      <c r="K136" s="27">
        <f>COUNTIFS(Table13[Resident''s Unit], "Waypoint", Table13[Shift], "1st", Table13[1st Implicated Staff], "WP General Staff", Table13[Month Received], "August")</f>
        <v>0</v>
      </c>
      <c r="L136" s="27">
        <f>COUNTIFS(Table13[Resident''s Unit], "Waypoint", Table13[Shift], "1st", Table13[1st Implicated Staff], "WP General Staff", Table13[Month Received], "September")</f>
        <v>0</v>
      </c>
      <c r="M136" s="27">
        <f>COUNTIFS(Table13[Resident''s Unit], "Waypoint", Table13[Shift], "1st", Table13[1st Implicated Staff], "WP General Staff", Table13[Month Received], "October")</f>
        <v>0</v>
      </c>
      <c r="N136" s="27">
        <f>COUNTIFS(Table13[Resident''s Unit], "Waypoint", Table13[Shift], "1st", Table13[1st Implicated Staff], "WP General Staff", Table13[Month Received], "November")</f>
        <v>0</v>
      </c>
      <c r="O136" s="27">
        <f>COUNTIFS(Table13[Resident''s Unit], "Waypoint", Table13[Shift], "1st", Table13[1st Implicated Staff], "WP General Staff", Table13[Month Received], "December")</f>
        <v>0</v>
      </c>
      <c r="P136" s="27">
        <f t="shared" ref="P136:P139" si="21">SUM(D136:O136)</f>
        <v>0</v>
      </c>
    </row>
    <row r="137" spans="1:16" x14ac:dyDescent="0.55000000000000004">
      <c r="A137" s="1" t="s">
        <v>415</v>
      </c>
      <c r="B137" s="27">
        <f>COUNTIFS(Table13[Resident''s Unit], "Waypoint", Table13[Shift], "1st &amp; 2nd", Table13[1st Implicated Staff], "WP General Staff")</f>
        <v>0</v>
      </c>
      <c r="C137" s="27"/>
      <c r="D137" s="27">
        <f>COUNTIFS(Table13[Resident''s Unit], "Waypoint", Table13[Shift], "1st &amp; 2nd", Table13[1st Implicated Staff], "WP General Staff", Table13[Month Received], "January")</f>
        <v>0</v>
      </c>
      <c r="E137" s="27">
        <f>COUNTIFS(Table13[Resident''s Unit], "Waypoint", Table13[Shift], "1st &amp; 2nd", Table13[1st Implicated Staff], "WP General Staff", Table13[Month Received], "February")</f>
        <v>0</v>
      </c>
      <c r="F137" s="27">
        <f>COUNTIFS(Table13[Resident''s Unit], "Waypoint", Table13[Shift], "1st &amp; 2nd", Table13[1st Implicated Staff], "WP General Staff", Table13[Month Received], "March")</f>
        <v>0</v>
      </c>
      <c r="G137" s="27">
        <f>COUNTIFS(Table13[Resident''s Unit], "Waypoint", Table13[Shift], "1st &amp; 2nd", Table13[1st Implicated Staff], "WP General Staff", Table13[Month Received], "April")</f>
        <v>0</v>
      </c>
      <c r="H137" s="27">
        <f>COUNTIFS(Table13[Resident''s Unit], "Waypoint", Table13[Shift], "1st &amp; 2nd", Table13[1st Implicated Staff], "WP General Staff", Table13[Month Received], "May")</f>
        <v>0</v>
      </c>
      <c r="I137" s="27">
        <f>COUNTIFS(Table13[Resident''s Unit], "Waypoint", Table13[Shift], "1st  &amp; 2nd", Table13[1st Implicated Staff], "WP General Staff", Table13[Month Received], "June")</f>
        <v>0</v>
      </c>
      <c r="J137" s="27">
        <f>COUNTIFS(Table13[Resident''s Unit], "Waypoint", Table13[Shift], "1st &amp; 2nd", Table13[1st Implicated Staff], "WP General Staff", Table13[Month Received], "July")</f>
        <v>0</v>
      </c>
      <c r="K137" s="27">
        <f>COUNTIFS(Table13[Resident''s Unit], "Waypoint", Table13[Shift], "1st &amp; 2nd", Table13[1st Implicated Staff], "WP General Staff", Table13[Month Received], "August")</f>
        <v>0</v>
      </c>
      <c r="L137" s="27">
        <f>COUNTIFS(Table13[Resident''s Unit], "Waypoint", Table13[Shift], "1st &amp; 2nd", Table13[1st Implicated Staff], "WP General Staff", Table13[Month Received], "September")</f>
        <v>0</v>
      </c>
      <c r="M137" s="27">
        <f>COUNTIFS(Table13[Resident''s Unit], "Waypoint", Table13[Shift], "1st &amp; 2nd", Table13[1st Implicated Staff], "WP General Staff", Table13[Month Received], "October")</f>
        <v>0</v>
      </c>
      <c r="N137" s="27">
        <f>COUNTIFS(Table13[Resident''s Unit], "Waypoint", Table13[Shift], "1st &amp; 2nd", Table13[1st Implicated Staff], "WP General Staff", Table13[Month Received], "November")</f>
        <v>0</v>
      </c>
      <c r="O137" s="27">
        <f>COUNTIFS(Table13[Resident''s Unit], "Waypoint", Table13[Shift], "1st &amp; 2nd", Table13[1st Implicated Staff], "WP General Staff", Table13[Month Received], "December")</f>
        <v>0</v>
      </c>
      <c r="P137" s="27">
        <f t="shared" si="21"/>
        <v>0</v>
      </c>
    </row>
    <row r="138" spans="1:16" x14ac:dyDescent="0.55000000000000004">
      <c r="A138" s="1" t="s">
        <v>410</v>
      </c>
      <c r="B138" s="27">
        <f>COUNTIFS(Table13[Resident''s Unit], "Waypoint", Table13[Shift], "2nd", Table13[1st Implicated Staff], "WP General Staff")</f>
        <v>0</v>
      </c>
      <c r="C138" s="27"/>
      <c r="D138" s="27">
        <f>COUNTIFS(Table13[Resident''s Unit], "Waypoint", Table13[Shift], "2nd", Table13[1st Implicated Staff], "WP General Staff", Table13[Month Received], "January")</f>
        <v>0</v>
      </c>
      <c r="E138" s="27">
        <f>COUNTIFS(Table13[Resident''s Unit], "Waypoint", Table13[Shift], "2nd", Table13[1st Implicated Staff], "WP General Staff", Table13[Month Received], "February")</f>
        <v>0</v>
      </c>
      <c r="F138" s="27">
        <f>COUNTIFS(Table13[Resident''s Unit], "Waypoint", Table13[Shift], "2nd", Table13[1st Implicated Staff], "WP General Staff", Table13[Month Received], "March")</f>
        <v>0</v>
      </c>
      <c r="G138" s="27">
        <f>COUNTIFS(Table13[Resident''s Unit], "Waypoint", Table13[Shift], "2nd", Table13[1st Implicated Staff], "WP General Staff", Table13[Month Received], "April")</f>
        <v>0</v>
      </c>
      <c r="H138" s="27">
        <f>COUNTIFS(Table13[Resident''s Unit], "Waypoint", Table13[Shift], "2nd", Table13[1st Implicated Staff], "WP General Staff", Table13[Month Received], "May")</f>
        <v>0</v>
      </c>
      <c r="I138" s="27">
        <f>COUNTIFS(Table13[Resident''s Unit], "Waypoint", Table13[Shift], "2nd", Table13[1st Implicated Staff], "WP General Staff", Table13[Month Received], "June")</f>
        <v>0</v>
      </c>
      <c r="J138" s="27">
        <f>COUNTIFS(Table13[Resident''s Unit], "Waypoint", Table13[Shift], "2nd", Table13[1st Implicated Staff], "WP General Staff", Table13[Month Received], "July")</f>
        <v>0</v>
      </c>
      <c r="K138" s="27">
        <f>COUNTIFS(Table13[Resident''s Unit], "Waypoint", Table13[Shift], "2nd", Table13[1st Implicated Staff], "WP General Staff", Table13[Month Received], "August")</f>
        <v>0</v>
      </c>
      <c r="L138" s="27">
        <f>COUNTIFS(Table13[Resident''s Unit], "Waypoint", Table13[Shift], "2nd", Table13[1st Implicated Staff], "WP General Staff", Table13[Month Received], "September")</f>
        <v>0</v>
      </c>
      <c r="M138" s="27">
        <f>COUNTIFS(Table13[Resident''s Unit], "Waypoint", Table13[Shift], "2nd", Table13[1st Implicated Staff], "WP General Staff", Table13[Month Received], "October")</f>
        <v>0</v>
      </c>
      <c r="N138" s="27">
        <f>COUNTIFS(Table13[Resident''s Unit], "Waypoint", Table13[Shift], "2nd", Table13[1st Implicated Staff], "WP General Staff", Table13[Month Received], "November")</f>
        <v>0</v>
      </c>
      <c r="O138" s="27">
        <f>COUNTIFS(Table13[Resident''s Unit], "Waypoint", Table13[Shift], "2nd", Table13[1st Implicated Staff], "WP General Staff", Table13[Month Received], "December")</f>
        <v>0</v>
      </c>
      <c r="P138" s="27">
        <f t="shared" si="21"/>
        <v>0</v>
      </c>
    </row>
    <row r="139" spans="1:16" x14ac:dyDescent="0.55000000000000004">
      <c r="A139" s="1" t="s">
        <v>416</v>
      </c>
      <c r="B139" s="27">
        <f>COUNTIFS(Table13[Resident''s Unit], "Waypoint", Table13[Shift], "2nd &amp; 3rd", Table13[1st Implicated Staff], "WP General Staff")</f>
        <v>0</v>
      </c>
      <c r="C139" s="27"/>
      <c r="D139" s="27">
        <f>COUNTIFS(Table13[Resident''s Unit], "Waypoint", Table13[Shift], "2nd &amp; 3rd", Table13[1st Implicated Staff], "WP General Staff", Table13[Month Received], "January")</f>
        <v>0</v>
      </c>
      <c r="E139" s="27">
        <f>COUNTIFS(Table13[Resident''s Unit], "Waypoint", Table13[Shift], "2nd &amp; 3rd", Table13[1st Implicated Staff], "WP General Staff", Table13[Month Received], "February")</f>
        <v>0</v>
      </c>
      <c r="F139" s="27">
        <f>COUNTIFS(Table13[Resident''s Unit], "Waypoint", Table13[Shift], "2nd &amp; 3rd", Table13[1st Implicated Staff], "WP General Staff", Table13[Month Received], "March")</f>
        <v>0</v>
      </c>
      <c r="G139" s="27">
        <f>COUNTIFS(Table13[Resident''s Unit], "Waypoint", Table13[Shift], "2nd &amp; 3rd", Table13[1st Implicated Staff], "WP General Staff", Table13[Month Received], "April")</f>
        <v>0</v>
      </c>
      <c r="H139" s="27">
        <f>COUNTIFS(Table13[Resident''s Unit], "Waypoint", Table13[Shift], "2nd &amp; 3rd", Table13[1st Implicated Staff], "WP General Staff", Table13[Month Received], "May")</f>
        <v>0</v>
      </c>
      <c r="I139" s="27">
        <f>COUNTIFS(Table13[Resident''s Unit], "Waypoint", Table13[Shift], "2nd &amp; 3rd", Table13[1st Implicated Staff], "WP General Staff", Table13[Month Received], "June")</f>
        <v>0</v>
      </c>
      <c r="J139" s="27">
        <f>COUNTIFS(Table13[Resident''s Unit], "Waypoint", Table13[Shift], "2nd &amp; 3rd", Table13[1st Implicated Staff], "WP General Staff", Table13[Month Received], "July")</f>
        <v>0</v>
      </c>
      <c r="K139" s="27">
        <f>COUNTIFS(Table13[Resident''s Unit], "Waypoint", Table13[Shift], "2nd &amp; 3rd", Table13[1st Implicated Staff], "WP General Staff", Table13[Month Received], "August")</f>
        <v>0</v>
      </c>
      <c r="L139" s="27">
        <f>COUNTIFS(Table13[Resident''s Unit], "Waypoint", Table13[Shift], "2nd &amp; 3rd", Table13[1st Implicated Staff], "WP General Staff", Table13[Month Received], "September")</f>
        <v>0</v>
      </c>
      <c r="M139" s="27">
        <f>COUNTIFS(Table13[Resident''s Unit], "Waypoint", Table13[Shift], "2nd &amp; 3rd", Table13[1st Implicated Staff], "WP General Staff", Table13[Month Received], "October")</f>
        <v>0</v>
      </c>
      <c r="N139" s="27">
        <f>COUNTIFS(Table13[Resident''s Unit], "Waypoint", Table13[Shift], "2nd &amp; 3rd", Table13[1st Implicated Staff], "WP General Staff", Table13[Month Received], "November")</f>
        <v>0</v>
      </c>
      <c r="O139" s="27">
        <f>COUNTIFS(Table13[Resident''s Unit], "Waypoint", Table13[Shift], "2nd &amp; 3rd", Table13[1st Implicated Staff], "WP General Staff", Table13[Month Received], "December")</f>
        <v>0</v>
      </c>
      <c r="P139" s="27">
        <f t="shared" si="21"/>
        <v>0</v>
      </c>
    </row>
    <row r="140" spans="1:16" x14ac:dyDescent="0.55000000000000004">
      <c r="A140" s="1" t="s">
        <v>411</v>
      </c>
      <c r="B140" s="27">
        <f>COUNTIFS(Table13[Resident''s Unit], "Waypoint", Table13[Shift], "3rd", Table13[1st Implicated Staff], "WP General Staff")</f>
        <v>0</v>
      </c>
      <c r="C140" s="27"/>
      <c r="D140" s="27">
        <f>COUNTIFS(Table13[Resident''s Unit], "Waypoint", Table13[Shift], "3rd", Table13[1st Implicated Staff], "WP General Staff", Table13[Month Received], "January")</f>
        <v>0</v>
      </c>
      <c r="E140" s="27">
        <f>COUNTIFS(Table13[Resident''s Unit], "Waypoint", Table13[Shift], "3rd", Table13[1st Implicated Staff], "WP General Staff", Table13[Month Received], "February")</f>
        <v>0</v>
      </c>
      <c r="F140" s="27">
        <f>COUNTIFS(Table13[Resident''s Unit], "Waypoint", Table13[Shift], "3rd", Table13[1st Implicated Staff], "WP General Staff", Table13[Month Received], "March")</f>
        <v>0</v>
      </c>
      <c r="G140" s="27">
        <f>COUNTIFS(Table13[Resident''s Unit], "Waypoint", Table13[Shift], "3rd", Table13[1st Implicated Staff], "WP General Staff", Table13[Month Received], "April")</f>
        <v>0</v>
      </c>
      <c r="H140" s="27">
        <f>COUNTIFS(Table13[Resident''s Unit], "Waypoint", Table13[Shift], "3rd", Table13[1st Implicated Staff], "WP General Staff", Table13[Month Received], "May")</f>
        <v>0</v>
      </c>
      <c r="I140" s="27">
        <f>COUNTIFS(Table13[Resident''s Unit], "Waypoint", Table13[Shift], "3rd", Table13[1st Implicated Staff], "WP General Staff", Table13[Month Received], "June")</f>
        <v>0</v>
      </c>
      <c r="J140" s="27">
        <f>COUNTIFS(Table13[Resident''s Unit], "Waypoint", Table13[Shift], "3rd", Table13[1st Implicated Staff], "WP General Staff", Table13[Month Received], "July")</f>
        <v>0</v>
      </c>
      <c r="K140" s="27">
        <f>COUNTIFS(Table13[Resident''s Unit], "Waypoint", Table13[Shift], "3rd", Table13[1st Implicated Staff], "WP General Staff", Table13[Month Received], "August")</f>
        <v>0</v>
      </c>
      <c r="L140" s="27">
        <f>COUNTIFS(Table13[Resident''s Unit], "Waypoint", Table13[Shift], "3rd", Table13[1st Implicated Staff], "WP General Staff", Table13[Month Received], "September")</f>
        <v>0</v>
      </c>
      <c r="M140" s="27">
        <f>COUNTIFS(Table13[Resident''s Unit], "Waypoint", Table13[Shift], "3rd", Table13[1st Implicated Staff], "WP General Staff", Table13[Month Received], "October")</f>
        <v>0</v>
      </c>
      <c r="N140" s="27">
        <f>COUNTIFS(Table13[Resident''s Unit], "Waypoint", Table13[Shift], "3rd", Table13[1st Implicated Staff], "WP General Staff", Table13[Month Received], "November")</f>
        <v>0</v>
      </c>
      <c r="O140" s="27">
        <f>COUNTIFS(Table13[Resident''s Unit], "Waypoint", Table13[Shift], "3rd", Table13[1st Implicated Staff], "WP General Staff", Table13[Month Received], "December")</f>
        <v>0</v>
      </c>
      <c r="P140" s="27">
        <f>SUM(D140:O140)</f>
        <v>0</v>
      </c>
    </row>
    <row r="141" spans="1:16" x14ac:dyDescent="0.55000000000000004">
      <c r="A141" s="1" t="s">
        <v>417</v>
      </c>
      <c r="B141" s="27">
        <f>COUNTIFS(Table13[Resident''s Unit], "Waypoint", Table13[Shift], "3rd &amp; 1st", Table13[1st Implicated Staff], "WP General Staff")</f>
        <v>0</v>
      </c>
      <c r="C141" s="27"/>
      <c r="D141" s="27">
        <f>COUNTIFS(Table13[Resident''s Unit], "Waypoint", Table13[Shift], "3rd &amp; 1st", Table13[1st Implicated Staff], "WP General Staff", Table13[Month Received], "January")</f>
        <v>0</v>
      </c>
      <c r="E141" s="27">
        <f>COUNTIFS(Table13[Resident''s Unit], "Waypoint", Table13[Shift], "3rd &amp; 1st", Table13[1st Implicated Staff], "WP General Staff", Table13[Month Received], "February")</f>
        <v>0</v>
      </c>
      <c r="F141" s="27">
        <f>COUNTIFS(Table13[Resident''s Unit], "Waypoint", Table13[Shift], "3rd &amp; 1st", Table13[1st Implicated Staff], "WP General Staff", Table13[Month Received], "March")</f>
        <v>0</v>
      </c>
      <c r="G141" s="27">
        <f>COUNTIFS(Table13[Resident''s Unit], "Waypoint", Table13[Shift], "3rd &amp; 1st", Table13[1st Implicated Staff], "WP General Staff", Table13[Month Received], "April")</f>
        <v>0</v>
      </c>
      <c r="H141" s="27">
        <f>COUNTIFS(Table13[Resident''s Unit], "Waypoint", Table13[Shift], "3rd &amp; 1st", Table13[1st Implicated Staff], "WP General Staff", Table13[Month Received], "May")</f>
        <v>0</v>
      </c>
      <c r="I141" s="27">
        <f>COUNTIFS(Table13[Resident''s Unit], "Waypoint", Table13[Shift], "3rd &amp; 1st", Table13[1st Implicated Staff], "WP General Staff", Table13[Month Received], "June")</f>
        <v>0</v>
      </c>
      <c r="J141" s="27">
        <f>COUNTIFS(Table13[Resident''s Unit], "Waypoint", Table13[Shift], "3rd &amp; 1st", Table13[1st Implicated Staff], "WP General Staff", Table13[Month Received], "July")</f>
        <v>0</v>
      </c>
      <c r="K141" s="27">
        <f>COUNTIFS(Table13[Resident''s Unit], "Waypoint", Table13[Shift], "3rd &amp; 1st", Table13[1st Implicated Staff], "WP General Staff", Table13[Month Received], "August")</f>
        <v>0</v>
      </c>
      <c r="L141" s="27">
        <f>COUNTIFS(Table13[Resident''s Unit], "Waypoint", Table13[Shift], "3rd &amp; 1st", Table13[1st Implicated Staff], "WP General Staff", Table13[Month Received], "September")</f>
        <v>0</v>
      </c>
      <c r="M141" s="27">
        <f>COUNTIFS(Table13[Resident''s Unit], "Waypoint", Table13[Shift], "3rd &amp; 1st", Table13[1st Implicated Staff], "WP General Staff", Table13[Month Received], "October")</f>
        <v>0</v>
      </c>
      <c r="N141" s="27">
        <f>COUNTIFS(Table13[Resident''s Unit], "Waypoint", Table13[Shift], "3rd &amp; 1st", Table13[1st Implicated Staff], "WP General Staff", Table13[Month Received], "November")</f>
        <v>0</v>
      </c>
      <c r="O141" s="27">
        <f>COUNTIFS(Table13[Resident''s Unit], "Waypoint", Table13[Shift], "3rd &amp; 1st", Table13[1st Implicated Staff], "WP General Staff", Table13[Month Received], "December")</f>
        <v>0</v>
      </c>
      <c r="P141" s="27">
        <f t="shared" ref="P141:P142" si="22">SUM(D141:O141)</f>
        <v>0</v>
      </c>
    </row>
    <row r="142" spans="1:16" x14ac:dyDescent="0.55000000000000004">
      <c r="A142" s="1" t="s">
        <v>412</v>
      </c>
      <c r="B142" s="27">
        <f>COUNTIFS(Table13[Resident''s Unit], "Waypoint", Table13[Shift], "All", Table13[1st Implicated Staff], "WP General Staff")</f>
        <v>0</v>
      </c>
      <c r="C142" s="27"/>
      <c r="D142" s="27">
        <f>COUNTIFS(Table13[Resident''s Unit], "Waypoint", Table13[Shift], "All", Table13[1st Implicated Staff], "WP General Staff", Table13[Month Received], "January")</f>
        <v>0</v>
      </c>
      <c r="E142" s="27">
        <f>COUNTIFS(Table13[Resident''s Unit], "Waypoint", Table13[Shift], "All", Table13[1st Implicated Staff], "WP General Staff", Table13[Month Received], "February")</f>
        <v>0</v>
      </c>
      <c r="F142" s="27">
        <f>COUNTIFS(Table13[Resident''s Unit], "Waypoint", Table13[Shift], "All", Table13[1st Implicated Staff], "WP General Staff", Table13[Month Received], "March")</f>
        <v>0</v>
      </c>
      <c r="G142" s="27">
        <f>COUNTIFS(Table13[Resident''s Unit], "Waypoint", Table13[Shift], "All", Table13[1st Implicated Staff], "WP General Staff", Table13[Month Received], "April")</f>
        <v>0</v>
      </c>
      <c r="H142" s="27">
        <f>COUNTIFS(Table13[Resident''s Unit], "Waypoint", Table13[Shift], "All", Table13[1st Implicated Staff], "WP General Staff", Table13[Month Received], "May")</f>
        <v>0</v>
      </c>
      <c r="I142" s="27">
        <f>COUNTIFS(Table13[Resident''s Unit], "Waypoint", Table13[Shift], "All", Table13[1st Implicated Staff], "WP General Staff", Table13[Month Received], "June")</f>
        <v>0</v>
      </c>
      <c r="J142" s="27">
        <f>COUNTIFS(Table13[Resident''s Unit], "Waypoint", Table13[Shift], "All", Table13[1st Implicated Staff], "WP General Staff", Table13[Month Received], "July")</f>
        <v>0</v>
      </c>
      <c r="K142" s="27">
        <f>COUNTIFS(Table13[Resident''s Unit], "Waypoint", Table13[Shift], "All", Table13[1st Implicated Staff], "WP General Staff", Table13[Month Received], "August")</f>
        <v>0</v>
      </c>
      <c r="L142" s="27">
        <f>COUNTIFS(Table13[Resident''s Unit], "Waypoint", Table13[Shift], "All", Table13[1st Implicated Staff], "WP General Staff", Table13[Month Received], "September")</f>
        <v>0</v>
      </c>
      <c r="M142" s="27">
        <f>COUNTIFS(Table13[Resident''s Unit], "Waypoint", Table13[Shift], "All", Table13[1st Implicated Staff], "WP General Staff", Table13[Month Received], "October")</f>
        <v>0</v>
      </c>
      <c r="N142" s="27">
        <f>COUNTIFS(Table13[Resident''s Unit], "Waypoint", Table13[Shift], "All", Table13[1st Implicated Staff], "WP General Staff", Table13[Month Received], "November")</f>
        <v>0</v>
      </c>
      <c r="O142" s="27">
        <f>COUNTIFS(Table13[Resident''s Unit], "Waypoint", Table13[Shift], "All", Table13[1st Implicated Staff], "WP General Staff", Table13[Month Received], "December")</f>
        <v>0</v>
      </c>
      <c r="P142" s="27">
        <f t="shared" si="22"/>
        <v>0</v>
      </c>
    </row>
  </sheetData>
  <pageMargins left="0.25" right="0.25" top="0.75" bottom="0.75" header="0.3" footer="0.3"/>
  <pageSetup orientation="portrait" r:id="rId1"/>
  <headerFooter>
    <oddHeader>&amp;C&amp;P</oddHeader>
  </headerFooter>
  <tableParts count="8">
    <tablePart r:id="rId2"/>
    <tablePart r:id="rId3"/>
    <tablePart r:id="rId4"/>
    <tablePart r:id="rId5"/>
    <tablePart r:id="rId6"/>
    <tablePart r:id="rId7"/>
    <tablePart r:id="rId8"/>
    <tablePart r:id="rId9"/>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tabColor theme="4"/>
  </sheetPr>
  <dimension ref="A1:P153"/>
  <sheetViews>
    <sheetView topLeftCell="K1" zoomScale="80" zoomScaleNormal="80" workbookViewId="0">
      <selection activeCell="G6" sqref="G6"/>
    </sheetView>
  </sheetViews>
  <sheetFormatPr defaultRowHeight="14.4" x14ac:dyDescent="0.55000000000000004"/>
  <cols>
    <col min="1" max="1" width="22.15625" customWidth="1"/>
    <col min="2" max="2" width="5.5234375" style="27" customWidth="1"/>
    <col min="3" max="3" width="6.734375" style="27" customWidth="1"/>
    <col min="4" max="4" width="6.26171875" style="27" customWidth="1"/>
    <col min="5" max="6" width="5.5234375" style="27" customWidth="1"/>
    <col min="7" max="7" width="4.26171875" style="27" customWidth="1"/>
    <col min="8" max="8" width="4.7890625" style="27" customWidth="1"/>
    <col min="9" max="9" width="5.5234375" style="27" customWidth="1"/>
    <col min="10" max="10" width="6" style="27" customWidth="1"/>
    <col min="11" max="11" width="5.7890625" style="27" customWidth="1"/>
    <col min="12" max="12" width="5.734375" style="27" customWidth="1"/>
    <col min="13" max="13" width="6.26171875" style="27" customWidth="1"/>
    <col min="14" max="14" width="6.5234375" style="27" customWidth="1"/>
    <col min="15" max="15" width="4.7890625" customWidth="1"/>
    <col min="25" max="25" width="4.5234375" customWidth="1"/>
    <col min="32" max="32" width="12.7890625" customWidth="1"/>
    <col min="33" max="33" width="5.5234375" customWidth="1"/>
    <col min="38" max="38" width="6" customWidth="1"/>
  </cols>
  <sheetData>
    <row r="1" spans="1:16" x14ac:dyDescent="0.55000000000000004">
      <c r="P1" s="19" t="s">
        <v>286</v>
      </c>
    </row>
    <row r="2" spans="1:16" s="145" customFormat="1" x14ac:dyDescent="0.55000000000000004">
      <c r="B2" s="146"/>
      <c r="C2" s="146"/>
      <c r="D2" s="146"/>
      <c r="E2" s="146"/>
      <c r="F2" s="146"/>
      <c r="G2" s="146"/>
      <c r="H2" s="146"/>
      <c r="I2" s="146"/>
      <c r="J2" s="146"/>
      <c r="K2" s="146"/>
      <c r="L2" s="146"/>
      <c r="M2" s="146"/>
      <c r="N2" s="146"/>
    </row>
    <row r="3" spans="1:16" x14ac:dyDescent="0.55000000000000004">
      <c r="A3" s="20" t="s">
        <v>234</v>
      </c>
      <c r="B3" s="113" t="s">
        <v>94</v>
      </c>
      <c r="C3" s="113" t="s">
        <v>95</v>
      </c>
      <c r="D3" s="113" t="s">
        <v>96</v>
      </c>
      <c r="E3" s="113" t="s">
        <v>97</v>
      </c>
      <c r="F3" s="113" t="s">
        <v>93</v>
      </c>
      <c r="G3" s="113" t="s">
        <v>98</v>
      </c>
      <c r="H3" s="113" t="s">
        <v>99</v>
      </c>
      <c r="I3" s="113" t="s">
        <v>100</v>
      </c>
      <c r="J3" s="113" t="s">
        <v>101</v>
      </c>
      <c r="K3" s="113" t="s">
        <v>102</v>
      </c>
      <c r="L3" s="113" t="s">
        <v>103</v>
      </c>
      <c r="M3" s="113" t="s">
        <v>104</v>
      </c>
      <c r="N3" s="109" t="s">
        <v>113</v>
      </c>
    </row>
    <row r="4" spans="1:16" x14ac:dyDescent="0.55000000000000004">
      <c r="A4" s="21" t="b">
        <v>0</v>
      </c>
      <c r="B4" s="114">
        <f t="shared" ref="B4:G4" si="0">SUM(B5:B6)</f>
        <v>0</v>
      </c>
      <c r="C4" s="114">
        <f t="shared" si="0"/>
        <v>0</v>
      </c>
      <c r="D4" s="114">
        <f t="shared" si="0"/>
        <v>0</v>
      </c>
      <c r="E4" s="114">
        <f t="shared" si="0"/>
        <v>0</v>
      </c>
      <c r="F4" s="114">
        <f t="shared" si="0"/>
        <v>0</v>
      </c>
      <c r="G4" s="114">
        <f t="shared" si="0"/>
        <v>0</v>
      </c>
      <c r="H4" s="114"/>
      <c r="I4" s="114"/>
      <c r="J4" s="114"/>
      <c r="K4" s="114"/>
      <c r="L4" s="114"/>
      <c r="M4" s="114"/>
      <c r="N4" s="110">
        <f>SUM(B4:M4)</f>
        <v>0</v>
      </c>
    </row>
    <row r="5" spans="1:16" x14ac:dyDescent="0.55000000000000004">
      <c r="A5" s="22" t="s">
        <v>105</v>
      </c>
      <c r="B5" s="27">
        <f>COUNTIFS('2015 Grievance Tracking'!W:W, "1.1", '2015 Grievance Tracking'!AJ:AJ, "January")</f>
        <v>0</v>
      </c>
      <c r="C5" s="27">
        <f>COUNTIFS('2015 Grievance Tracking'!W:W, "1.1", '2015 Grievance Tracking'!AJ:AJ, "February")</f>
        <v>0</v>
      </c>
      <c r="D5" s="27">
        <f>COUNTIFS('2015 Grievance Tracking'!W:W, "1.1", '2015 Grievance Tracking'!AJ:AJ, "March")</f>
        <v>0</v>
      </c>
      <c r="E5" s="27">
        <f>COUNTIFS('2015 Grievance Tracking'!W:W, "1.1", '2015 Grievance Tracking'!AJ:AJ, "April")</f>
        <v>0</v>
      </c>
      <c r="F5" s="27">
        <f>COUNTIFS('2015 Grievance Tracking'!W:W, "1.1", '2015 Grievance Tracking'!AJ:AJ, "May")</f>
        <v>0</v>
      </c>
      <c r="G5" s="27">
        <f>COUNTIFS('2015 Grievance Tracking'!W:W, "1.1", '2015 Grievance Tracking'!AJ:AJ, "June")</f>
        <v>0</v>
      </c>
      <c r="N5" s="111">
        <f t="shared" ref="N5:N14" si="1">SUM(B5:M5)</f>
        <v>0</v>
      </c>
    </row>
    <row r="6" spans="1:16" x14ac:dyDescent="0.55000000000000004">
      <c r="A6" s="22" t="s">
        <v>106</v>
      </c>
      <c r="B6" s="27">
        <f>COUNTIFS('2015 Grievance Tracking'!W:W, "1.2", '2015 Grievance Tracking'!AJ:AJ, "January")</f>
        <v>0</v>
      </c>
      <c r="C6" s="27">
        <f>COUNTIFS('2015 Grievance Tracking'!W:W, "1.2", '2015 Grievance Tracking'!AJ:AJ, "February")</f>
        <v>0</v>
      </c>
      <c r="D6" s="27">
        <f>COUNTIFS('2015 Grievance Tracking'!W:W, "1.2", '2015 Grievance Tracking'!AJ:AJ, "March")</f>
        <v>0</v>
      </c>
      <c r="E6" s="27">
        <f>COUNTIFS('2015 Grievance Tracking'!W:W, "1.2", '2015 Grievance Tracking'!AJ:AJ, "April")</f>
        <v>0</v>
      </c>
      <c r="F6" s="27">
        <f>COUNTIFS('2015 Grievance Tracking'!W:W, "1.2", '2015 Grievance Tracking'!AJ:AJ, "May")</f>
        <v>0</v>
      </c>
      <c r="G6" s="27">
        <f>COUNTIFS('2015 Grievance Tracking'!W:W, "1.2", '2015 Grievance Tracking'!AJ:AJ, "June")</f>
        <v>0</v>
      </c>
      <c r="N6" s="111">
        <f>SUM(B6:M6)</f>
        <v>0</v>
      </c>
    </row>
    <row r="7" spans="1:16" x14ac:dyDescent="0.55000000000000004">
      <c r="A7" s="21" t="b">
        <v>1</v>
      </c>
      <c r="B7" s="115">
        <f t="shared" ref="B7:G7" si="2">SUM(B8:B11)</f>
        <v>0</v>
      </c>
      <c r="C7" s="115">
        <f t="shared" si="2"/>
        <v>0</v>
      </c>
      <c r="D7" s="115">
        <f t="shared" si="2"/>
        <v>0</v>
      </c>
      <c r="E7" s="115">
        <f t="shared" si="2"/>
        <v>0</v>
      </c>
      <c r="F7" s="115">
        <f t="shared" si="2"/>
        <v>0</v>
      </c>
      <c r="G7" s="115">
        <f t="shared" si="2"/>
        <v>0</v>
      </c>
      <c r="H7" s="115"/>
      <c r="I7" s="115"/>
      <c r="J7" s="115"/>
      <c r="K7" s="115"/>
      <c r="L7" s="115"/>
      <c r="M7" s="115"/>
      <c r="N7" s="110">
        <f t="shared" si="1"/>
        <v>0</v>
      </c>
    </row>
    <row r="8" spans="1:16" x14ac:dyDescent="0.55000000000000004">
      <c r="A8" s="22" t="s">
        <v>107</v>
      </c>
      <c r="B8" s="27">
        <f>COUNTIFS('2015 Grievance Tracking'!W:W, "2.1", '2015 Grievance Tracking'!AJ:AJ, "January")</f>
        <v>0</v>
      </c>
      <c r="C8" s="27">
        <f>COUNTIFS('2015 Grievance Tracking'!W:W, "2.1", '2015 Grievance Tracking'!AJ:AJ, "February")</f>
        <v>0</v>
      </c>
      <c r="D8" s="27">
        <f>COUNTIFS('2015 Grievance Tracking'!W:W, "2.1", '2015 Grievance Tracking'!AJ:AJ, "March")</f>
        <v>0</v>
      </c>
      <c r="E8" s="27">
        <f>COUNTIFS('2015 Grievance Tracking'!W:W, "2.1", '2015 Grievance Tracking'!AJ:AJ, "April")</f>
        <v>0</v>
      </c>
      <c r="F8" s="27">
        <f>COUNTIFS('2015 Grievance Tracking'!W:W, "2.1", '2015 Grievance Tracking'!AJ:AJ, "May")</f>
        <v>0</v>
      </c>
      <c r="G8" s="27">
        <f>COUNTIFS('2015 Grievance Tracking'!W:W, "2.1", '2015 Grievance Tracking'!AJ:AJ, "June")</f>
        <v>0</v>
      </c>
      <c r="N8" s="111">
        <f t="shared" si="1"/>
        <v>0</v>
      </c>
    </row>
    <row r="9" spans="1:16" x14ac:dyDescent="0.55000000000000004">
      <c r="A9" s="22" t="s">
        <v>108</v>
      </c>
      <c r="B9" s="27">
        <f>COUNTIFS('2015 Grievance Tracking'!W:W, "2.2", '2015 Grievance Tracking'!AJ:AJ, "January")</f>
        <v>0</v>
      </c>
      <c r="C9" s="27">
        <f>COUNTIFS('2015 Grievance Tracking'!W:W, "2.2", '2015 Grievance Tracking'!AJ:AJ, "February")</f>
        <v>0</v>
      </c>
      <c r="D9" s="27">
        <f>COUNTIFS('2015 Grievance Tracking'!W:W, "2.2", '2015 Grievance Tracking'!AJ:AJ, "March")</f>
        <v>0</v>
      </c>
      <c r="E9" s="27">
        <f>COUNTIFS('2015 Grievance Tracking'!W:W, "2.2", '2015 Grievance Tracking'!AJ:AJ, "April")</f>
        <v>0</v>
      </c>
      <c r="F9" s="27">
        <f>COUNTIFS('2015 Grievance Tracking'!W:W, "2.2", '2015 Grievance Tracking'!AJ:AJ, "May")</f>
        <v>0</v>
      </c>
      <c r="G9" s="27">
        <f>COUNTIFS('2015 Grievance Tracking'!W:W, "2.2", '2015 Grievance Tracking'!AJ:AJ, "June")</f>
        <v>0</v>
      </c>
      <c r="N9" s="111">
        <f t="shared" si="1"/>
        <v>0</v>
      </c>
    </row>
    <row r="10" spans="1:16" x14ac:dyDescent="0.55000000000000004">
      <c r="A10" s="22" t="s">
        <v>109</v>
      </c>
      <c r="B10" s="27">
        <f>COUNTIFS('2015 Grievance Tracking'!W:W, "2.3", '2015 Grievance Tracking'!AJ:AJ, "January")</f>
        <v>0</v>
      </c>
      <c r="C10" s="27">
        <f>COUNTIFS('2015 Grievance Tracking'!W:W, "2.3", '2015 Grievance Tracking'!AJ:AJ, "February")</f>
        <v>0</v>
      </c>
      <c r="D10" s="27">
        <f>COUNTIFS('2015 Grievance Tracking'!W:W, "2.3", '2015 Grievance Tracking'!AJ:AJ, "March")</f>
        <v>0</v>
      </c>
      <c r="E10" s="27">
        <f>COUNTIFS('2015 Grievance Tracking'!W:W, "2.3", '2015 Grievance Tracking'!AJ:AJ, "April")</f>
        <v>0</v>
      </c>
      <c r="F10" s="27">
        <f>COUNTIFS('2015 Grievance Tracking'!W:W, "2.3", '2015 Grievance Tracking'!AJ:AJ, "May")</f>
        <v>0</v>
      </c>
      <c r="G10" s="27">
        <f>COUNTIFS('2015 Grievance Tracking'!W:W, "2.3", '2015 Grievance Tracking'!AJ:AJ, "June")</f>
        <v>0</v>
      </c>
      <c r="N10" s="111">
        <f t="shared" si="1"/>
        <v>0</v>
      </c>
    </row>
    <row r="11" spans="1:16" x14ac:dyDescent="0.55000000000000004">
      <c r="A11" s="22" t="s">
        <v>110</v>
      </c>
      <c r="B11" s="27">
        <f>COUNTIFS('2015 Grievance Tracking'!W:W, "2.4", '2015 Grievance Tracking'!AJ:AJ, "January")</f>
        <v>0</v>
      </c>
      <c r="C11" s="27">
        <f>COUNTIFS('2015 Grievance Tracking'!W:W, "2.4", '2015 Grievance Tracking'!AJ:AJ, "February")</f>
        <v>0</v>
      </c>
      <c r="D11" s="27">
        <f>COUNTIFS('2015 Grievance Tracking'!W:W, "2.4", '2015 Grievance Tracking'!AJ:AJ, "March")</f>
        <v>0</v>
      </c>
      <c r="E11" s="27">
        <f>COUNTIFS('2015 Grievance Tracking'!W:W, "2.4", '2015 Grievance Tracking'!AJ:AJ, "April")</f>
        <v>0</v>
      </c>
      <c r="F11" s="27">
        <f>COUNTIFS('2015 Grievance Tracking'!W:W, "2.4", '2015 Grievance Tracking'!AJ:AJ, "May")</f>
        <v>0</v>
      </c>
      <c r="G11" s="27">
        <f>COUNTIFS('2015 Grievance Tracking'!W:W, "2.4", '2015 Grievance Tracking'!AJ:AJ, "June")</f>
        <v>0</v>
      </c>
      <c r="N11" s="111">
        <f t="shared" si="1"/>
        <v>0</v>
      </c>
    </row>
    <row r="12" spans="1:16" x14ac:dyDescent="0.55000000000000004">
      <c r="A12" s="21" t="s">
        <v>111</v>
      </c>
      <c r="B12" s="115">
        <f>COUNTIFS('2015 Grievance Tracking'!W:W, "3", '2015 Grievance Tracking'!AJ:AJ, "January")</f>
        <v>0</v>
      </c>
      <c r="C12" s="115">
        <f>COUNTIFS('2015 Grievance Tracking'!W:W, "3", '2015 Grievance Tracking'!AJ:AJ, "February")</f>
        <v>0</v>
      </c>
      <c r="D12" s="115">
        <f>COUNTIFS('2015 Grievance Tracking'!W:W, "3", '2015 Grievance Tracking'!AJ:AJ, "March")</f>
        <v>0</v>
      </c>
      <c r="E12" s="115">
        <f>COUNTIFS('2015 Grievance Tracking'!W:W, "3", '2015 Grievance Tracking'!AJ:AJ, "April")</f>
        <v>0</v>
      </c>
      <c r="F12" s="115">
        <f>COUNTIFS('2015 Grievance Tracking'!W:W, "3", '2015 Grievance Tracking'!AJ:AJ, "May")</f>
        <v>0</v>
      </c>
      <c r="G12" s="115">
        <f>COUNTIFS('2015 Grievance Tracking'!W:W, "3", '2015 Grievance Tracking'!AJ:AJ, "June")</f>
        <v>0</v>
      </c>
      <c r="H12" s="115"/>
      <c r="I12" s="115"/>
      <c r="J12" s="115"/>
      <c r="K12" s="115"/>
      <c r="L12" s="115"/>
      <c r="M12" s="115"/>
      <c r="N12" s="110">
        <f t="shared" si="1"/>
        <v>0</v>
      </c>
    </row>
    <row r="13" spans="1:16" x14ac:dyDescent="0.55000000000000004">
      <c r="A13" s="21" t="s">
        <v>199</v>
      </c>
      <c r="B13" s="115">
        <f>COUNTIFS('2015 Grievance Tracking'!W:W, "5", '2015 Grievance Tracking'!AJ:AJ, "January")</f>
        <v>0</v>
      </c>
      <c r="C13" s="115">
        <f>COUNTIFS('2015 Grievance Tracking'!W:W, "5", '2015 Grievance Tracking'!AJ:AJ, "February")</f>
        <v>0</v>
      </c>
      <c r="D13" s="115">
        <f>COUNTIFS('2015 Grievance Tracking'!W:W, "5", '2015 Grievance Tracking'!AJ:AJ, "March")</f>
        <v>0</v>
      </c>
      <c r="E13" s="115">
        <f>COUNTIFS('2015 Grievance Tracking'!W:W, "5", '2015 Grievance Tracking'!AJ:AJ, "April")</f>
        <v>0</v>
      </c>
      <c r="F13" s="115">
        <f>COUNTIFS('2015 Grievance Tracking'!W:W, "5", '2015 Grievance Tracking'!AJ:AJ, "May")</f>
        <v>0</v>
      </c>
      <c r="G13" s="115">
        <f>COUNTIFS('2015 Grievance Tracking'!W:W, "5", '2015 Grievance Tracking'!AJ:AJ, "June")</f>
        <v>0</v>
      </c>
      <c r="H13" s="115"/>
      <c r="I13" s="115"/>
      <c r="J13" s="115"/>
      <c r="K13" s="115"/>
      <c r="L13" s="115"/>
      <c r="M13" s="115"/>
      <c r="N13" s="110">
        <f>SUM(B13:M13)</f>
        <v>0</v>
      </c>
    </row>
    <row r="14" spans="1:16" x14ac:dyDescent="0.55000000000000004">
      <c r="A14" s="22" t="s">
        <v>112</v>
      </c>
      <c r="B14" s="27">
        <f>COUNTIFS('2015 Grievance Tracking'!W:W, "4", '2015 Grievance Tracking'!AJ:AJ, "January")</f>
        <v>0</v>
      </c>
      <c r="C14" s="27">
        <f>COUNTIFS('2015 Grievance Tracking'!W:W, "4", '2015 Grievance Tracking'!AJ:AJ, "February")</f>
        <v>0</v>
      </c>
      <c r="D14" s="27">
        <f>COUNTIFS('2015 Grievance Tracking'!W:W, "4", '2015 Grievance Tracking'!AJ:AJ, "March")</f>
        <v>0</v>
      </c>
      <c r="E14" s="27">
        <f>COUNTIFS('2015 Grievance Tracking'!W:W, "4", '2015 Grievance Tracking'!AJ:AJ, "April")</f>
        <v>0</v>
      </c>
      <c r="F14" s="27">
        <f>COUNTIFS('2015 Grievance Tracking'!W:W, "4", '2015 Grievance Tracking'!AJ:AJ, "May")</f>
        <v>0</v>
      </c>
      <c r="G14" s="27">
        <f>COUNTIFS('2015 Grievance Tracking'!W:W, "4", '2015 Grievance Tracking'!AJ:AJ, "June")</f>
        <v>0</v>
      </c>
      <c r="N14" s="111">
        <f t="shared" si="1"/>
        <v>0</v>
      </c>
    </row>
    <row r="15" spans="1:16" x14ac:dyDescent="0.55000000000000004">
      <c r="A15" s="95" t="s">
        <v>205</v>
      </c>
      <c r="B15" s="116">
        <f t="shared" ref="B15:G15" si="3">B4+B7+B12+B14+B13</f>
        <v>0</v>
      </c>
      <c r="C15" s="116">
        <f t="shared" si="3"/>
        <v>0</v>
      </c>
      <c r="D15" s="116">
        <f t="shared" si="3"/>
        <v>0</v>
      </c>
      <c r="E15" s="116">
        <f t="shared" si="3"/>
        <v>0</v>
      </c>
      <c r="F15" s="116">
        <f t="shared" si="3"/>
        <v>0</v>
      </c>
      <c r="G15" s="116">
        <f t="shared" si="3"/>
        <v>0</v>
      </c>
      <c r="H15" s="116"/>
      <c r="I15" s="116"/>
      <c r="J15" s="116"/>
      <c r="K15" s="116"/>
      <c r="L15" s="116"/>
      <c r="M15" s="116"/>
      <c r="N15" s="112">
        <f>SUM(B15:M15)</f>
        <v>0</v>
      </c>
    </row>
    <row r="16" spans="1:16" s="145" customFormat="1" x14ac:dyDescent="0.55000000000000004">
      <c r="B16" s="146"/>
      <c r="C16" s="146"/>
      <c r="D16" s="146"/>
      <c r="E16" s="146"/>
      <c r="F16" s="146"/>
      <c r="G16" s="146"/>
      <c r="H16" s="146"/>
      <c r="I16" s="146"/>
      <c r="J16" s="146"/>
      <c r="K16" s="146"/>
      <c r="L16" s="146"/>
      <c r="M16" s="146"/>
      <c r="N16" s="146"/>
    </row>
    <row r="17" spans="1:14" x14ac:dyDescent="0.55000000000000004">
      <c r="A17" s="20" t="s">
        <v>49</v>
      </c>
      <c r="B17" s="113" t="s">
        <v>94</v>
      </c>
      <c r="C17" s="113" t="s">
        <v>95</v>
      </c>
      <c r="D17" s="113" t="s">
        <v>96</v>
      </c>
      <c r="E17" s="113" t="s">
        <v>97</v>
      </c>
      <c r="F17" s="113" t="s">
        <v>93</v>
      </c>
      <c r="G17" s="113" t="s">
        <v>98</v>
      </c>
      <c r="H17" s="113" t="s">
        <v>99</v>
      </c>
      <c r="I17" s="113" t="s">
        <v>100</v>
      </c>
      <c r="J17" s="113" t="s">
        <v>101</v>
      </c>
      <c r="K17" s="113" t="s">
        <v>102</v>
      </c>
      <c r="L17" s="113" t="s">
        <v>103</v>
      </c>
      <c r="M17" s="113" t="s">
        <v>104</v>
      </c>
      <c r="N17" s="109" t="s">
        <v>113</v>
      </c>
    </row>
    <row r="18" spans="1:14" x14ac:dyDescent="0.55000000000000004">
      <c r="A18" s="21" t="b">
        <v>0</v>
      </c>
      <c r="B18" s="114">
        <f t="shared" ref="B18:G18" si="4">SUM(B19:B20)</f>
        <v>0</v>
      </c>
      <c r="C18" s="114">
        <f t="shared" si="4"/>
        <v>0</v>
      </c>
      <c r="D18" s="114">
        <f t="shared" si="4"/>
        <v>0</v>
      </c>
      <c r="E18" s="114">
        <f t="shared" si="4"/>
        <v>0</v>
      </c>
      <c r="F18" s="114">
        <f t="shared" si="4"/>
        <v>0</v>
      </c>
      <c r="G18" s="114">
        <f t="shared" si="4"/>
        <v>0</v>
      </c>
      <c r="H18" s="114"/>
      <c r="I18" s="114"/>
      <c r="J18" s="114"/>
      <c r="K18" s="114"/>
      <c r="L18" s="114"/>
      <c r="M18" s="114"/>
      <c r="N18" s="110">
        <f t="shared" ref="N18:N29" si="5">SUM(B18:M18)</f>
        <v>0</v>
      </c>
    </row>
    <row r="19" spans="1:14" ht="15" customHeight="1" x14ac:dyDescent="0.55000000000000004">
      <c r="A19" s="22" t="s">
        <v>105</v>
      </c>
      <c r="B19" s="27">
        <f>COUNTIFS('2015 Grievance Tracking'!M:M,"New Choices", '2015 Grievance Tracking'!W:W, "1.1", '2015 Grievance Tracking'!AJ:AJ, "January")</f>
        <v>0</v>
      </c>
      <c r="C19" s="27">
        <f>COUNTIFS('2015 Grievance Tracking'!M:M,"New Choices", '2015 Grievance Tracking'!W:W, "1.1", '2015 Grievance Tracking'!AJ:AJ, "February")</f>
        <v>0</v>
      </c>
      <c r="D19" s="27">
        <f>COUNTIFS('2015 Grievance Tracking'!M:M,"New Choices", '2015 Grievance Tracking'!W:W, "1.1", '2015 Grievance Tracking'!AJ:AJ, "March")</f>
        <v>0</v>
      </c>
      <c r="E19" s="27">
        <f>COUNTIFS('2015 Grievance Tracking'!M:M,"New Choices", '2015 Grievance Tracking'!W:W, "1.1", '2015 Grievance Tracking'!AJ:AJ, "April")</f>
        <v>0</v>
      </c>
      <c r="F19" s="27">
        <f>COUNTIFS('2015 Grievance Tracking'!M:M,"New Choices", '2015 Grievance Tracking'!W:W, "1.1", '2015 Grievance Tracking'!AJ:AJ, "May")</f>
        <v>0</v>
      </c>
      <c r="G19" s="27">
        <f>COUNTIFS('2015 Grievance Tracking'!M:M,"New Choices", '2015 Grievance Tracking'!W:W, "1.1", '2015 Grievance Tracking'!AJ:AJ, "June")</f>
        <v>0</v>
      </c>
      <c r="N19" s="111">
        <f t="shared" si="5"/>
        <v>0</v>
      </c>
    </row>
    <row r="20" spans="1:14" ht="18.75" customHeight="1" x14ac:dyDescent="0.55000000000000004">
      <c r="A20" s="22" t="s">
        <v>106</v>
      </c>
      <c r="B20" s="27">
        <f>COUNTIFS('2015 Grievance Tracking'!M:M,"New Choices", '2015 Grievance Tracking'!W:W, "1.2", '2015 Grievance Tracking'!AJ:AJ, "January")</f>
        <v>0</v>
      </c>
      <c r="C20" s="27">
        <f>COUNTIFS('2015 Grievance Tracking'!M:M,"New Choices", '2015 Grievance Tracking'!W:W, "1.2", '2015 Grievance Tracking'!AJ:AJ, "February")</f>
        <v>0</v>
      </c>
      <c r="D20" s="27">
        <f>COUNTIFS('2015 Grievance Tracking'!M:M,"New Choices", '2015 Grievance Tracking'!W:W, "1.2", '2015 Grievance Tracking'!AJ:AJ, "March")</f>
        <v>0</v>
      </c>
      <c r="E20" s="27">
        <f>COUNTIFS('2015 Grievance Tracking'!M:M,"New Choices", '2015 Grievance Tracking'!W:W, "1.2", '2015 Grievance Tracking'!AJ:AJ, "April")</f>
        <v>0</v>
      </c>
      <c r="F20" s="27">
        <f>COUNTIFS('2015 Grievance Tracking'!M:M,"New Choices", '2015 Grievance Tracking'!W:W, "1.2", '2015 Grievance Tracking'!AJ:AJ, "May")</f>
        <v>0</v>
      </c>
      <c r="G20" s="27">
        <f>COUNTIFS('2015 Grievance Tracking'!M:M,"New Choices", '2015 Grievance Tracking'!W:W, "1.2", '2015 Grievance Tracking'!AJ:AJ, "June")</f>
        <v>0</v>
      </c>
      <c r="N20" s="111">
        <f t="shared" si="5"/>
        <v>0</v>
      </c>
    </row>
    <row r="21" spans="1:14" ht="16.5" customHeight="1" x14ac:dyDescent="0.55000000000000004">
      <c r="A21" s="21" t="b">
        <v>1</v>
      </c>
      <c r="B21" s="115">
        <f t="shared" ref="B21:G21" si="6">SUM(B22:B25)</f>
        <v>0</v>
      </c>
      <c r="C21" s="115">
        <f t="shared" si="6"/>
        <v>0</v>
      </c>
      <c r="D21" s="115">
        <f t="shared" si="6"/>
        <v>0</v>
      </c>
      <c r="E21" s="115">
        <f t="shared" si="6"/>
        <v>0</v>
      </c>
      <c r="F21" s="115">
        <f t="shared" si="6"/>
        <v>0</v>
      </c>
      <c r="G21" s="115">
        <f t="shared" si="6"/>
        <v>0</v>
      </c>
      <c r="H21" s="115"/>
      <c r="I21" s="115"/>
      <c r="J21" s="115"/>
      <c r="K21" s="115"/>
      <c r="L21" s="115"/>
      <c r="M21" s="115"/>
      <c r="N21" s="110">
        <f t="shared" si="5"/>
        <v>0</v>
      </c>
    </row>
    <row r="22" spans="1:14" ht="17.25" customHeight="1" x14ac:dyDescent="0.55000000000000004">
      <c r="A22" s="22" t="s">
        <v>107</v>
      </c>
      <c r="B22" s="27">
        <f>COUNTIFS('2015 Grievance Tracking'!M:M,"New Choices", '2015 Grievance Tracking'!W:W, "2.1", '2015 Grievance Tracking'!AJ:AJ, "January")</f>
        <v>0</v>
      </c>
      <c r="C22" s="27">
        <f>COUNTIFS('2015 Grievance Tracking'!M:M,"New Choices", '2015 Grievance Tracking'!W:W, "2.1", '2015 Grievance Tracking'!AJ:AJ, "February")</f>
        <v>0</v>
      </c>
      <c r="D22" s="27">
        <f>COUNTIFS('2015 Grievance Tracking'!M:M,"New Choices", '2015 Grievance Tracking'!W:W, "2.1", '2015 Grievance Tracking'!AJ:AJ, "March")</f>
        <v>0</v>
      </c>
      <c r="E22" s="27">
        <f>COUNTIFS('2015 Grievance Tracking'!M:M,"New Choices", '2015 Grievance Tracking'!W:W, "2.1", '2015 Grievance Tracking'!AJ:AJ, "April")</f>
        <v>0</v>
      </c>
      <c r="F22" s="27">
        <f>COUNTIFS('2015 Grievance Tracking'!M:M,"New Choices", '2015 Grievance Tracking'!W:W, "2.1", '2015 Grievance Tracking'!AJ:AJ, "May")</f>
        <v>0</v>
      </c>
      <c r="G22" s="27">
        <f>COUNTIFS('2015 Grievance Tracking'!M:M,"New Choices", '2015 Grievance Tracking'!W:W, "2.1", '2015 Grievance Tracking'!AJ:AJ, "June")</f>
        <v>0</v>
      </c>
      <c r="N22" s="111">
        <f t="shared" si="5"/>
        <v>0</v>
      </c>
    </row>
    <row r="23" spans="1:14" ht="13.5" customHeight="1" x14ac:dyDescent="0.55000000000000004">
      <c r="A23" s="22" t="s">
        <v>108</v>
      </c>
      <c r="B23" s="27">
        <f>COUNTIFS('2015 Grievance Tracking'!M:M,"New Choices", '2015 Grievance Tracking'!W:W, "2.2", '2015 Grievance Tracking'!AJ:AJ, "January")</f>
        <v>0</v>
      </c>
      <c r="C23" s="27">
        <f>COUNTIFS('2015 Grievance Tracking'!M:M,"New Choices", '2015 Grievance Tracking'!W:W, "2.2", '2015 Grievance Tracking'!AJ:AJ, "February")</f>
        <v>0</v>
      </c>
      <c r="D23" s="27">
        <f>COUNTIFS('2015 Grievance Tracking'!M:M,"New Choices", '2015 Grievance Tracking'!W:W, "2.2", '2015 Grievance Tracking'!AJ:AJ, "March")</f>
        <v>0</v>
      </c>
      <c r="E23" s="27">
        <f>COUNTIFS('2015 Grievance Tracking'!M:M,"New Choices", '2015 Grievance Tracking'!W:W, "2.2", '2015 Grievance Tracking'!AJ:AJ, "April")</f>
        <v>0</v>
      </c>
      <c r="F23" s="27">
        <f>COUNTIFS('2015 Grievance Tracking'!M:M,"New Choices", '2015 Grievance Tracking'!W:W, "2.2", '2015 Grievance Tracking'!AJ:AJ, "May")</f>
        <v>0</v>
      </c>
      <c r="G23" s="27">
        <f>COUNTIFS('2015 Grievance Tracking'!M:M,"New Choices", '2015 Grievance Tracking'!W:W, "2.2", '2015 Grievance Tracking'!AJ:AJ, "June")</f>
        <v>0</v>
      </c>
      <c r="N23" s="111">
        <f t="shared" si="5"/>
        <v>0</v>
      </c>
    </row>
    <row r="24" spans="1:14" ht="14.25" customHeight="1" x14ac:dyDescent="0.55000000000000004">
      <c r="A24" s="22" t="s">
        <v>109</v>
      </c>
      <c r="B24" s="27">
        <f>COUNTIFS('2015 Grievance Tracking'!M:M,"New Choices", '2015 Grievance Tracking'!W:W, "2.3", '2015 Grievance Tracking'!AJ:AJ, "January")</f>
        <v>0</v>
      </c>
      <c r="C24" s="27">
        <f>COUNTIFS('2015 Grievance Tracking'!M:M,"New Choices", '2015 Grievance Tracking'!W:W, "2.3", '2015 Grievance Tracking'!AJ:AJ, "February")</f>
        <v>0</v>
      </c>
      <c r="D24" s="27">
        <f>COUNTIFS('2015 Grievance Tracking'!M:M,"New Choices", '2015 Grievance Tracking'!W:W, "2.3", '2015 Grievance Tracking'!AJ:AJ, "March")</f>
        <v>0</v>
      </c>
      <c r="E24" s="27">
        <f>COUNTIFS('2015 Grievance Tracking'!M:M,"New Choices", '2015 Grievance Tracking'!W:W, "2.3", '2015 Grievance Tracking'!AJ:AJ, "April")</f>
        <v>0</v>
      </c>
      <c r="F24" s="27">
        <f>COUNTIFS('2015 Grievance Tracking'!M:M,"New Choices", '2015 Grievance Tracking'!W:W, "2.3", '2015 Grievance Tracking'!AJ:AJ, "May")</f>
        <v>0</v>
      </c>
      <c r="G24" s="27">
        <f>COUNTIFS('2015 Grievance Tracking'!M:M,"New Choices", '2015 Grievance Tracking'!W:W, "2.3", '2015 Grievance Tracking'!AJ:AJ, "June")</f>
        <v>0</v>
      </c>
      <c r="N24" s="111">
        <f t="shared" si="5"/>
        <v>0</v>
      </c>
    </row>
    <row r="25" spans="1:14" x14ac:dyDescent="0.55000000000000004">
      <c r="A25" s="22" t="s">
        <v>110</v>
      </c>
      <c r="B25" s="27">
        <f>COUNTIFS('2015 Grievance Tracking'!M:M,"New Choices", '2015 Grievance Tracking'!W:W, "2.4", '2015 Grievance Tracking'!AJ:AJ, "January")</f>
        <v>0</v>
      </c>
      <c r="C25" s="27">
        <f>COUNTIFS('2015 Grievance Tracking'!M:M,"New Choices", '2015 Grievance Tracking'!W:W, "2.4", '2015 Grievance Tracking'!AJ:AJ, "February")</f>
        <v>0</v>
      </c>
      <c r="D25" s="27">
        <f>COUNTIFS('2015 Grievance Tracking'!M:M,"New Choices", '2015 Grievance Tracking'!W:W, "2.4", '2015 Grievance Tracking'!AJ:AJ, "March")</f>
        <v>0</v>
      </c>
      <c r="E25" s="27">
        <f>COUNTIFS('2015 Grievance Tracking'!M:M,"New Choices", '2015 Grievance Tracking'!W:W, "2.4", '2015 Grievance Tracking'!AJ:AJ, "April")</f>
        <v>0</v>
      </c>
      <c r="F25" s="27">
        <f>COUNTIFS('2015 Grievance Tracking'!M:M,"New Choices", '2015 Grievance Tracking'!W:W, "2.4", '2015 Grievance Tracking'!AJ:AJ, "May")</f>
        <v>0</v>
      </c>
      <c r="G25" s="27">
        <f>COUNTIFS('2015 Grievance Tracking'!M:M,"New Choices", '2015 Grievance Tracking'!W:W, "2.4", '2015 Grievance Tracking'!AJ:AJ, "June")</f>
        <v>0</v>
      </c>
      <c r="N25" s="111">
        <f t="shared" si="5"/>
        <v>0</v>
      </c>
    </row>
    <row r="26" spans="1:14" x14ac:dyDescent="0.55000000000000004">
      <c r="A26" s="21" t="s">
        <v>111</v>
      </c>
      <c r="B26" s="115">
        <f>COUNTIFS('2015 Grievance Tracking'!M:M,"New Choices", '2015 Grievance Tracking'!W:W, "3", '2015 Grievance Tracking'!AJ:AJ, "January")</f>
        <v>0</v>
      </c>
      <c r="C26" s="115">
        <f>COUNTIFS('2015 Grievance Tracking'!M:M,"New Choices", '2015 Grievance Tracking'!W:W, "3", '2015 Grievance Tracking'!AJ:AJ, "February")</f>
        <v>0</v>
      </c>
      <c r="D26" s="115">
        <f>COUNTIFS('2015 Grievance Tracking'!M:M,"New Choices", '2015 Grievance Tracking'!W:W, "3", '2015 Grievance Tracking'!AJ:AJ, "March")</f>
        <v>0</v>
      </c>
      <c r="E26" s="115">
        <f>COUNTIFS('2015 Grievance Tracking'!M:M,"New Choices", '2015 Grievance Tracking'!W:W, "3", '2015 Grievance Tracking'!AJ:AJ, "April")</f>
        <v>0</v>
      </c>
      <c r="F26" s="115">
        <f>COUNTIFS('2015 Grievance Tracking'!M:M,"New Choices", '2015 Grievance Tracking'!W:W, "3", '2015 Grievance Tracking'!AJ:AJ, "May")</f>
        <v>0</v>
      </c>
      <c r="G26" s="115">
        <f>COUNTIFS('2015 Grievance Tracking'!M:M,"New Choices", '2015 Grievance Tracking'!W:W, "3", '2015 Grievance Tracking'!AJ:AJ, "June")</f>
        <v>0</v>
      </c>
      <c r="H26" s="115"/>
      <c r="I26" s="115"/>
      <c r="J26" s="115"/>
      <c r="K26" s="115"/>
      <c r="L26" s="115"/>
      <c r="M26" s="115"/>
      <c r="N26" s="110">
        <f t="shared" si="5"/>
        <v>0</v>
      </c>
    </row>
    <row r="27" spans="1:14" x14ac:dyDescent="0.55000000000000004">
      <c r="A27" s="21" t="s">
        <v>199</v>
      </c>
      <c r="B27" s="115">
        <f>COUNTIFS('2015 Grievance Tracking'!M:M,"New Choices", '2015 Grievance Tracking'!W:W, "5", '2015 Grievance Tracking'!AJ:AJ, "January")</f>
        <v>0</v>
      </c>
      <c r="C27" s="115">
        <f>COUNTIFS('2015 Grievance Tracking'!M:M,"New Choices", '2015 Grievance Tracking'!W:W, "5", '2015 Grievance Tracking'!AJ:AJ, "February")</f>
        <v>0</v>
      </c>
      <c r="D27" s="115">
        <f>COUNTIFS('2015 Grievance Tracking'!M:M,"New Choices", '2015 Grievance Tracking'!W:W, "5", '2015 Grievance Tracking'!AJ:AJ, "March")</f>
        <v>0</v>
      </c>
      <c r="E27" s="115">
        <f>COUNTIFS('2015 Grievance Tracking'!M:M,"New Choices", '2015 Grievance Tracking'!W:W, "5", '2015 Grievance Tracking'!AJ:AJ, "April")</f>
        <v>0</v>
      </c>
      <c r="F27" s="115">
        <f>COUNTIFS('2015 Grievance Tracking'!M:M,"New Choices", '2015 Grievance Tracking'!W:W, "5", '2015 Grievance Tracking'!AJ:AJ, "May")</f>
        <v>0</v>
      </c>
      <c r="G27" s="115">
        <f>COUNTIFS('2015 Grievance Tracking'!M:M,"New Choices", '2015 Grievance Tracking'!W:W, "5", '2015 Grievance Tracking'!AJ:AJ, "June")</f>
        <v>0</v>
      </c>
      <c r="H27" s="115"/>
      <c r="I27" s="115"/>
      <c r="J27" s="115"/>
      <c r="K27" s="115"/>
      <c r="L27" s="115"/>
      <c r="M27" s="115"/>
      <c r="N27" s="110">
        <f>SUM(B27:M27)</f>
        <v>0</v>
      </c>
    </row>
    <row r="28" spans="1:14" x14ac:dyDescent="0.55000000000000004">
      <c r="A28" s="22" t="s">
        <v>112</v>
      </c>
      <c r="B28" s="27">
        <f>COUNTIFS('2015 Grievance Tracking'!M:M,"New Choices", '2015 Grievance Tracking'!W:W, "4", '2015 Grievance Tracking'!AJ:AJ, "January")</f>
        <v>0</v>
      </c>
      <c r="C28" s="27">
        <f>COUNTIFS('2015 Grievance Tracking'!M:M,"New Choices", '2015 Grievance Tracking'!W:W, "4", '2015 Grievance Tracking'!AJ:AJ, "February")</f>
        <v>0</v>
      </c>
      <c r="D28" s="27">
        <f>COUNTIFS('2015 Grievance Tracking'!M:M,"New Choices", '2015 Grievance Tracking'!W:W, "4", '2015 Grievance Tracking'!AJ:AJ, "March")</f>
        <v>0</v>
      </c>
      <c r="E28" s="27">
        <f>COUNTIFS('2015 Grievance Tracking'!M:M,"New Choices", '2015 Grievance Tracking'!W:W, "4", '2015 Grievance Tracking'!AJ:AJ, "April")</f>
        <v>0</v>
      </c>
      <c r="F28" s="27">
        <f>COUNTIFS('2015 Grievance Tracking'!M:M,"New Choices", '2015 Grievance Tracking'!W:W, "4", '2015 Grievance Tracking'!AJ:AJ, "May")</f>
        <v>0</v>
      </c>
      <c r="G28" s="27">
        <f>COUNTIFS('2015 Grievance Tracking'!M:M,"New Choices", '2015 Grievance Tracking'!W:W, "4", '2015 Grievance Tracking'!AJ:AJ, "June")</f>
        <v>0</v>
      </c>
      <c r="N28" s="111">
        <f t="shared" si="5"/>
        <v>0</v>
      </c>
    </row>
    <row r="29" spans="1:14" x14ac:dyDescent="0.55000000000000004">
      <c r="A29" s="95" t="s">
        <v>205</v>
      </c>
      <c r="B29" s="116">
        <f t="shared" ref="B29:G29" si="7">B18+B21+B26+B28+B27</f>
        <v>0</v>
      </c>
      <c r="C29" s="116">
        <f t="shared" si="7"/>
        <v>0</v>
      </c>
      <c r="D29" s="116">
        <f t="shared" si="7"/>
        <v>0</v>
      </c>
      <c r="E29" s="116">
        <f t="shared" si="7"/>
        <v>0</v>
      </c>
      <c r="F29" s="116">
        <f t="shared" si="7"/>
        <v>0</v>
      </c>
      <c r="G29" s="116">
        <f t="shared" si="7"/>
        <v>0</v>
      </c>
      <c r="H29" s="116"/>
      <c r="I29" s="116"/>
      <c r="J29" s="116"/>
      <c r="K29" s="116"/>
      <c r="L29" s="116"/>
      <c r="M29" s="116"/>
      <c r="N29" s="112">
        <f t="shared" si="5"/>
        <v>0</v>
      </c>
    </row>
    <row r="30" spans="1:14" s="145" customFormat="1" x14ac:dyDescent="0.55000000000000004">
      <c r="A30" s="147"/>
      <c r="B30" s="148"/>
      <c r="C30" s="148"/>
      <c r="D30" s="148"/>
      <c r="E30" s="148"/>
      <c r="F30" s="148"/>
      <c r="G30" s="148"/>
      <c r="H30" s="148"/>
      <c r="I30" s="148"/>
      <c r="J30" s="148"/>
      <c r="K30" s="148"/>
      <c r="L30" s="148"/>
      <c r="M30" s="148"/>
      <c r="N30" s="149"/>
    </row>
    <row r="31" spans="1:14" x14ac:dyDescent="0.55000000000000004">
      <c r="A31" s="20" t="s">
        <v>50</v>
      </c>
      <c r="B31" s="113" t="s">
        <v>94</v>
      </c>
      <c r="C31" s="113" t="s">
        <v>95</v>
      </c>
      <c r="D31" s="113" t="s">
        <v>96</v>
      </c>
      <c r="E31" s="113" t="s">
        <v>97</v>
      </c>
      <c r="F31" s="113" t="s">
        <v>93</v>
      </c>
      <c r="G31" s="113" t="s">
        <v>98</v>
      </c>
      <c r="H31" s="113" t="s">
        <v>99</v>
      </c>
      <c r="I31" s="113" t="s">
        <v>100</v>
      </c>
      <c r="J31" s="113" t="s">
        <v>101</v>
      </c>
      <c r="K31" s="113" t="s">
        <v>102</v>
      </c>
      <c r="L31" s="113" t="s">
        <v>103</v>
      </c>
      <c r="M31" s="113" t="s">
        <v>104</v>
      </c>
      <c r="N31" s="109" t="s">
        <v>113</v>
      </c>
    </row>
    <row r="32" spans="1:14" x14ac:dyDescent="0.55000000000000004">
      <c r="A32" s="21" t="b">
        <v>0</v>
      </c>
      <c r="B32" s="114">
        <f t="shared" ref="B32:G32" si="8">SUM(B33:B34)</f>
        <v>0</v>
      </c>
      <c r="C32" s="114">
        <f t="shared" si="8"/>
        <v>0</v>
      </c>
      <c r="D32" s="114">
        <f t="shared" si="8"/>
        <v>0</v>
      </c>
      <c r="E32" s="114">
        <f t="shared" si="8"/>
        <v>0</v>
      </c>
      <c r="F32" s="114">
        <f t="shared" si="8"/>
        <v>0</v>
      </c>
      <c r="G32" s="114">
        <f t="shared" si="8"/>
        <v>0</v>
      </c>
      <c r="H32" s="114"/>
      <c r="I32" s="114"/>
      <c r="J32" s="114"/>
      <c r="K32" s="114"/>
      <c r="L32" s="114"/>
      <c r="M32" s="114"/>
      <c r="N32" s="110">
        <f t="shared" ref="N32:N42" si="9">SUM(B32:M32)</f>
        <v>0</v>
      </c>
    </row>
    <row r="33" spans="1:14" x14ac:dyDescent="0.55000000000000004">
      <c r="A33" s="22" t="s">
        <v>105</v>
      </c>
      <c r="B33" s="27">
        <f>COUNTIFS('2015 Grievance Tracking'!M:M,"Safe Harbor", '2015 Grievance Tracking'!W:W, "1.1", '2015 Grievance Tracking'!AJ:AJ, "January")</f>
        <v>0</v>
      </c>
      <c r="C33" s="27">
        <f>COUNTIFS('2015 Grievance Tracking'!M:M,"Safe Harbor", '2015 Grievance Tracking'!W:W, "1.1", '2015 Grievance Tracking'!AJ:AJ, "February")</f>
        <v>0</v>
      </c>
      <c r="D33" s="27">
        <f>COUNTIFS('2015 Grievance Tracking'!M:M,"Safe Harbor", '2015 Grievance Tracking'!W:W, "1.1", '2015 Grievance Tracking'!AJ:AJ, "March")</f>
        <v>0</v>
      </c>
      <c r="E33" s="27">
        <f>COUNTIFS('2015 Grievance Tracking'!M:M,"Safe Harbor", '2015 Grievance Tracking'!W:W, "1.1", '2015 Grievance Tracking'!AJ:AJ, "April")</f>
        <v>0</v>
      </c>
      <c r="F33" s="27">
        <f>COUNTIFS('2015 Grievance Tracking'!M:M,"Safe Harbor", '2015 Grievance Tracking'!W:W, "1.1", '2015 Grievance Tracking'!AJ:AJ, "May")</f>
        <v>0</v>
      </c>
      <c r="G33" s="27">
        <f>COUNTIFS('2015 Grievance Tracking'!M:M,"Safe Harbor", '2015 Grievance Tracking'!W:W, "1.1", '2015 Grievance Tracking'!AJ:AJ, "June")</f>
        <v>0</v>
      </c>
      <c r="N33" s="111">
        <f t="shared" si="9"/>
        <v>0</v>
      </c>
    </row>
    <row r="34" spans="1:14" x14ac:dyDescent="0.55000000000000004">
      <c r="A34" s="22" t="s">
        <v>106</v>
      </c>
      <c r="B34" s="27">
        <f>COUNTIFS('2015 Grievance Tracking'!M:M,"Safe Harbor", '2015 Grievance Tracking'!W:W, "1.2", '2015 Grievance Tracking'!AJ:AJ, "January")</f>
        <v>0</v>
      </c>
      <c r="C34" s="27">
        <f>COUNTIFS('2015 Grievance Tracking'!M:M,"Safe Harbor", '2015 Grievance Tracking'!W:W, "1.2", '2015 Grievance Tracking'!AJ:AJ, "February")</f>
        <v>0</v>
      </c>
      <c r="D34" s="27">
        <f>COUNTIFS('2015 Grievance Tracking'!M:M,"Safe Harbor", '2015 Grievance Tracking'!W:W, "1.2", '2015 Grievance Tracking'!AJ:AJ, "March")</f>
        <v>0</v>
      </c>
      <c r="E34" s="27">
        <f>COUNTIFS('2015 Grievance Tracking'!M:M,"Safe Harbor", '2015 Grievance Tracking'!W:W, "1.2", '2015 Grievance Tracking'!AJ:AJ, "April")</f>
        <v>0</v>
      </c>
      <c r="F34" s="27">
        <f>COUNTIFS('2015 Grievance Tracking'!M:M,"Safe Harbor", '2015 Grievance Tracking'!W:W, "1.2", '2015 Grievance Tracking'!AJ:AJ, "May")</f>
        <v>0</v>
      </c>
      <c r="G34" s="27">
        <f>COUNTIFS('2015 Grievance Tracking'!M:M,"Safe Harbor", '2015 Grievance Tracking'!W:W, "1.2", '2015 Grievance Tracking'!AJ:AJ, "June")</f>
        <v>0</v>
      </c>
      <c r="N34" s="111">
        <f t="shared" si="9"/>
        <v>0</v>
      </c>
    </row>
    <row r="35" spans="1:14" x14ac:dyDescent="0.55000000000000004">
      <c r="A35" s="21" t="b">
        <v>1</v>
      </c>
      <c r="B35" s="115">
        <f t="shared" ref="B35:G35" si="10">SUM(B36:B39)</f>
        <v>0</v>
      </c>
      <c r="C35" s="115">
        <f t="shared" si="10"/>
        <v>0</v>
      </c>
      <c r="D35" s="115">
        <f t="shared" si="10"/>
        <v>0</v>
      </c>
      <c r="E35" s="115">
        <f t="shared" si="10"/>
        <v>0</v>
      </c>
      <c r="F35" s="115">
        <f t="shared" si="10"/>
        <v>0</v>
      </c>
      <c r="G35" s="115">
        <f t="shared" si="10"/>
        <v>0</v>
      </c>
      <c r="H35" s="115"/>
      <c r="I35" s="115"/>
      <c r="J35" s="115"/>
      <c r="K35" s="115"/>
      <c r="L35" s="115"/>
      <c r="M35" s="115"/>
      <c r="N35" s="110">
        <f t="shared" si="9"/>
        <v>0</v>
      </c>
    </row>
    <row r="36" spans="1:14" x14ac:dyDescent="0.55000000000000004">
      <c r="A36" s="22" t="s">
        <v>107</v>
      </c>
      <c r="B36" s="27">
        <f>COUNTIFS('2015 Grievance Tracking'!M:M,"Safe Harbor", '2015 Grievance Tracking'!W:W, "2.1", '2015 Grievance Tracking'!AJ:AJ, "January")</f>
        <v>0</v>
      </c>
      <c r="C36" s="27">
        <f>COUNTIFS('2015 Grievance Tracking'!M:M,"Safe Harbor", '2015 Grievance Tracking'!W:W, "2.1", '2015 Grievance Tracking'!AJ:AJ, "February")</f>
        <v>0</v>
      </c>
      <c r="D36" s="27">
        <f>COUNTIFS('2015 Grievance Tracking'!M:M,"Safe Harbor", '2015 Grievance Tracking'!W:W, "2.1", '2015 Grievance Tracking'!AJ:AJ, "March")</f>
        <v>0</v>
      </c>
      <c r="E36" s="27">
        <f>COUNTIFS('2015 Grievance Tracking'!M:M,"Safe Harbor", '2015 Grievance Tracking'!W:W, "2.1", '2015 Grievance Tracking'!AJ:AJ, "April")</f>
        <v>0</v>
      </c>
      <c r="F36" s="27">
        <f>COUNTIFS('2015 Grievance Tracking'!M:M,"Safe Harbor", '2015 Grievance Tracking'!W:W, "2.1", '2015 Grievance Tracking'!AJ:AJ, "May")</f>
        <v>0</v>
      </c>
      <c r="G36" s="27">
        <f>COUNTIFS('2015 Grievance Tracking'!M:M,"Safe Harbor", '2015 Grievance Tracking'!W:W, "2.1", '2015 Grievance Tracking'!AJ:AJ, "June")</f>
        <v>0</v>
      </c>
      <c r="N36" s="111">
        <f t="shared" si="9"/>
        <v>0</v>
      </c>
    </row>
    <row r="37" spans="1:14" x14ac:dyDescent="0.55000000000000004">
      <c r="A37" s="22" t="s">
        <v>108</v>
      </c>
      <c r="B37" s="27">
        <f>COUNTIFS('2015 Grievance Tracking'!M:M,"Safe Harbor", '2015 Grievance Tracking'!W:W, "2.2", '2015 Grievance Tracking'!AJ:AJ, "January")</f>
        <v>0</v>
      </c>
      <c r="C37" s="27">
        <f>COUNTIFS('2015 Grievance Tracking'!M:M,"Safe Harbor", '2015 Grievance Tracking'!W:W, "2.2", '2015 Grievance Tracking'!AJ:AJ, "February")</f>
        <v>0</v>
      </c>
      <c r="D37" s="27">
        <f>COUNTIFS('2015 Grievance Tracking'!M:M,"Safe Harbor", '2015 Grievance Tracking'!W:W, "2.2", '2015 Grievance Tracking'!AJ:AJ, "March")</f>
        <v>0</v>
      </c>
      <c r="E37" s="27">
        <f>COUNTIFS('2015 Grievance Tracking'!M:M,"Safe Harbor", '2015 Grievance Tracking'!W:W, "2.2", '2015 Grievance Tracking'!AJ:AJ, "April")</f>
        <v>0</v>
      </c>
      <c r="F37" s="27">
        <f>COUNTIFS('2015 Grievance Tracking'!M:M,"Safe Harbor", '2015 Grievance Tracking'!W:W, "2.2", '2015 Grievance Tracking'!AJ:AJ, "May")</f>
        <v>0</v>
      </c>
      <c r="G37" s="27">
        <f>COUNTIFS('2015 Grievance Tracking'!M:M,"Safe Harbor", '2015 Grievance Tracking'!W:W, "2.2", '2015 Grievance Tracking'!AJ:AJ, "June")</f>
        <v>0</v>
      </c>
      <c r="N37" s="111">
        <f t="shared" si="9"/>
        <v>0</v>
      </c>
    </row>
    <row r="38" spans="1:14" x14ac:dyDescent="0.55000000000000004">
      <c r="A38" s="22" t="s">
        <v>109</v>
      </c>
      <c r="B38" s="27">
        <f>COUNTIFS('2015 Grievance Tracking'!M:M,"Safe Harbor", '2015 Grievance Tracking'!W:W, "2.3", '2015 Grievance Tracking'!AJ:AJ, "January")</f>
        <v>0</v>
      </c>
      <c r="C38" s="27">
        <f>COUNTIFS('2015 Grievance Tracking'!M:M,"Safe Harbor", '2015 Grievance Tracking'!W:W, "2.3", '2015 Grievance Tracking'!AJ:AJ, "February")</f>
        <v>0</v>
      </c>
      <c r="D38" s="27">
        <f>COUNTIFS('2015 Grievance Tracking'!M:M,"Safe Harbor", '2015 Grievance Tracking'!W:W, "2.3", '2015 Grievance Tracking'!AJ:AJ, "March")</f>
        <v>0</v>
      </c>
      <c r="E38" s="27">
        <f>COUNTIFS('2015 Grievance Tracking'!M:M,"Safe Harbor", '2015 Grievance Tracking'!W:W, "2.3", '2015 Grievance Tracking'!AJ:AJ, "April")</f>
        <v>0</v>
      </c>
      <c r="F38" s="27">
        <f>COUNTIFS('2015 Grievance Tracking'!M:M,"Safe Harbor", '2015 Grievance Tracking'!W:W, "2.3", '2015 Grievance Tracking'!AJ:AJ, "May")</f>
        <v>0</v>
      </c>
      <c r="G38" s="27">
        <f>COUNTIFS('2015 Grievance Tracking'!M:M,"Safe Harbor", '2015 Grievance Tracking'!W:W, "2.3", '2015 Grievance Tracking'!AJ:AJ, "June")</f>
        <v>0</v>
      </c>
      <c r="N38" s="111">
        <f t="shared" si="9"/>
        <v>0</v>
      </c>
    </row>
    <row r="39" spans="1:14" x14ac:dyDescent="0.55000000000000004">
      <c r="A39" s="22" t="s">
        <v>110</v>
      </c>
      <c r="B39" s="27">
        <f>COUNTIFS('2015 Grievance Tracking'!M:M,"Safe Harbor", '2015 Grievance Tracking'!W:W, "2.4", '2015 Grievance Tracking'!AJ:AJ, "January")</f>
        <v>0</v>
      </c>
      <c r="C39" s="27">
        <f>COUNTIFS('2015 Grievance Tracking'!M:M,"Safe Harbor", '2015 Grievance Tracking'!W:W, "2.4", '2015 Grievance Tracking'!AJ:AJ, "February")</f>
        <v>0</v>
      </c>
      <c r="D39" s="27">
        <f>COUNTIFS('2015 Grievance Tracking'!M:M,"Safe Harbor", '2015 Grievance Tracking'!W:W, "2.4", '2015 Grievance Tracking'!AJ:AJ, "March")</f>
        <v>0</v>
      </c>
      <c r="E39" s="27">
        <f>COUNTIFS('2015 Grievance Tracking'!M:M,"Safe Harbor", '2015 Grievance Tracking'!W:W, "2.4", '2015 Grievance Tracking'!AJ:AJ, "April")</f>
        <v>0</v>
      </c>
      <c r="F39" s="27">
        <f>COUNTIFS('2015 Grievance Tracking'!M:M,"Safe Harbor", '2015 Grievance Tracking'!W:W, "2.4", '2015 Grievance Tracking'!AJ:AJ, "May")</f>
        <v>0</v>
      </c>
      <c r="G39" s="27">
        <f>COUNTIFS('2015 Grievance Tracking'!M:M,"Safe Harbor", '2015 Grievance Tracking'!W:W, "2.4", '2015 Grievance Tracking'!AJ:AJ, "June")</f>
        <v>0</v>
      </c>
      <c r="N39" s="111">
        <f t="shared" si="9"/>
        <v>0</v>
      </c>
    </row>
    <row r="40" spans="1:14" x14ac:dyDescent="0.55000000000000004">
      <c r="A40" s="21" t="s">
        <v>111</v>
      </c>
      <c r="B40" s="115">
        <f>COUNTIFS('2015 Grievance Tracking'!M:M,"Safe Harbor", '2015 Grievance Tracking'!W:W, "3", '2015 Grievance Tracking'!AJ:AJ, "January")</f>
        <v>0</v>
      </c>
      <c r="C40" s="115">
        <f>COUNTIFS('2015 Grievance Tracking'!M:M,"Safe Harbor", '2015 Grievance Tracking'!W:W, "3", '2015 Grievance Tracking'!AJ:AJ, "February")</f>
        <v>0</v>
      </c>
      <c r="D40" s="115">
        <f>COUNTIFS('2015 Grievance Tracking'!M:M,"Safe Harbor", '2015 Grievance Tracking'!W:W, "3", '2015 Grievance Tracking'!AJ:AJ, "March")</f>
        <v>0</v>
      </c>
      <c r="E40" s="115">
        <f>COUNTIFS('2015 Grievance Tracking'!M:M,"Safe Harbor", '2015 Grievance Tracking'!W:W, "3", '2015 Grievance Tracking'!AJ:AJ, "April")</f>
        <v>0</v>
      </c>
      <c r="F40" s="115">
        <f>COUNTIFS('2015 Grievance Tracking'!M:M,"Safe Harbor", '2015 Grievance Tracking'!W:W, "3", '2015 Grievance Tracking'!AJ:AJ, "May")</f>
        <v>0</v>
      </c>
      <c r="G40" s="115">
        <f>COUNTIFS('2015 Grievance Tracking'!M:M,"Safe Harbor", '2015 Grievance Tracking'!W:W, "3", '2015 Grievance Tracking'!AJ:AJ, "June")</f>
        <v>0</v>
      </c>
      <c r="H40" s="115"/>
      <c r="I40" s="115"/>
      <c r="J40" s="115"/>
      <c r="K40" s="115"/>
      <c r="L40" s="115"/>
      <c r="M40" s="115"/>
      <c r="N40" s="110">
        <f t="shared" si="9"/>
        <v>0</v>
      </c>
    </row>
    <row r="41" spans="1:14" x14ac:dyDescent="0.55000000000000004">
      <c r="A41" s="21" t="s">
        <v>199</v>
      </c>
      <c r="B41" s="115">
        <f>COUNTIFS('2015 Grievance Tracking'!M:M,"Safe Harbor", '2015 Grievance Tracking'!W:W, "5", '2015 Grievance Tracking'!AJ:AJ, "January")</f>
        <v>0</v>
      </c>
      <c r="C41" s="115">
        <f>COUNTIFS('2015 Grievance Tracking'!M:M,"Safe Harbor", '2015 Grievance Tracking'!W:W, "5", '2015 Grievance Tracking'!AJ:AJ, "February")</f>
        <v>0</v>
      </c>
      <c r="D41" s="115">
        <f>COUNTIFS('2015 Grievance Tracking'!M:M,"Safe Harbor", '2015 Grievance Tracking'!W:W, "5", '2015 Grievance Tracking'!AJ:AJ, "March")</f>
        <v>0</v>
      </c>
      <c r="E41" s="115">
        <f>COUNTIFS('2015 Grievance Tracking'!M:M,"Safe Harbor", '2015 Grievance Tracking'!W:W, "5", '2015 Grievance Tracking'!AJ:AJ, "April")</f>
        <v>0</v>
      </c>
      <c r="F41" s="115">
        <f>COUNTIFS('2015 Grievance Tracking'!M:M,"Safe Harbor", '2015 Grievance Tracking'!W:W, "5", '2015 Grievance Tracking'!AJ:AJ, "May")</f>
        <v>0</v>
      </c>
      <c r="G41" s="115">
        <f>COUNTIFS('2015 Grievance Tracking'!M:M,"Safe Harbor", '2015 Grievance Tracking'!W:W, "5", '2015 Grievance Tracking'!AJ:AJ, "June")</f>
        <v>0</v>
      </c>
      <c r="H41" s="115"/>
      <c r="I41" s="115"/>
      <c r="J41" s="115"/>
      <c r="K41" s="115"/>
      <c r="L41" s="115"/>
      <c r="M41" s="115"/>
      <c r="N41" s="110">
        <f>SUM(B41:M41)</f>
        <v>0</v>
      </c>
    </row>
    <row r="42" spans="1:14" x14ac:dyDescent="0.55000000000000004">
      <c r="A42" s="22" t="s">
        <v>112</v>
      </c>
      <c r="B42" s="27">
        <f>COUNTIFS('2015 Grievance Tracking'!M:M,"Safe Harbor", '2015 Grievance Tracking'!W:W, "4", '2015 Grievance Tracking'!AJ:AJ, "January")</f>
        <v>0</v>
      </c>
      <c r="C42" s="27">
        <f>COUNTIFS('2015 Grievance Tracking'!M:M,"Safe Harbor", '2015 Grievance Tracking'!W:W, "4", '2015 Grievance Tracking'!AJ:AJ, "February")</f>
        <v>0</v>
      </c>
      <c r="D42" s="27">
        <f>COUNTIFS('2015 Grievance Tracking'!M:M,"Safe Harbor", '2015 Grievance Tracking'!W:W, "4", '2015 Grievance Tracking'!AJ:AJ, "March")</f>
        <v>0</v>
      </c>
      <c r="E42" s="27">
        <f>COUNTIFS('2015 Grievance Tracking'!M:M,"Safe Harbor", '2015 Grievance Tracking'!W:W, "4", '2015 Grievance Tracking'!AJ:AJ, "April")</f>
        <v>0</v>
      </c>
      <c r="F42" s="27">
        <f>COUNTIFS('2015 Grievance Tracking'!M:M,"Safe Harbor", '2015 Grievance Tracking'!W:W, "4", '2015 Grievance Tracking'!AJ:AJ, "May")</f>
        <v>0</v>
      </c>
      <c r="G42" s="27">
        <f>COUNTIFS('2015 Grievance Tracking'!M:M,"Safe Harbor", '2015 Grievance Tracking'!W:W, "4", '2015 Grievance Tracking'!AJ:AJ, "June")</f>
        <v>0</v>
      </c>
      <c r="N42" s="111">
        <f t="shared" si="9"/>
        <v>0</v>
      </c>
    </row>
    <row r="43" spans="1:14" x14ac:dyDescent="0.55000000000000004">
      <c r="A43" s="95" t="s">
        <v>205</v>
      </c>
      <c r="B43" s="116">
        <f t="shared" ref="B43:G43" si="11">B32+B35+B40+B42+B41</f>
        <v>0</v>
      </c>
      <c r="C43" s="116">
        <f t="shared" si="11"/>
        <v>0</v>
      </c>
      <c r="D43" s="116">
        <f t="shared" si="11"/>
        <v>0</v>
      </c>
      <c r="E43" s="116">
        <f t="shared" si="11"/>
        <v>0</v>
      </c>
      <c r="F43" s="116">
        <f t="shared" si="11"/>
        <v>0</v>
      </c>
      <c r="G43" s="116">
        <f t="shared" si="11"/>
        <v>0</v>
      </c>
      <c r="H43" s="116"/>
      <c r="I43" s="116"/>
      <c r="J43" s="116"/>
      <c r="K43" s="116"/>
      <c r="L43" s="116"/>
      <c r="M43" s="116"/>
      <c r="N43" s="112">
        <f>SUM(B43:M43)</f>
        <v>0</v>
      </c>
    </row>
    <row r="44" spans="1:14" s="145" customFormat="1" x14ac:dyDescent="0.55000000000000004">
      <c r="A44" s="150"/>
      <c r="B44" s="148"/>
      <c r="C44" s="148"/>
      <c r="D44" s="148"/>
      <c r="E44" s="148"/>
      <c r="F44" s="148"/>
      <c r="G44" s="148"/>
      <c r="H44" s="148"/>
      <c r="I44" s="148"/>
      <c r="J44" s="148"/>
      <c r="K44" s="148"/>
      <c r="L44" s="148"/>
      <c r="M44" s="148"/>
      <c r="N44" s="151"/>
    </row>
    <row r="45" spans="1:14" x14ac:dyDescent="0.55000000000000004">
      <c r="A45" s="20" t="s">
        <v>51</v>
      </c>
      <c r="B45" s="113" t="s">
        <v>94</v>
      </c>
      <c r="C45" s="113" t="s">
        <v>95</v>
      </c>
      <c r="D45" s="113" t="s">
        <v>96</v>
      </c>
      <c r="E45" s="113" t="s">
        <v>97</v>
      </c>
      <c r="F45" s="113" t="s">
        <v>93</v>
      </c>
      <c r="G45" s="113" t="s">
        <v>98</v>
      </c>
      <c r="H45" s="113" t="s">
        <v>99</v>
      </c>
      <c r="I45" s="113" t="s">
        <v>100</v>
      </c>
      <c r="J45" s="113" t="s">
        <v>101</v>
      </c>
      <c r="K45" s="113" t="s">
        <v>102</v>
      </c>
      <c r="L45" s="113" t="s">
        <v>103</v>
      </c>
      <c r="M45" s="113" t="s">
        <v>104</v>
      </c>
      <c r="N45" s="109" t="s">
        <v>113</v>
      </c>
    </row>
    <row r="46" spans="1:14" x14ac:dyDescent="0.55000000000000004">
      <c r="A46" s="21" t="b">
        <v>0</v>
      </c>
      <c r="B46" s="114">
        <f t="shared" ref="B46:G46" si="12">SUM(B47:B48)</f>
        <v>0</v>
      </c>
      <c r="C46" s="114">
        <f t="shared" si="12"/>
        <v>0</v>
      </c>
      <c r="D46" s="114">
        <f t="shared" si="12"/>
        <v>0</v>
      </c>
      <c r="E46" s="114">
        <f t="shared" si="12"/>
        <v>0</v>
      </c>
      <c r="F46" s="114">
        <f t="shared" si="12"/>
        <v>0</v>
      </c>
      <c r="G46" s="114">
        <f t="shared" si="12"/>
        <v>0</v>
      </c>
      <c r="H46" s="114"/>
      <c r="I46" s="114"/>
      <c r="J46" s="114"/>
      <c r="K46" s="114"/>
      <c r="L46" s="114"/>
      <c r="M46" s="114"/>
      <c r="N46" s="110">
        <f t="shared" ref="N46:N56" si="13">SUM(B46:M46)</f>
        <v>0</v>
      </c>
    </row>
    <row r="47" spans="1:14" x14ac:dyDescent="0.55000000000000004">
      <c r="A47" s="22" t="s">
        <v>105</v>
      </c>
      <c r="B47" s="27">
        <f>COUNTIFS('2015 Grievance Tracking'!M:M,"Starting Point", '2015 Grievance Tracking'!W:W, "1.1", '2015 Grievance Tracking'!AJ:AJ, "January")</f>
        <v>0</v>
      </c>
      <c r="C47" s="27">
        <f>COUNTIFS('2015 Grievance Tracking'!M:M,"Starting Point", '2015 Grievance Tracking'!W:W, "1.1", '2015 Grievance Tracking'!AJ:AJ, "February")</f>
        <v>0</v>
      </c>
      <c r="D47" s="27">
        <f>COUNTIFS('2015 Grievance Tracking'!M:M,"Starting Point", '2015 Grievance Tracking'!W:W, "1.1", '2015 Grievance Tracking'!AJ:AJ, "March")</f>
        <v>0</v>
      </c>
      <c r="E47" s="27">
        <f>COUNTIFS('2015 Grievance Tracking'!M:M,"Starting Point", '2015 Grievance Tracking'!W:W, "1.1", '2015 Grievance Tracking'!AJ:AJ, "April")</f>
        <v>0</v>
      </c>
      <c r="F47" s="27">
        <f>COUNTIFS('2015 Grievance Tracking'!M:M,"Starting Point", '2015 Grievance Tracking'!W:W, "1.1", '2015 Grievance Tracking'!AJ:AJ, "May")</f>
        <v>0</v>
      </c>
      <c r="G47" s="27">
        <f>COUNTIFS('2015 Grievance Tracking'!M:M,"Starting Point", '2015 Grievance Tracking'!W:W, "1.1", '2015 Grievance Tracking'!AJ:AJ, "June")</f>
        <v>0</v>
      </c>
      <c r="N47" s="111">
        <f t="shared" si="13"/>
        <v>0</v>
      </c>
    </row>
    <row r="48" spans="1:14" x14ac:dyDescent="0.55000000000000004">
      <c r="A48" s="22" t="s">
        <v>106</v>
      </c>
      <c r="B48" s="27">
        <f>COUNTIFS('2015 Grievance Tracking'!M:M,"Starting Point", '2015 Grievance Tracking'!W:W, "1.2", '2015 Grievance Tracking'!AJ:AJ, "January")</f>
        <v>0</v>
      </c>
      <c r="C48" s="27">
        <f>COUNTIFS('2015 Grievance Tracking'!M:M,"Starting Point", '2015 Grievance Tracking'!W:W, "1.2", '2015 Grievance Tracking'!AJ:AJ, "February")</f>
        <v>0</v>
      </c>
      <c r="D48" s="27">
        <f>COUNTIFS('2015 Grievance Tracking'!M:M,"Starting Point", '2015 Grievance Tracking'!W:W, "1.2", '2015 Grievance Tracking'!AJ:AJ, "March")</f>
        <v>0</v>
      </c>
      <c r="E48" s="27">
        <f>COUNTIFS('2015 Grievance Tracking'!M:M,"Starting Point", '2015 Grievance Tracking'!W:W, "1.2", '2015 Grievance Tracking'!AJ:AJ, "April")</f>
        <v>0</v>
      </c>
      <c r="F48" s="27">
        <f>COUNTIFS('2015 Grievance Tracking'!M:M,"Starting Point", '2015 Grievance Tracking'!W:W, "1.2", '2015 Grievance Tracking'!AJ:AJ, "May")</f>
        <v>0</v>
      </c>
      <c r="G48" s="27">
        <f>COUNTIFS('2015 Grievance Tracking'!M:M,"Starting Point", '2015 Grievance Tracking'!W:W, "1.2", '2015 Grievance Tracking'!AJ:AJ, "June")</f>
        <v>0</v>
      </c>
      <c r="N48" s="111">
        <f t="shared" si="13"/>
        <v>0</v>
      </c>
    </row>
    <row r="49" spans="1:14" x14ac:dyDescent="0.55000000000000004">
      <c r="A49" s="21" t="b">
        <v>1</v>
      </c>
      <c r="B49" s="115">
        <f t="shared" ref="B49:G49" si="14">SUM(B50:B53)</f>
        <v>0</v>
      </c>
      <c r="C49" s="115">
        <f t="shared" si="14"/>
        <v>0</v>
      </c>
      <c r="D49" s="115">
        <f t="shared" si="14"/>
        <v>0</v>
      </c>
      <c r="E49" s="115">
        <f t="shared" si="14"/>
        <v>0</v>
      </c>
      <c r="F49" s="115">
        <f t="shared" si="14"/>
        <v>0</v>
      </c>
      <c r="G49" s="115">
        <f t="shared" si="14"/>
        <v>0</v>
      </c>
      <c r="H49" s="115"/>
      <c r="I49" s="115"/>
      <c r="J49" s="115"/>
      <c r="K49" s="115"/>
      <c r="L49" s="115"/>
      <c r="M49" s="115"/>
      <c r="N49" s="110">
        <f t="shared" si="13"/>
        <v>0</v>
      </c>
    </row>
    <row r="50" spans="1:14" x14ac:dyDescent="0.55000000000000004">
      <c r="A50" s="22" t="s">
        <v>107</v>
      </c>
      <c r="B50" s="27">
        <f>COUNTIFS('2015 Grievance Tracking'!M:M,"Starting Point", '2015 Grievance Tracking'!W:W, "2.1", '2015 Grievance Tracking'!AJ:AJ, "January")</f>
        <v>0</v>
      </c>
      <c r="C50" s="27">
        <f>COUNTIFS('2015 Grievance Tracking'!M:M,"Starting Point", '2015 Grievance Tracking'!W:W, "2.1", '2015 Grievance Tracking'!AJ:AJ, "February")</f>
        <v>0</v>
      </c>
      <c r="D50" s="27">
        <f>COUNTIFS('2015 Grievance Tracking'!M:M,"Starting Point", '2015 Grievance Tracking'!W:W, "2.1", '2015 Grievance Tracking'!AJ:AJ, "March")</f>
        <v>0</v>
      </c>
      <c r="E50" s="27">
        <f>COUNTIFS('2015 Grievance Tracking'!M:M,"Starting Point", '2015 Grievance Tracking'!W:W, "2.1", '2015 Grievance Tracking'!AJ:AJ, "April")</f>
        <v>0</v>
      </c>
      <c r="F50" s="27">
        <f>COUNTIFS('2015 Grievance Tracking'!M:M,"Starting Point", '2015 Grievance Tracking'!W:W, "2.1", '2015 Grievance Tracking'!AJ:AJ, "May")</f>
        <v>0</v>
      </c>
      <c r="G50" s="27">
        <f>COUNTIFS('2015 Grievance Tracking'!M:M,"Starting Point", '2015 Grievance Tracking'!W:W, "2.1", '2015 Grievance Tracking'!AJ:AJ, "June")</f>
        <v>0</v>
      </c>
      <c r="N50" s="111">
        <f t="shared" si="13"/>
        <v>0</v>
      </c>
    </row>
    <row r="51" spans="1:14" x14ac:dyDescent="0.55000000000000004">
      <c r="A51" s="22" t="s">
        <v>108</v>
      </c>
      <c r="B51" s="27">
        <f>COUNTIFS('2015 Grievance Tracking'!M:M,"Starting Point", '2015 Grievance Tracking'!W:W, "2.2", '2015 Grievance Tracking'!AJ:AJ, "January")</f>
        <v>0</v>
      </c>
      <c r="C51" s="27">
        <f>COUNTIFS('2015 Grievance Tracking'!M:M,"Starting Point", '2015 Grievance Tracking'!W:W, "2.2", '2015 Grievance Tracking'!AJ:AJ, "February")</f>
        <v>0</v>
      </c>
      <c r="D51" s="27">
        <f>COUNTIFS('2015 Grievance Tracking'!M:M,"Starting Point", '2015 Grievance Tracking'!W:W, "2.2", '2015 Grievance Tracking'!AJ:AJ, "March")</f>
        <v>0</v>
      </c>
      <c r="E51" s="27">
        <f>COUNTIFS('2015 Grievance Tracking'!M:M,"Starting Point", '2015 Grievance Tracking'!W:W, "2.2", '2015 Grievance Tracking'!AJ:AJ, "April")</f>
        <v>0</v>
      </c>
      <c r="F51" s="27">
        <f>COUNTIFS('2015 Grievance Tracking'!M:M,"Starting Point", '2015 Grievance Tracking'!W:W, "2.2", '2015 Grievance Tracking'!AJ:AJ, "May")</f>
        <v>0</v>
      </c>
      <c r="G51" s="27">
        <f>COUNTIFS('2015 Grievance Tracking'!M:M,"Starting Point", '2015 Grievance Tracking'!W:W, "2.2", '2015 Grievance Tracking'!AJ:AJ, "June")</f>
        <v>0</v>
      </c>
      <c r="N51" s="111">
        <f t="shared" si="13"/>
        <v>0</v>
      </c>
    </row>
    <row r="52" spans="1:14" x14ac:dyDescent="0.55000000000000004">
      <c r="A52" s="22" t="s">
        <v>109</v>
      </c>
      <c r="B52" s="27">
        <f>COUNTIFS('2015 Grievance Tracking'!M:M,"Starting Point", '2015 Grievance Tracking'!W:W, "2.3", '2015 Grievance Tracking'!AJ:AJ, "January")</f>
        <v>0</v>
      </c>
      <c r="C52" s="27">
        <f>COUNTIFS('2015 Grievance Tracking'!M:M,"Starting Point", '2015 Grievance Tracking'!W:W, "2.3", '2015 Grievance Tracking'!AJ:AJ, "February")</f>
        <v>0</v>
      </c>
      <c r="D52" s="27">
        <f>COUNTIFS('2015 Grievance Tracking'!M:M,"Starting Point", '2015 Grievance Tracking'!W:W, "2.3", '2015 Grievance Tracking'!AJ:AJ, "March")</f>
        <v>0</v>
      </c>
      <c r="E52" s="27">
        <f>COUNTIFS('2015 Grievance Tracking'!M:M,"Starting Point", '2015 Grievance Tracking'!W:W, "2.3", '2015 Grievance Tracking'!AJ:AJ, "April")</f>
        <v>0</v>
      </c>
      <c r="F52" s="27">
        <f>COUNTIFS('2015 Grievance Tracking'!M:M,"Starting Point", '2015 Grievance Tracking'!W:W, "2.3", '2015 Grievance Tracking'!AJ:AJ, "May")</f>
        <v>0</v>
      </c>
      <c r="G52" s="27">
        <f>COUNTIFS('2015 Grievance Tracking'!M:M,"Starting Point", '2015 Grievance Tracking'!W:W, "2.3", '2015 Grievance Tracking'!AJ:AJ, "June")</f>
        <v>0</v>
      </c>
      <c r="N52" s="111">
        <f t="shared" si="13"/>
        <v>0</v>
      </c>
    </row>
    <row r="53" spans="1:14" x14ac:dyDescent="0.55000000000000004">
      <c r="A53" s="22" t="s">
        <v>110</v>
      </c>
      <c r="B53" s="27">
        <f>COUNTIFS('2015 Grievance Tracking'!M:M,"Starting Point", '2015 Grievance Tracking'!W:W, "2.4", '2015 Grievance Tracking'!AJ:AJ, "January")</f>
        <v>0</v>
      </c>
      <c r="C53" s="27">
        <f>COUNTIFS('2015 Grievance Tracking'!M:M,"Starting Point", '2015 Grievance Tracking'!W:W, "2.4", '2015 Grievance Tracking'!AJ:AJ, "February")</f>
        <v>0</v>
      </c>
      <c r="D53" s="27">
        <f>COUNTIFS('2015 Grievance Tracking'!M:M,"Starting Point", '2015 Grievance Tracking'!W:W, "2.4", '2015 Grievance Tracking'!AJ:AJ, "March")</f>
        <v>0</v>
      </c>
      <c r="E53" s="27">
        <f>COUNTIFS('2015 Grievance Tracking'!M:M,"Starting Point", '2015 Grievance Tracking'!W:W, "2.4", '2015 Grievance Tracking'!AJ:AJ, "April")</f>
        <v>0</v>
      </c>
      <c r="F53" s="27">
        <f>COUNTIFS('2015 Grievance Tracking'!M:M,"Starting Point", '2015 Grievance Tracking'!W:W, "2.4", '2015 Grievance Tracking'!AJ:AJ, "May")</f>
        <v>0</v>
      </c>
      <c r="G53" s="27">
        <f>COUNTIFS('2015 Grievance Tracking'!M:M,"Starting Point", '2015 Grievance Tracking'!W:W, "2.4", '2015 Grievance Tracking'!AJ:AJ, "June")</f>
        <v>0</v>
      </c>
      <c r="N53" s="111">
        <f t="shared" si="13"/>
        <v>0</v>
      </c>
    </row>
    <row r="54" spans="1:14" x14ac:dyDescent="0.55000000000000004">
      <c r="A54" s="21" t="s">
        <v>111</v>
      </c>
      <c r="B54" s="115">
        <f>COUNTIFS('2015 Grievance Tracking'!M:M,"Starting Point", '2015 Grievance Tracking'!W:W, "3", '2015 Grievance Tracking'!AJ:AJ, "January")</f>
        <v>0</v>
      </c>
      <c r="C54" s="115">
        <f>COUNTIFS('2015 Grievance Tracking'!M:M,"Starting Point", '2015 Grievance Tracking'!W:W, "3", '2015 Grievance Tracking'!AJ:AJ, "February")</f>
        <v>0</v>
      </c>
      <c r="D54" s="115">
        <f>COUNTIFS('2015 Grievance Tracking'!M:M,"Starting Point", '2015 Grievance Tracking'!W:W, "3", '2015 Grievance Tracking'!AJ:AJ, "March")</f>
        <v>0</v>
      </c>
      <c r="E54" s="115">
        <f>COUNTIFS('2015 Grievance Tracking'!M:M,"Starting Point", '2015 Grievance Tracking'!W:W, "3", '2015 Grievance Tracking'!AJ:AJ, "April")</f>
        <v>0</v>
      </c>
      <c r="F54" s="115">
        <f>COUNTIFS('2015 Grievance Tracking'!M:M,"Starting Point", '2015 Grievance Tracking'!W:W, "3", '2015 Grievance Tracking'!AJ:AJ, "May")</f>
        <v>0</v>
      </c>
      <c r="G54" s="115">
        <f>COUNTIFS('2015 Grievance Tracking'!M:M,"Starting Point", '2015 Grievance Tracking'!W:W, "3", '2015 Grievance Tracking'!AJ:AJ, "June")</f>
        <v>0</v>
      </c>
      <c r="H54" s="115"/>
      <c r="I54" s="115"/>
      <c r="J54" s="115"/>
      <c r="K54" s="115"/>
      <c r="L54" s="115"/>
      <c r="M54" s="115"/>
      <c r="N54" s="110">
        <f t="shared" si="13"/>
        <v>0</v>
      </c>
    </row>
    <row r="55" spans="1:14" x14ac:dyDescent="0.55000000000000004">
      <c r="A55" s="21" t="s">
        <v>199</v>
      </c>
      <c r="B55" s="115">
        <f>COUNTIFS('2015 Grievance Tracking'!M:M,"Starting Point", '2015 Grievance Tracking'!W:W, "5", '2015 Grievance Tracking'!AJ:AJ, "January")</f>
        <v>0</v>
      </c>
      <c r="C55" s="115">
        <f>COUNTIFS('2015 Grievance Tracking'!M:M,"Starting Point", '2015 Grievance Tracking'!W:W, "5", '2015 Grievance Tracking'!AJ:AJ, "February")</f>
        <v>0</v>
      </c>
      <c r="D55" s="115">
        <f>COUNTIFS('2015 Grievance Tracking'!M:M,"Starting Point", '2015 Grievance Tracking'!W:W, "5", '2015 Grievance Tracking'!AJ:AJ, "March")</f>
        <v>0</v>
      </c>
      <c r="E55" s="115">
        <f>COUNTIFS('2015 Grievance Tracking'!M:M,"Starting Point", '2015 Grievance Tracking'!W:W, "5", '2015 Grievance Tracking'!AJ:AJ, "April")</f>
        <v>0</v>
      </c>
      <c r="F55" s="115">
        <f>COUNTIFS('2015 Grievance Tracking'!M:M,"Starting Point", '2015 Grievance Tracking'!W:W, "5", '2015 Grievance Tracking'!AJ:AJ, "May")</f>
        <v>0</v>
      </c>
      <c r="G55" s="115">
        <f>COUNTIFS('2015 Grievance Tracking'!M:M,"Starting Point", '2015 Grievance Tracking'!W:W, "5", '2015 Grievance Tracking'!AJ:AJ, "June")</f>
        <v>0</v>
      </c>
      <c r="H55" s="115"/>
      <c r="I55" s="115"/>
      <c r="J55" s="115"/>
      <c r="K55" s="115"/>
      <c r="L55" s="115"/>
      <c r="M55" s="115"/>
      <c r="N55" s="110">
        <f>SUM(B55:M55)</f>
        <v>0</v>
      </c>
    </row>
    <row r="56" spans="1:14" x14ac:dyDescent="0.55000000000000004">
      <c r="A56" s="22" t="s">
        <v>112</v>
      </c>
      <c r="B56" s="27">
        <f>COUNTIFS('2015 Grievance Tracking'!M:M,"Starting Point", '2015 Grievance Tracking'!W:W, "4", '2015 Grievance Tracking'!AJ:AJ, "January")</f>
        <v>0</v>
      </c>
      <c r="C56" s="27">
        <f>COUNTIFS('2015 Grievance Tracking'!M:M,"Starting Point", '2015 Grievance Tracking'!W:W, "4", '2015 Grievance Tracking'!AJ:AJ, "February")</f>
        <v>0</v>
      </c>
      <c r="D56" s="27">
        <f>COUNTIFS('2015 Grievance Tracking'!M:M,"Starting Point", '2015 Grievance Tracking'!W:W, "4", '2015 Grievance Tracking'!AJ:AJ, "March")</f>
        <v>0</v>
      </c>
      <c r="E56" s="27">
        <f>COUNTIFS('2015 Grievance Tracking'!M:M,"Starting Point", '2015 Grievance Tracking'!W:W, "4", '2015 Grievance Tracking'!AJ:AJ, "April")</f>
        <v>0</v>
      </c>
      <c r="F56" s="27">
        <f>COUNTIFS('2015 Grievance Tracking'!M:M,"Starting Point", '2015 Grievance Tracking'!W:W, "4", '2015 Grievance Tracking'!AJ:AJ, "May")</f>
        <v>0</v>
      </c>
      <c r="G56" s="27">
        <f>COUNTIFS('2015 Grievance Tracking'!M:M,"Starting Point", '2015 Grievance Tracking'!W:W, "4", '2015 Grievance Tracking'!AJ:AJ, "June")</f>
        <v>0</v>
      </c>
      <c r="N56" s="111">
        <f t="shared" si="13"/>
        <v>0</v>
      </c>
    </row>
    <row r="57" spans="1:14" x14ac:dyDescent="0.55000000000000004">
      <c r="A57" s="95" t="s">
        <v>205</v>
      </c>
      <c r="B57" s="116">
        <f t="shared" ref="B57:G57" si="15">B46+B49+B54+B56+B55</f>
        <v>0</v>
      </c>
      <c r="C57" s="116">
        <f t="shared" si="15"/>
        <v>0</v>
      </c>
      <c r="D57" s="116">
        <f t="shared" si="15"/>
        <v>0</v>
      </c>
      <c r="E57" s="116">
        <f t="shared" si="15"/>
        <v>0</v>
      </c>
      <c r="F57" s="116">
        <f t="shared" si="15"/>
        <v>0</v>
      </c>
      <c r="G57" s="116">
        <f t="shared" si="15"/>
        <v>0</v>
      </c>
      <c r="H57" s="116"/>
      <c r="I57" s="116"/>
      <c r="J57" s="116"/>
      <c r="K57" s="116"/>
      <c r="L57" s="116"/>
      <c r="M57" s="116"/>
      <c r="N57" s="112">
        <f>SUM(B57:M57)</f>
        <v>0</v>
      </c>
    </row>
    <row r="58" spans="1:14" s="145" customFormat="1" x14ac:dyDescent="0.55000000000000004">
      <c r="A58" s="150"/>
      <c r="B58" s="148"/>
      <c r="C58" s="148"/>
      <c r="D58" s="148"/>
      <c r="E58" s="148"/>
      <c r="F58" s="148"/>
      <c r="G58" s="148"/>
      <c r="H58" s="148"/>
      <c r="I58" s="148"/>
      <c r="J58" s="148"/>
      <c r="K58" s="148"/>
      <c r="L58" s="148"/>
      <c r="M58" s="148"/>
      <c r="N58" s="151"/>
    </row>
    <row r="59" spans="1:14" x14ac:dyDescent="0.55000000000000004">
      <c r="A59" s="23" t="s">
        <v>60</v>
      </c>
      <c r="B59" s="113" t="s">
        <v>94</v>
      </c>
      <c r="C59" s="113" t="s">
        <v>95</v>
      </c>
      <c r="D59" s="113" t="s">
        <v>96</v>
      </c>
      <c r="E59" s="113" t="s">
        <v>97</v>
      </c>
      <c r="F59" s="113" t="s">
        <v>93</v>
      </c>
      <c r="G59" s="113" t="s">
        <v>98</v>
      </c>
      <c r="H59" s="113" t="s">
        <v>99</v>
      </c>
      <c r="I59" s="113" t="s">
        <v>100</v>
      </c>
      <c r="J59" s="113" t="s">
        <v>101</v>
      </c>
      <c r="K59" s="113" t="s">
        <v>102</v>
      </c>
      <c r="L59" s="113" t="s">
        <v>103</v>
      </c>
      <c r="M59" s="113" t="s">
        <v>104</v>
      </c>
      <c r="N59" s="109" t="s">
        <v>113</v>
      </c>
    </row>
    <row r="60" spans="1:14" x14ac:dyDescent="0.55000000000000004">
      <c r="A60" s="21" t="b">
        <v>0</v>
      </c>
      <c r="B60" s="114">
        <f t="shared" ref="B60:G60" si="16">SUM(B61:B62)</f>
        <v>0</v>
      </c>
      <c r="C60" s="114">
        <f t="shared" si="16"/>
        <v>0</v>
      </c>
      <c r="D60" s="114">
        <f t="shared" si="16"/>
        <v>0</v>
      </c>
      <c r="E60" s="114">
        <f t="shared" si="16"/>
        <v>0</v>
      </c>
      <c r="F60" s="114">
        <f t="shared" si="16"/>
        <v>0</v>
      </c>
      <c r="G60" s="114">
        <f t="shared" si="16"/>
        <v>0</v>
      </c>
      <c r="H60" s="114"/>
      <c r="I60" s="114"/>
      <c r="J60" s="114"/>
      <c r="K60" s="114"/>
      <c r="L60" s="114"/>
      <c r="M60" s="114"/>
      <c r="N60" s="110">
        <f t="shared" ref="N60:N70" si="17">SUM(B60:M60)</f>
        <v>0</v>
      </c>
    </row>
    <row r="61" spans="1:14" x14ac:dyDescent="0.55000000000000004">
      <c r="A61" s="22" t="s">
        <v>105</v>
      </c>
      <c r="B61" s="27">
        <f>COUNTIFS('2015 Grievance Tracking'!M:M,"Transformations 1", '2015 Grievance Tracking'!W:W, "1.1", '2015 Grievance Tracking'!AJ:AJ, "January")</f>
        <v>0</v>
      </c>
      <c r="C61" s="27">
        <f>COUNTIFS('2015 Grievance Tracking'!M:M,"Transformations 1", '2015 Grievance Tracking'!W:W, "1.1", '2015 Grievance Tracking'!AJ:AJ, "February")</f>
        <v>0</v>
      </c>
      <c r="D61" s="27">
        <f>COUNTIFS('2015 Grievance Tracking'!M:M,"Transformations 1", '2015 Grievance Tracking'!W:W, "1.1", '2015 Grievance Tracking'!AJ:AJ, "March")</f>
        <v>0</v>
      </c>
      <c r="E61" s="27">
        <f>COUNTIFS('2015 Grievance Tracking'!M:M,"Transformations 1", '2015 Grievance Tracking'!W:W, "1.1", '2015 Grievance Tracking'!AJ:AJ, "April")</f>
        <v>0</v>
      </c>
      <c r="F61" s="27">
        <f>COUNTIFS('2015 Grievance Tracking'!M:M,"Transformations 1", '2015 Grievance Tracking'!W:W, "1.1", '2015 Grievance Tracking'!AJ:AJ, "May")</f>
        <v>0</v>
      </c>
      <c r="G61" s="27">
        <f>COUNTIFS('2015 Grievance Tracking'!M:M,"Transformations 1", '2015 Grievance Tracking'!W:W, "1.1", '2015 Grievance Tracking'!AJ:AJ, "June")</f>
        <v>0</v>
      </c>
      <c r="N61" s="111">
        <f t="shared" si="17"/>
        <v>0</v>
      </c>
    </row>
    <row r="62" spans="1:14" x14ac:dyDescent="0.55000000000000004">
      <c r="A62" s="22" t="s">
        <v>106</v>
      </c>
      <c r="B62" s="27">
        <f>COUNTIFS('2015 Grievance Tracking'!M:M,"Transformations 1", '2015 Grievance Tracking'!W:W, "1.2", '2015 Grievance Tracking'!AJ:AJ, "January")</f>
        <v>0</v>
      </c>
      <c r="C62" s="27">
        <f>COUNTIFS('2015 Grievance Tracking'!M:M,"Transformations 1", '2015 Grievance Tracking'!W:W, "1.2", '2015 Grievance Tracking'!AJ:AJ, "February")</f>
        <v>0</v>
      </c>
      <c r="D62" s="27">
        <f>COUNTIFS('2015 Grievance Tracking'!M:M,"Transformations 1", '2015 Grievance Tracking'!W:W, "1.2", '2015 Grievance Tracking'!AJ:AJ, "March")</f>
        <v>0</v>
      </c>
      <c r="E62" s="27">
        <f>COUNTIFS('2015 Grievance Tracking'!M:M,"Transformations 1", '2015 Grievance Tracking'!W:W, "1.2", '2015 Grievance Tracking'!AJ:AJ, "April")</f>
        <v>0</v>
      </c>
      <c r="F62" s="27">
        <f>COUNTIFS('2015 Grievance Tracking'!M:M,"Transformations 1", '2015 Grievance Tracking'!W:W, "1.2", '2015 Grievance Tracking'!AJ:AJ, "May")</f>
        <v>0</v>
      </c>
      <c r="G62" s="27">
        <f>COUNTIFS('2015 Grievance Tracking'!M:M,"Transformations 1", '2015 Grievance Tracking'!W:W, "1.2", '2015 Grievance Tracking'!AJ:AJ, "June")</f>
        <v>0</v>
      </c>
      <c r="N62" s="111">
        <f t="shared" si="17"/>
        <v>0</v>
      </c>
    </row>
    <row r="63" spans="1:14" x14ac:dyDescent="0.55000000000000004">
      <c r="A63" s="21" t="b">
        <v>1</v>
      </c>
      <c r="B63" s="115">
        <f t="shared" ref="B63:G63" si="18">SUM(B64:B67)</f>
        <v>0</v>
      </c>
      <c r="C63" s="115">
        <f t="shared" si="18"/>
        <v>0</v>
      </c>
      <c r="D63" s="115">
        <f t="shared" si="18"/>
        <v>0</v>
      </c>
      <c r="E63" s="115">
        <f t="shared" si="18"/>
        <v>0</v>
      </c>
      <c r="F63" s="115">
        <f t="shared" si="18"/>
        <v>0</v>
      </c>
      <c r="G63" s="115">
        <f t="shared" si="18"/>
        <v>0</v>
      </c>
      <c r="H63" s="115"/>
      <c r="I63" s="115"/>
      <c r="J63" s="115"/>
      <c r="K63" s="115"/>
      <c r="L63" s="115"/>
      <c r="M63" s="115"/>
      <c r="N63" s="110">
        <f t="shared" si="17"/>
        <v>0</v>
      </c>
    </row>
    <row r="64" spans="1:14" x14ac:dyDescent="0.55000000000000004">
      <c r="A64" s="22" t="s">
        <v>107</v>
      </c>
      <c r="B64" s="27">
        <f>COUNTIFS('2015 Grievance Tracking'!M:M,"Transformations 1", '2015 Grievance Tracking'!W:W, "2.1", '2015 Grievance Tracking'!AJ:AJ, "January")</f>
        <v>0</v>
      </c>
      <c r="C64" s="27">
        <f>COUNTIFS('2015 Grievance Tracking'!M:M,"Transformations 1", '2015 Grievance Tracking'!W:W, "2.1", '2015 Grievance Tracking'!AJ:AJ, "February")</f>
        <v>0</v>
      </c>
      <c r="D64" s="27">
        <f>COUNTIFS('2015 Grievance Tracking'!M:M,"Transformations 1", '2015 Grievance Tracking'!W:W, "2.1", '2015 Grievance Tracking'!AJ:AJ, "March")</f>
        <v>0</v>
      </c>
      <c r="E64" s="27">
        <f>COUNTIFS('2015 Grievance Tracking'!M:M,"Transformations 1", '2015 Grievance Tracking'!W:W, "2.1", '2015 Grievance Tracking'!AJ:AJ, "April")</f>
        <v>0</v>
      </c>
      <c r="F64" s="27">
        <f>COUNTIFS('2015 Grievance Tracking'!M:M,"Transformations 1", '2015 Grievance Tracking'!W:W, "2.1", '2015 Grievance Tracking'!AJ:AJ, "May")</f>
        <v>0</v>
      </c>
      <c r="G64" s="27">
        <f>COUNTIFS('2015 Grievance Tracking'!M:M,"Transformations 1", '2015 Grievance Tracking'!W:W, "2.1", '2015 Grievance Tracking'!AJ:AJ, "June")</f>
        <v>0</v>
      </c>
      <c r="N64" s="111">
        <f t="shared" si="17"/>
        <v>0</v>
      </c>
    </row>
    <row r="65" spans="1:14" x14ac:dyDescent="0.55000000000000004">
      <c r="A65" s="22" t="s">
        <v>108</v>
      </c>
      <c r="B65" s="27">
        <f>COUNTIFS('2015 Grievance Tracking'!M:M,"Transformations 1", '2015 Grievance Tracking'!W:W, "2.2", '2015 Grievance Tracking'!AJ:AJ, "January")</f>
        <v>0</v>
      </c>
      <c r="C65" s="27">
        <f>COUNTIFS('2015 Grievance Tracking'!M:M,"Transformations 1", '2015 Grievance Tracking'!W:W, "2.2", '2015 Grievance Tracking'!AJ:AJ, "February")</f>
        <v>0</v>
      </c>
      <c r="D65" s="27">
        <f>COUNTIFS('2015 Grievance Tracking'!M:M,"Transformations 1", '2015 Grievance Tracking'!W:W, "2.2", '2015 Grievance Tracking'!AJ:AJ, "March")</f>
        <v>0</v>
      </c>
      <c r="E65" s="27">
        <f>COUNTIFS('2015 Grievance Tracking'!M:M,"Transformations 1", '2015 Grievance Tracking'!W:W, "2.2", '2015 Grievance Tracking'!AJ:AJ, "April")</f>
        <v>0</v>
      </c>
      <c r="F65" s="27">
        <f>COUNTIFS('2015 Grievance Tracking'!M:M,"Transformations 1", '2015 Grievance Tracking'!W:W, "2.2", '2015 Grievance Tracking'!AJ:AJ, "May")</f>
        <v>0</v>
      </c>
      <c r="G65" s="27">
        <f>COUNTIFS('2015 Grievance Tracking'!M:M,"Transformations 1", '2015 Grievance Tracking'!W:W, "2.2", '2015 Grievance Tracking'!AJ:AJ, "June")</f>
        <v>0</v>
      </c>
      <c r="N65" s="111">
        <f t="shared" si="17"/>
        <v>0</v>
      </c>
    </row>
    <row r="66" spans="1:14" x14ac:dyDescent="0.55000000000000004">
      <c r="A66" s="22" t="s">
        <v>109</v>
      </c>
      <c r="B66" s="27">
        <f>COUNTIFS('2015 Grievance Tracking'!M:M,"Transformations 1", '2015 Grievance Tracking'!W:W, "2.3", '2015 Grievance Tracking'!AJ:AJ, "January")</f>
        <v>0</v>
      </c>
      <c r="C66" s="27">
        <f>COUNTIFS('2015 Grievance Tracking'!M:M,"Transformations 1", '2015 Grievance Tracking'!W:W, "2.3", '2015 Grievance Tracking'!AJ:AJ, "February")</f>
        <v>0</v>
      </c>
      <c r="D66" s="27">
        <f>COUNTIFS('2015 Grievance Tracking'!M:M,"Transformations 1", '2015 Grievance Tracking'!W:W, "2.3", '2015 Grievance Tracking'!AJ:AJ, "March")</f>
        <v>0</v>
      </c>
      <c r="E66" s="27">
        <f>COUNTIFS('2015 Grievance Tracking'!M:M,"Transformations 1", '2015 Grievance Tracking'!W:W, "2.3", '2015 Grievance Tracking'!AJ:AJ, "April")</f>
        <v>0</v>
      </c>
      <c r="F66" s="27">
        <f>COUNTIFS('2015 Grievance Tracking'!M:M,"Transformations 1", '2015 Grievance Tracking'!W:W, "2.3", '2015 Grievance Tracking'!AJ:AJ, "May")</f>
        <v>0</v>
      </c>
      <c r="G66" s="27">
        <f>COUNTIFS('2015 Grievance Tracking'!M:M,"Transformations 1", '2015 Grievance Tracking'!W:W, "2.3", '2015 Grievance Tracking'!AJ:AJ, "June")</f>
        <v>0</v>
      </c>
      <c r="N66" s="111">
        <f t="shared" si="17"/>
        <v>0</v>
      </c>
    </row>
    <row r="67" spans="1:14" x14ac:dyDescent="0.55000000000000004">
      <c r="A67" s="22" t="s">
        <v>110</v>
      </c>
      <c r="B67" s="27">
        <f>COUNTIFS('2015 Grievance Tracking'!M:M,"Transformations 1", '2015 Grievance Tracking'!W:W, "2.4", '2015 Grievance Tracking'!AJ:AJ, "January")</f>
        <v>0</v>
      </c>
      <c r="C67" s="27">
        <f>COUNTIFS('2015 Grievance Tracking'!M:M,"Transformations 1", '2015 Grievance Tracking'!W:W, "2.4", '2015 Grievance Tracking'!AJ:AJ, "February")</f>
        <v>0</v>
      </c>
      <c r="D67" s="27">
        <f>COUNTIFS('2015 Grievance Tracking'!M:M,"Transformations 1", '2015 Grievance Tracking'!W:W, "2.4", '2015 Grievance Tracking'!AJ:AJ, "March")</f>
        <v>0</v>
      </c>
      <c r="E67" s="27">
        <f>COUNTIFS('2015 Grievance Tracking'!M:M,"Transformations 1", '2015 Grievance Tracking'!W:W, "2.4", '2015 Grievance Tracking'!AJ:AJ, "April")</f>
        <v>0</v>
      </c>
      <c r="F67" s="27">
        <f>COUNTIFS('2015 Grievance Tracking'!M:M,"Transformations 1", '2015 Grievance Tracking'!W:W, "2.4", '2015 Grievance Tracking'!AJ:AJ, "May")</f>
        <v>0</v>
      </c>
      <c r="G67" s="27">
        <f>COUNTIFS('2015 Grievance Tracking'!M:M,"Transformations 1", '2015 Grievance Tracking'!W:W, "2.4", '2015 Grievance Tracking'!AJ:AJ, "June")</f>
        <v>0</v>
      </c>
      <c r="N67" s="111">
        <f t="shared" si="17"/>
        <v>0</v>
      </c>
    </row>
    <row r="68" spans="1:14" x14ac:dyDescent="0.55000000000000004">
      <c r="A68" s="21" t="s">
        <v>111</v>
      </c>
      <c r="B68" s="115">
        <f>COUNTIFS('2015 Grievance Tracking'!M:M,"Transformations 1", '2015 Grievance Tracking'!W:W, "3", '2015 Grievance Tracking'!AJ:AJ, "January")</f>
        <v>0</v>
      </c>
      <c r="C68" s="115">
        <f>COUNTIFS('2015 Grievance Tracking'!M:M,"Transformations 1", '2015 Grievance Tracking'!W:W, "3", '2015 Grievance Tracking'!AJ:AJ, "February")</f>
        <v>0</v>
      </c>
      <c r="D68" s="115">
        <f>COUNTIFS('2015 Grievance Tracking'!M:M,"Transformations 1", '2015 Grievance Tracking'!W:W, "3", '2015 Grievance Tracking'!AJ:AJ, "March")</f>
        <v>0</v>
      </c>
      <c r="E68" s="115">
        <f>COUNTIFS('2015 Grievance Tracking'!M:M,"Transformations 1", '2015 Grievance Tracking'!W:W, "3", '2015 Grievance Tracking'!AJ:AJ, "April")</f>
        <v>0</v>
      </c>
      <c r="F68" s="115">
        <f>COUNTIFS('2015 Grievance Tracking'!M:M,"Transformations 1", '2015 Grievance Tracking'!W:W, "3", '2015 Grievance Tracking'!AJ:AJ, "May")</f>
        <v>0</v>
      </c>
      <c r="G68" s="115">
        <f>COUNTIFS('2015 Grievance Tracking'!M:M,"Transformations 1", '2015 Grievance Tracking'!W:W, "3", '2015 Grievance Tracking'!AJ:AJ, "June")</f>
        <v>0</v>
      </c>
      <c r="H68" s="115"/>
      <c r="I68" s="115"/>
      <c r="J68" s="115"/>
      <c r="K68" s="115"/>
      <c r="L68" s="115"/>
      <c r="M68" s="115"/>
      <c r="N68" s="110">
        <f t="shared" si="17"/>
        <v>0</v>
      </c>
    </row>
    <row r="69" spans="1:14" x14ac:dyDescent="0.55000000000000004">
      <c r="A69" s="21" t="s">
        <v>199</v>
      </c>
      <c r="B69" s="115">
        <f>COUNTIFS('2015 Grievance Tracking'!M:M,"Transformations 1", '2015 Grievance Tracking'!W:W, "5", '2015 Grievance Tracking'!AJ:AJ, "January")</f>
        <v>0</v>
      </c>
      <c r="C69" s="115">
        <f>COUNTIFS('2015 Grievance Tracking'!M:M,"Transformations 1", '2015 Grievance Tracking'!W:W, "5", '2015 Grievance Tracking'!AJ:AJ, "February")</f>
        <v>0</v>
      </c>
      <c r="D69" s="115">
        <f>COUNTIFS('2015 Grievance Tracking'!M:M,"Transformations 1", '2015 Grievance Tracking'!W:W, "5", '2015 Grievance Tracking'!AJ:AJ, "March")</f>
        <v>0</v>
      </c>
      <c r="E69" s="115">
        <f>COUNTIFS('2015 Grievance Tracking'!M:M,"Transformations 1", '2015 Grievance Tracking'!W:W, "5", '2015 Grievance Tracking'!AJ:AJ, "April")</f>
        <v>0</v>
      </c>
      <c r="F69" s="115">
        <f>COUNTIFS('2015 Grievance Tracking'!M:M,"Transformations 1", '2015 Grievance Tracking'!W:W, "5", '2015 Grievance Tracking'!AJ:AJ, "May")</f>
        <v>0</v>
      </c>
      <c r="G69" s="115">
        <f>COUNTIFS('2015 Grievance Tracking'!M:M,"Transformations 1", '2015 Grievance Tracking'!W:W, "5", '2015 Grievance Tracking'!AJ:AJ, "June")</f>
        <v>0</v>
      </c>
      <c r="H69" s="115"/>
      <c r="I69" s="115"/>
      <c r="J69" s="115"/>
      <c r="K69" s="115"/>
      <c r="L69" s="115"/>
      <c r="M69" s="115"/>
      <c r="N69" s="110">
        <f>SUM(B69:M69)</f>
        <v>0</v>
      </c>
    </row>
    <row r="70" spans="1:14" x14ac:dyDescent="0.55000000000000004">
      <c r="A70" s="22" t="s">
        <v>112</v>
      </c>
      <c r="B70" s="27">
        <f>COUNTIFS('2015 Grievance Tracking'!M:M,"Transformations 1", '2015 Grievance Tracking'!W:W, "4", '2015 Grievance Tracking'!AJ:AJ, "January")</f>
        <v>0</v>
      </c>
      <c r="C70" s="27">
        <f>COUNTIFS('2015 Grievance Tracking'!M:M,"Transformations 1", '2015 Grievance Tracking'!W:W, "4", '2015 Grievance Tracking'!AJ:AJ, "February")</f>
        <v>0</v>
      </c>
      <c r="D70" s="27">
        <f>COUNTIFS('2015 Grievance Tracking'!M:M,"Transformations 1", '2015 Grievance Tracking'!W:W, "4", '2015 Grievance Tracking'!AJ:AJ, "March")</f>
        <v>0</v>
      </c>
      <c r="E70" s="27">
        <f>COUNTIFS('2015 Grievance Tracking'!M:M,"Transformations 1", '2015 Grievance Tracking'!W:W, "4", '2015 Grievance Tracking'!AJ:AJ, "April")</f>
        <v>0</v>
      </c>
      <c r="F70" s="27">
        <f>COUNTIFS('2015 Grievance Tracking'!M:M,"Transformations 1", '2015 Grievance Tracking'!W:W, "4", '2015 Grievance Tracking'!AJ:AJ, "May")</f>
        <v>0</v>
      </c>
      <c r="G70" s="27">
        <f>COUNTIFS('2015 Grievance Tracking'!M:M,"Transformations 1", '2015 Grievance Tracking'!W:W, "4", '2015 Grievance Tracking'!AJ:AJ, "June")</f>
        <v>0</v>
      </c>
      <c r="N70" s="111">
        <f t="shared" si="17"/>
        <v>0</v>
      </c>
    </row>
    <row r="71" spans="1:14" x14ac:dyDescent="0.55000000000000004">
      <c r="A71" s="95" t="s">
        <v>205</v>
      </c>
      <c r="B71" s="116">
        <f t="shared" ref="B71:G71" si="19">B60+B63+B68+B70+B69</f>
        <v>0</v>
      </c>
      <c r="C71" s="116">
        <f t="shared" si="19"/>
        <v>0</v>
      </c>
      <c r="D71" s="116">
        <f t="shared" si="19"/>
        <v>0</v>
      </c>
      <c r="E71" s="116">
        <f t="shared" si="19"/>
        <v>0</v>
      </c>
      <c r="F71" s="116">
        <f t="shared" si="19"/>
        <v>0</v>
      </c>
      <c r="G71" s="116">
        <f t="shared" si="19"/>
        <v>0</v>
      </c>
      <c r="H71" s="116"/>
      <c r="I71" s="116"/>
      <c r="J71" s="116"/>
      <c r="K71" s="116"/>
      <c r="L71" s="116"/>
      <c r="M71" s="116"/>
      <c r="N71" s="112">
        <f>SUM(B71:M71)</f>
        <v>0</v>
      </c>
    </row>
    <row r="72" spans="1:14" s="145" customFormat="1" x14ac:dyDescent="0.55000000000000004">
      <c r="A72" s="147"/>
      <c r="B72" s="146"/>
      <c r="C72" s="146"/>
      <c r="D72" s="146"/>
      <c r="E72" s="146"/>
      <c r="F72" s="146"/>
      <c r="G72" s="146"/>
      <c r="H72" s="146"/>
      <c r="I72" s="146"/>
      <c r="J72" s="146"/>
      <c r="K72" s="146"/>
      <c r="L72" s="146"/>
      <c r="M72" s="146"/>
      <c r="N72" s="149"/>
    </row>
    <row r="73" spans="1:14" x14ac:dyDescent="0.55000000000000004">
      <c r="A73" s="23" t="s">
        <v>61</v>
      </c>
      <c r="B73" s="113" t="s">
        <v>94</v>
      </c>
      <c r="C73" s="113" t="s">
        <v>95</v>
      </c>
      <c r="D73" s="113" t="s">
        <v>96</v>
      </c>
      <c r="E73" s="113" t="s">
        <v>97</v>
      </c>
      <c r="F73" s="113" t="s">
        <v>93</v>
      </c>
      <c r="G73" s="113" t="s">
        <v>98</v>
      </c>
      <c r="H73" s="113" t="s">
        <v>99</v>
      </c>
      <c r="I73" s="113" t="s">
        <v>100</v>
      </c>
      <c r="J73" s="113" t="s">
        <v>101</v>
      </c>
      <c r="K73" s="113" t="s">
        <v>102</v>
      </c>
      <c r="L73" s="113" t="s">
        <v>103</v>
      </c>
      <c r="M73" s="113" t="s">
        <v>104</v>
      </c>
      <c r="N73" s="109" t="s">
        <v>113</v>
      </c>
    </row>
    <row r="74" spans="1:14" x14ac:dyDescent="0.55000000000000004">
      <c r="A74" s="21" t="b">
        <v>0</v>
      </c>
      <c r="B74" s="114">
        <f t="shared" ref="B74:G74" si="20">SUM(B75:B76)</f>
        <v>0</v>
      </c>
      <c r="C74" s="114">
        <f t="shared" si="20"/>
        <v>0</v>
      </c>
      <c r="D74" s="114">
        <f t="shared" si="20"/>
        <v>0</v>
      </c>
      <c r="E74" s="114">
        <f t="shared" si="20"/>
        <v>0</v>
      </c>
      <c r="F74" s="114">
        <f t="shared" si="20"/>
        <v>0</v>
      </c>
      <c r="G74" s="114">
        <f t="shared" si="20"/>
        <v>0</v>
      </c>
      <c r="H74" s="114"/>
      <c r="I74" s="114"/>
      <c r="J74" s="114"/>
      <c r="K74" s="114"/>
      <c r="L74" s="114"/>
      <c r="M74" s="114"/>
      <c r="N74" s="110">
        <f t="shared" ref="N74:N84" si="21">SUM(B74:M74)</f>
        <v>0</v>
      </c>
    </row>
    <row r="75" spans="1:14" x14ac:dyDescent="0.55000000000000004">
      <c r="A75" s="22" t="s">
        <v>105</v>
      </c>
      <c r="B75" s="27">
        <f>COUNTIFS('2015 Grievance Tracking'!M:M,"Transformations 2", '2015 Grievance Tracking'!W:W, "1.1", '2015 Grievance Tracking'!AJ:AJ, "January")</f>
        <v>0</v>
      </c>
      <c r="C75" s="27">
        <f>COUNTIFS('2015 Grievance Tracking'!M:M,"Transformations 2", '2015 Grievance Tracking'!W:W, "1.1", '2015 Grievance Tracking'!AJ:AJ, "February")</f>
        <v>0</v>
      </c>
      <c r="D75" s="27">
        <f>COUNTIFS('2015 Grievance Tracking'!M:M,"Transformations 2", '2015 Grievance Tracking'!W:W, "1.1", '2015 Grievance Tracking'!AJ:AJ, "March")</f>
        <v>0</v>
      </c>
      <c r="E75" s="27">
        <f>COUNTIFS('2015 Grievance Tracking'!M:M,"Transformations 2", '2015 Grievance Tracking'!W:W, "1.1", '2015 Grievance Tracking'!AJ:AJ, "April")</f>
        <v>0</v>
      </c>
      <c r="F75" s="27">
        <f>COUNTIFS('2015 Grievance Tracking'!M:M,"Transformations 2", '2015 Grievance Tracking'!W:W, "1.1", '2015 Grievance Tracking'!AJ:AJ, "May")</f>
        <v>0</v>
      </c>
      <c r="G75" s="27">
        <f>COUNTIFS('2015 Grievance Tracking'!M:M,"Transformations 2", '2015 Grievance Tracking'!W:W, "1.1", '2015 Grievance Tracking'!AJ:AJ, "June")</f>
        <v>0</v>
      </c>
      <c r="N75" s="111">
        <f t="shared" si="21"/>
        <v>0</v>
      </c>
    </row>
    <row r="76" spans="1:14" x14ac:dyDescent="0.55000000000000004">
      <c r="A76" s="22" t="s">
        <v>106</v>
      </c>
      <c r="B76" s="27">
        <f>COUNTIFS('2015 Grievance Tracking'!M:M,"Transformations 2", '2015 Grievance Tracking'!W:W, "1.2", '2015 Grievance Tracking'!AJ:AJ, "January")</f>
        <v>0</v>
      </c>
      <c r="C76" s="27">
        <f>COUNTIFS('2015 Grievance Tracking'!M:M,"Transformations 2", '2015 Grievance Tracking'!W:W, "1.2", '2015 Grievance Tracking'!AJ:AJ, "February")</f>
        <v>0</v>
      </c>
      <c r="D76" s="27">
        <f>COUNTIFS('2015 Grievance Tracking'!M:M,"Transformations 2", '2015 Grievance Tracking'!W:W, "1.2", '2015 Grievance Tracking'!AJ:AJ, "March")</f>
        <v>0</v>
      </c>
      <c r="E76" s="27">
        <f>COUNTIFS('2015 Grievance Tracking'!M:M,"Transformations 2", '2015 Grievance Tracking'!W:W, "1.2", '2015 Grievance Tracking'!AJ:AJ, "April")</f>
        <v>0</v>
      </c>
      <c r="F76" s="27">
        <f>COUNTIFS('2015 Grievance Tracking'!M:M,"Transformations 2", '2015 Grievance Tracking'!W:W, "1.2", '2015 Grievance Tracking'!AJ:AJ, "May")</f>
        <v>0</v>
      </c>
      <c r="G76" s="27">
        <f>COUNTIFS('2015 Grievance Tracking'!M:M,"Transformations 2", '2015 Grievance Tracking'!W:W, "1.2", '2015 Grievance Tracking'!AJ:AJ, "June")</f>
        <v>0</v>
      </c>
      <c r="N76" s="111">
        <f t="shared" si="21"/>
        <v>0</v>
      </c>
    </row>
    <row r="77" spans="1:14" x14ac:dyDescent="0.55000000000000004">
      <c r="A77" s="21" t="b">
        <v>1</v>
      </c>
      <c r="B77" s="115">
        <f t="shared" ref="B77:G77" si="22">SUM(B78:B81)</f>
        <v>0</v>
      </c>
      <c r="C77" s="115">
        <f t="shared" si="22"/>
        <v>0</v>
      </c>
      <c r="D77" s="115">
        <f t="shared" si="22"/>
        <v>0</v>
      </c>
      <c r="E77" s="115">
        <f t="shared" si="22"/>
        <v>0</v>
      </c>
      <c r="F77" s="115">
        <f t="shared" si="22"/>
        <v>0</v>
      </c>
      <c r="G77" s="115">
        <f t="shared" si="22"/>
        <v>0</v>
      </c>
      <c r="H77" s="115"/>
      <c r="I77" s="115"/>
      <c r="J77" s="115"/>
      <c r="K77" s="115"/>
      <c r="L77" s="115"/>
      <c r="M77" s="115"/>
      <c r="N77" s="110">
        <f t="shared" si="21"/>
        <v>0</v>
      </c>
    </row>
    <row r="78" spans="1:14" x14ac:dyDescent="0.55000000000000004">
      <c r="A78" s="22" t="s">
        <v>107</v>
      </c>
      <c r="B78" s="27">
        <f>COUNTIFS('2015 Grievance Tracking'!M:M,"Transformations 2", '2015 Grievance Tracking'!W:W, "2.1", '2015 Grievance Tracking'!AJ:AJ, "January")</f>
        <v>0</v>
      </c>
      <c r="C78" s="27">
        <f>COUNTIFS('2015 Grievance Tracking'!M:M,"Transformations 2", '2015 Grievance Tracking'!W:W, "2.1", '2015 Grievance Tracking'!AJ:AJ, "February")</f>
        <v>0</v>
      </c>
      <c r="D78" s="27">
        <f>COUNTIFS('2015 Grievance Tracking'!M:M,"Transformations 2", '2015 Grievance Tracking'!W:W, "2.1", '2015 Grievance Tracking'!AJ:AJ, "March")</f>
        <v>0</v>
      </c>
      <c r="E78" s="27">
        <f>COUNTIFS('2015 Grievance Tracking'!M:M,"Transformations 2", '2015 Grievance Tracking'!W:W, "2.1", '2015 Grievance Tracking'!AJ:AJ, "April")</f>
        <v>0</v>
      </c>
      <c r="F78" s="27">
        <f>COUNTIFS('2015 Grievance Tracking'!M:M,"Transformations 2", '2015 Grievance Tracking'!W:W, "2.1", '2015 Grievance Tracking'!AJ:AJ, "May")</f>
        <v>0</v>
      </c>
      <c r="G78" s="27">
        <f>COUNTIFS('2015 Grievance Tracking'!M:M,"Transformations 2", '2015 Grievance Tracking'!W:W, "2.1", '2015 Grievance Tracking'!AJ:AJ, "June")</f>
        <v>0</v>
      </c>
      <c r="N78" s="111">
        <f t="shared" si="21"/>
        <v>0</v>
      </c>
    </row>
    <row r="79" spans="1:14" x14ac:dyDescent="0.55000000000000004">
      <c r="A79" s="22" t="s">
        <v>108</v>
      </c>
      <c r="B79" s="27">
        <f>COUNTIFS('2015 Grievance Tracking'!M:M,"Transformations 2", '2015 Grievance Tracking'!W:W, "2.2", '2015 Grievance Tracking'!AJ:AJ, "January")</f>
        <v>0</v>
      </c>
      <c r="C79" s="27">
        <f>COUNTIFS('2015 Grievance Tracking'!M:M,"Transformations 2", '2015 Grievance Tracking'!W:W, "2.2", '2015 Grievance Tracking'!AJ:AJ, "February")</f>
        <v>0</v>
      </c>
      <c r="D79" s="27">
        <f>COUNTIFS('2015 Grievance Tracking'!M:M,"Transformations 2", '2015 Grievance Tracking'!W:W, "2.2", '2015 Grievance Tracking'!AJ:AJ, "March")</f>
        <v>0</v>
      </c>
      <c r="E79" s="27">
        <f>COUNTIFS('2015 Grievance Tracking'!M:M,"Transformations 2", '2015 Grievance Tracking'!W:W, "2.2", '2015 Grievance Tracking'!AJ:AJ, "April")</f>
        <v>0</v>
      </c>
      <c r="F79" s="27">
        <f>COUNTIFS('2015 Grievance Tracking'!M:M,"Transformations 2", '2015 Grievance Tracking'!W:W, "2.2", '2015 Grievance Tracking'!AJ:AJ, "May")</f>
        <v>0</v>
      </c>
      <c r="G79" s="27">
        <f>COUNTIFS('2015 Grievance Tracking'!M:M,"Transformations 2", '2015 Grievance Tracking'!W:W, "2.2", '2015 Grievance Tracking'!AJ:AJ, "June")</f>
        <v>0</v>
      </c>
      <c r="N79" s="111">
        <f t="shared" si="21"/>
        <v>0</v>
      </c>
    </row>
    <row r="80" spans="1:14" x14ac:dyDescent="0.55000000000000004">
      <c r="A80" s="22" t="s">
        <v>109</v>
      </c>
      <c r="B80" s="27">
        <f>COUNTIFS('2015 Grievance Tracking'!M:M,"Transformations 2", '2015 Grievance Tracking'!W:W, "2.3", '2015 Grievance Tracking'!AJ:AJ, "January")</f>
        <v>0</v>
      </c>
      <c r="C80" s="27">
        <f>COUNTIFS('2015 Grievance Tracking'!M:M,"Transformations 2", '2015 Grievance Tracking'!W:W, "2.3", '2015 Grievance Tracking'!AJ:AJ, "February")</f>
        <v>0</v>
      </c>
      <c r="D80" s="27">
        <f>COUNTIFS('2015 Grievance Tracking'!M:M,"Transformations 2", '2015 Grievance Tracking'!W:W, "2.3", '2015 Grievance Tracking'!AJ:AJ, "March")</f>
        <v>0</v>
      </c>
      <c r="E80" s="27">
        <f>COUNTIFS('2015 Grievance Tracking'!M:M,"Transformations 2", '2015 Grievance Tracking'!W:W, "2.3", '2015 Grievance Tracking'!AJ:AJ, "April")</f>
        <v>0</v>
      </c>
      <c r="F80" s="27">
        <f>COUNTIFS('2015 Grievance Tracking'!M:M,"Transformations 2", '2015 Grievance Tracking'!W:W, "2.3", '2015 Grievance Tracking'!AJ:AJ, "May")</f>
        <v>0</v>
      </c>
      <c r="G80" s="27">
        <f>COUNTIFS('2015 Grievance Tracking'!M:M,"Transformations 2", '2015 Grievance Tracking'!W:W, "2.3", '2015 Grievance Tracking'!AJ:AJ, "June")</f>
        <v>0</v>
      </c>
      <c r="N80" s="111">
        <f t="shared" si="21"/>
        <v>0</v>
      </c>
    </row>
    <row r="81" spans="1:14" x14ac:dyDescent="0.55000000000000004">
      <c r="A81" s="22" t="s">
        <v>110</v>
      </c>
      <c r="B81" s="27">
        <f>COUNTIFS('2015 Grievance Tracking'!M:M,"Transformations 2", '2015 Grievance Tracking'!W:W, "2.4", '2015 Grievance Tracking'!AJ:AJ, "January")</f>
        <v>0</v>
      </c>
      <c r="C81" s="27">
        <f>COUNTIFS('2015 Grievance Tracking'!M:M,"Transformations 2", '2015 Grievance Tracking'!W:W, "2.4", '2015 Grievance Tracking'!AJ:AJ, "February")</f>
        <v>0</v>
      </c>
      <c r="D81" s="27">
        <f>COUNTIFS('2015 Grievance Tracking'!M:M,"Transformations 2", '2015 Grievance Tracking'!W:W, "2.4", '2015 Grievance Tracking'!AJ:AJ, "March")</f>
        <v>0</v>
      </c>
      <c r="E81" s="27">
        <f>COUNTIFS('2015 Grievance Tracking'!M:M,"Transformations 2", '2015 Grievance Tracking'!W:W, "2.4", '2015 Grievance Tracking'!AJ:AJ, "April")</f>
        <v>0</v>
      </c>
      <c r="F81" s="27">
        <f>COUNTIFS('2015 Grievance Tracking'!M:M,"Transformations 2", '2015 Grievance Tracking'!W:W, "2.4", '2015 Grievance Tracking'!AJ:AJ, "May")</f>
        <v>0</v>
      </c>
      <c r="G81" s="27">
        <f>COUNTIFS('2015 Grievance Tracking'!M:M,"Transformations 2", '2015 Grievance Tracking'!W:W, "2.4", '2015 Grievance Tracking'!AJ:AJ, "June")</f>
        <v>0</v>
      </c>
      <c r="N81" s="111">
        <f t="shared" si="21"/>
        <v>0</v>
      </c>
    </row>
    <row r="82" spans="1:14" x14ac:dyDescent="0.55000000000000004">
      <c r="A82" s="21" t="s">
        <v>111</v>
      </c>
      <c r="B82" s="115">
        <f>COUNTIFS('2015 Grievance Tracking'!M:M,"Transformations 2", '2015 Grievance Tracking'!W:W, "3", '2015 Grievance Tracking'!AJ:AJ, "January")</f>
        <v>0</v>
      </c>
      <c r="C82" s="115">
        <f>COUNTIFS('2015 Grievance Tracking'!M:M,"Transformations 2", '2015 Grievance Tracking'!W:W, "3", '2015 Grievance Tracking'!AJ:AJ, "February")</f>
        <v>0</v>
      </c>
      <c r="D82" s="115">
        <f>COUNTIFS('2015 Grievance Tracking'!M:M,"Transformations 2", '2015 Grievance Tracking'!W:W, "3", '2015 Grievance Tracking'!AJ:AJ, "March")</f>
        <v>0</v>
      </c>
      <c r="E82" s="115">
        <f>COUNTIFS('2015 Grievance Tracking'!M:M,"Transformations 2", '2015 Grievance Tracking'!W:W, "3", '2015 Grievance Tracking'!AJ:AJ, "April")</f>
        <v>0</v>
      </c>
      <c r="F82" s="115">
        <f>COUNTIFS('2015 Grievance Tracking'!M:M,"Transformations 2", '2015 Grievance Tracking'!W:W, "3", '2015 Grievance Tracking'!AJ:AJ, "May")</f>
        <v>0</v>
      </c>
      <c r="G82" s="115">
        <f>COUNTIFS('2015 Grievance Tracking'!M:M,"Transformations 2", '2015 Grievance Tracking'!W:W, "3", '2015 Grievance Tracking'!AJ:AJ, "June")</f>
        <v>0</v>
      </c>
      <c r="H82" s="115"/>
      <c r="I82" s="115"/>
      <c r="J82" s="115"/>
      <c r="K82" s="115"/>
      <c r="L82" s="115"/>
      <c r="M82" s="115"/>
      <c r="N82" s="110">
        <f t="shared" si="21"/>
        <v>0</v>
      </c>
    </row>
    <row r="83" spans="1:14" x14ac:dyDescent="0.55000000000000004">
      <c r="A83" s="21" t="s">
        <v>199</v>
      </c>
      <c r="B83" s="115">
        <f>COUNTIFS('2015 Grievance Tracking'!M:M,"Transformations 2", '2015 Grievance Tracking'!W:W, "5", '2015 Grievance Tracking'!AJ:AJ, "January")</f>
        <v>0</v>
      </c>
      <c r="C83" s="115">
        <f>COUNTIFS('2015 Grievance Tracking'!M:M,"Transformations 2", '2015 Grievance Tracking'!W:W, "5", '2015 Grievance Tracking'!AJ:AJ, "February")</f>
        <v>0</v>
      </c>
      <c r="D83" s="115">
        <f>COUNTIFS('2015 Grievance Tracking'!M:M,"Transformations 2", '2015 Grievance Tracking'!W:W, "5", '2015 Grievance Tracking'!AJ:AJ, "March")</f>
        <v>0</v>
      </c>
      <c r="E83" s="115">
        <f>COUNTIFS('2015 Grievance Tracking'!M:M,"Transformations 2", '2015 Grievance Tracking'!W:W, "5", '2015 Grievance Tracking'!AJ:AJ, "April")</f>
        <v>0</v>
      </c>
      <c r="F83" s="115">
        <f>COUNTIFS('2015 Grievance Tracking'!M:M,"Transformations 2", '2015 Grievance Tracking'!W:W, "5", '2015 Grievance Tracking'!AJ:AJ, "May")</f>
        <v>0</v>
      </c>
      <c r="G83" s="115">
        <f>COUNTIFS('2015 Grievance Tracking'!M:M,"Transformations 2", '2015 Grievance Tracking'!W:W, "5", '2015 Grievance Tracking'!AJ:AJ, "June")</f>
        <v>0</v>
      </c>
      <c r="H83" s="115"/>
      <c r="I83" s="115"/>
      <c r="J83" s="115"/>
      <c r="K83" s="115"/>
      <c r="L83" s="115"/>
      <c r="M83" s="115"/>
      <c r="N83" s="110">
        <f>SUM(B83:M83)</f>
        <v>0</v>
      </c>
    </row>
    <row r="84" spans="1:14" x14ac:dyDescent="0.55000000000000004">
      <c r="A84" s="22" t="s">
        <v>112</v>
      </c>
      <c r="B84" s="27">
        <f>COUNTIFS('2015 Grievance Tracking'!M:M,"Transformations 2", '2015 Grievance Tracking'!W:W, "4", '2015 Grievance Tracking'!AJ:AJ, "January")</f>
        <v>0</v>
      </c>
      <c r="C84" s="27">
        <f>COUNTIFS('2015 Grievance Tracking'!M:M,"Transformations 2", '2015 Grievance Tracking'!W:W, "4", '2015 Grievance Tracking'!AJ:AJ, "February")</f>
        <v>0</v>
      </c>
      <c r="D84" s="27">
        <f>COUNTIFS('2015 Grievance Tracking'!M:M,"Transformations 2", '2015 Grievance Tracking'!W:W, "4", '2015 Grievance Tracking'!AJ:AJ, "March")</f>
        <v>0</v>
      </c>
      <c r="E84" s="27">
        <f>COUNTIFS('2015 Grievance Tracking'!M:M,"Transformations 2", '2015 Grievance Tracking'!W:W, "4", '2015 Grievance Tracking'!AJ:AJ, "April")</f>
        <v>0</v>
      </c>
      <c r="F84" s="27">
        <f>COUNTIFS('2015 Grievance Tracking'!M:M,"Transformations 2", '2015 Grievance Tracking'!W:W, "4", '2015 Grievance Tracking'!AJ:AJ, "May")</f>
        <v>0</v>
      </c>
      <c r="G84" s="27">
        <f>COUNTIFS('2015 Grievance Tracking'!M:M,"Transformations 2", '2015 Grievance Tracking'!W:W, "4", '2015 Grievance Tracking'!AJ:AJ, "June")</f>
        <v>0</v>
      </c>
      <c r="N84" s="111">
        <f t="shared" si="21"/>
        <v>0</v>
      </c>
    </row>
    <row r="85" spans="1:14" x14ac:dyDescent="0.55000000000000004">
      <c r="A85" s="95" t="s">
        <v>205</v>
      </c>
      <c r="B85" s="116">
        <f t="shared" ref="B85:G85" si="23">B74+B77+B82+B84+B83</f>
        <v>0</v>
      </c>
      <c r="C85" s="116">
        <f t="shared" si="23"/>
        <v>0</v>
      </c>
      <c r="D85" s="116">
        <f t="shared" si="23"/>
        <v>0</v>
      </c>
      <c r="E85" s="116">
        <f t="shared" si="23"/>
        <v>0</v>
      </c>
      <c r="F85" s="116">
        <f t="shared" si="23"/>
        <v>0</v>
      </c>
      <c r="G85" s="116">
        <f t="shared" si="23"/>
        <v>0</v>
      </c>
      <c r="H85" s="116"/>
      <c r="I85" s="116"/>
      <c r="J85" s="116"/>
      <c r="K85" s="116"/>
      <c r="L85" s="116"/>
      <c r="M85" s="116"/>
      <c r="N85" s="112">
        <f>SUM(B85:M85)</f>
        <v>0</v>
      </c>
    </row>
    <row r="86" spans="1:14" s="145" customFormat="1" x14ac:dyDescent="0.55000000000000004">
      <c r="A86" s="147"/>
      <c r="B86" s="148"/>
      <c r="C86" s="148"/>
      <c r="D86" s="148"/>
      <c r="E86" s="148"/>
      <c r="F86" s="148"/>
      <c r="G86" s="148"/>
      <c r="H86" s="148"/>
      <c r="I86" s="148"/>
      <c r="J86" s="148"/>
      <c r="K86" s="148"/>
      <c r="L86" s="148"/>
      <c r="M86" s="148"/>
      <c r="N86" s="148"/>
    </row>
    <row r="87" spans="1:14" x14ac:dyDescent="0.55000000000000004">
      <c r="A87" s="20" t="s">
        <v>62</v>
      </c>
      <c r="B87" s="113" t="s">
        <v>94</v>
      </c>
      <c r="C87" s="113" t="s">
        <v>95</v>
      </c>
      <c r="D87" s="113" t="s">
        <v>96</v>
      </c>
      <c r="E87" s="113" t="s">
        <v>97</v>
      </c>
      <c r="F87" s="113" t="s">
        <v>93</v>
      </c>
      <c r="G87" s="113" t="s">
        <v>98</v>
      </c>
      <c r="H87" s="113" t="s">
        <v>99</v>
      </c>
      <c r="I87" s="113" t="s">
        <v>100</v>
      </c>
      <c r="J87" s="113" t="s">
        <v>101</v>
      </c>
      <c r="K87" s="113" t="s">
        <v>102</v>
      </c>
      <c r="L87" s="113" t="s">
        <v>103</v>
      </c>
      <c r="M87" s="113" t="s">
        <v>104</v>
      </c>
      <c r="N87" s="109" t="s">
        <v>113</v>
      </c>
    </row>
    <row r="88" spans="1:14" x14ac:dyDescent="0.55000000000000004">
      <c r="A88" s="21" t="b">
        <v>0</v>
      </c>
      <c r="B88" s="114">
        <f t="shared" ref="B88:G88" si="24">SUM(B89:B90)</f>
        <v>0</v>
      </c>
      <c r="C88" s="114">
        <f t="shared" si="24"/>
        <v>0</v>
      </c>
      <c r="D88" s="114">
        <f t="shared" si="24"/>
        <v>0</v>
      </c>
      <c r="E88" s="114">
        <f t="shared" si="24"/>
        <v>0</v>
      </c>
      <c r="F88" s="114">
        <f t="shared" si="24"/>
        <v>0</v>
      </c>
      <c r="G88" s="114">
        <f t="shared" si="24"/>
        <v>0</v>
      </c>
      <c r="H88" s="114"/>
      <c r="I88" s="114"/>
      <c r="J88" s="114"/>
      <c r="K88" s="114"/>
      <c r="L88" s="114"/>
      <c r="M88" s="114"/>
      <c r="N88" s="110">
        <f t="shared" ref="N88:N98" si="25">SUM(B88:M88)</f>
        <v>0</v>
      </c>
    </row>
    <row r="89" spans="1:14" x14ac:dyDescent="0.55000000000000004">
      <c r="A89" s="22" t="s">
        <v>105</v>
      </c>
      <c r="B89" s="27">
        <f>COUNTIFS('2015 Grievance Tracking'!M:M,"Triad", '2015 Grievance Tracking'!W:W, "1.1", '2015 Grievance Tracking'!AJ:AJ, "January")</f>
        <v>0</v>
      </c>
      <c r="C89" s="27">
        <f>COUNTIFS('2015 Grievance Tracking'!M:M,"Triad", '2015 Grievance Tracking'!W:W, "1.1", '2015 Grievance Tracking'!AJ:AJ, "February")</f>
        <v>0</v>
      </c>
      <c r="D89" s="27">
        <f>COUNTIFS('2015 Grievance Tracking'!M:M,"Triad", '2015 Grievance Tracking'!W:W, "1.1", '2015 Grievance Tracking'!AJ:AJ, "March")</f>
        <v>0</v>
      </c>
      <c r="E89" s="27">
        <f>COUNTIFS('2015 Grievance Tracking'!M:M,"Triad", '2015 Grievance Tracking'!W:W, "1.1", '2015 Grievance Tracking'!AJ:AJ, "April")</f>
        <v>0</v>
      </c>
      <c r="F89" s="27">
        <f>COUNTIFS('2015 Grievance Tracking'!M:M,"Triad", '2015 Grievance Tracking'!W:W, "1.1", '2015 Grievance Tracking'!AJ:AJ, "May")</f>
        <v>0</v>
      </c>
      <c r="G89" s="27">
        <f>COUNTIFS('2015 Grievance Tracking'!M:M,"Triad", '2015 Grievance Tracking'!W:W, "1.1", '2015 Grievance Tracking'!AJ:AJ, "June")</f>
        <v>0</v>
      </c>
      <c r="N89" s="111">
        <f t="shared" si="25"/>
        <v>0</v>
      </c>
    </row>
    <row r="90" spans="1:14" x14ac:dyDescent="0.55000000000000004">
      <c r="A90" s="22" t="s">
        <v>106</v>
      </c>
      <c r="B90" s="27">
        <f>COUNTIFS('2015 Grievance Tracking'!M:M,"Triad", '2015 Grievance Tracking'!W:W, "1.2", '2015 Grievance Tracking'!AJ:AJ, "January")</f>
        <v>0</v>
      </c>
      <c r="C90" s="27">
        <f>COUNTIFS('2015 Grievance Tracking'!M:M,"Triad", '2015 Grievance Tracking'!W:W, "1.2", '2015 Grievance Tracking'!AJ:AJ, "February")</f>
        <v>0</v>
      </c>
      <c r="D90" s="27">
        <f>COUNTIFS('2015 Grievance Tracking'!M:M,"Triad", '2015 Grievance Tracking'!W:W, "1.2", '2015 Grievance Tracking'!AJ:AJ, "March")</f>
        <v>0</v>
      </c>
      <c r="E90" s="27">
        <f>COUNTIFS('2015 Grievance Tracking'!M:M,"Triad", '2015 Grievance Tracking'!W:W, "1.2", '2015 Grievance Tracking'!AJ:AJ, "April")</f>
        <v>0</v>
      </c>
      <c r="F90" s="27">
        <f>COUNTIFS('2015 Grievance Tracking'!M:M,"Triad", '2015 Grievance Tracking'!W:W, "1.2", '2015 Grievance Tracking'!AJ:AJ, "May")</f>
        <v>0</v>
      </c>
      <c r="G90" s="27">
        <f>COUNTIFS('2015 Grievance Tracking'!M:M,"Triad", '2015 Grievance Tracking'!W:W, "1.2", '2015 Grievance Tracking'!AJ:AJ, "June")</f>
        <v>0</v>
      </c>
      <c r="N90" s="111">
        <f t="shared" si="25"/>
        <v>0</v>
      </c>
    </row>
    <row r="91" spans="1:14" x14ac:dyDescent="0.55000000000000004">
      <c r="A91" s="21" t="b">
        <v>1</v>
      </c>
      <c r="B91" s="115">
        <f t="shared" ref="B91:G91" si="26">SUM(B92:B95)</f>
        <v>0</v>
      </c>
      <c r="C91" s="115">
        <f t="shared" si="26"/>
        <v>0</v>
      </c>
      <c r="D91" s="115">
        <f t="shared" si="26"/>
        <v>0</v>
      </c>
      <c r="E91" s="115">
        <f t="shared" si="26"/>
        <v>0</v>
      </c>
      <c r="F91" s="115">
        <f t="shared" si="26"/>
        <v>0</v>
      </c>
      <c r="G91" s="115">
        <f t="shared" si="26"/>
        <v>0</v>
      </c>
      <c r="H91" s="115"/>
      <c r="I91" s="115"/>
      <c r="J91" s="115"/>
      <c r="K91" s="115"/>
      <c r="L91" s="115"/>
      <c r="M91" s="115"/>
      <c r="N91" s="110">
        <f t="shared" si="25"/>
        <v>0</v>
      </c>
    </row>
    <row r="92" spans="1:14" x14ac:dyDescent="0.55000000000000004">
      <c r="A92" s="22" t="s">
        <v>107</v>
      </c>
      <c r="B92" s="27">
        <f>COUNTIFS('2015 Grievance Tracking'!M:M,"Triad", '2015 Grievance Tracking'!W:W, "2.1", '2015 Grievance Tracking'!AJ:AJ, "January")</f>
        <v>0</v>
      </c>
      <c r="C92" s="27">
        <f>COUNTIFS('2015 Grievance Tracking'!M:M,"Triad", '2015 Grievance Tracking'!W:W, "2.1", '2015 Grievance Tracking'!AJ:AJ, "February")</f>
        <v>0</v>
      </c>
      <c r="D92" s="27">
        <f>COUNTIFS('2015 Grievance Tracking'!M:M,"Triad", '2015 Grievance Tracking'!W:W, "2.1", '2015 Grievance Tracking'!AJ:AJ, "March")</f>
        <v>0</v>
      </c>
      <c r="E92" s="27">
        <f>COUNTIFS('2015 Grievance Tracking'!M:M,"Triad", '2015 Grievance Tracking'!W:W, "2.1", '2015 Grievance Tracking'!AJ:AJ, "April")</f>
        <v>0</v>
      </c>
      <c r="F92" s="27">
        <f>COUNTIFS('2015 Grievance Tracking'!M:M,"Triad", '2015 Grievance Tracking'!W:W, "2.1", '2015 Grievance Tracking'!AJ:AJ, "May")</f>
        <v>0</v>
      </c>
      <c r="G92" s="27">
        <f>COUNTIFS('2015 Grievance Tracking'!M:M,"Triad", '2015 Grievance Tracking'!W:W, "2.1", '2015 Grievance Tracking'!AJ:AJ, "June")</f>
        <v>0</v>
      </c>
      <c r="N92" s="111">
        <f t="shared" si="25"/>
        <v>0</v>
      </c>
    </row>
    <row r="93" spans="1:14" x14ac:dyDescent="0.55000000000000004">
      <c r="A93" s="22" t="s">
        <v>108</v>
      </c>
      <c r="B93" s="27">
        <f>COUNTIFS('2015 Grievance Tracking'!M:M,"Triad", '2015 Grievance Tracking'!W:W, "2.2", '2015 Grievance Tracking'!AJ:AJ, "January")</f>
        <v>0</v>
      </c>
      <c r="C93" s="27">
        <f>COUNTIFS('2015 Grievance Tracking'!M:M,"Triad", '2015 Grievance Tracking'!W:W, "2.2", '2015 Grievance Tracking'!AJ:AJ, "February")</f>
        <v>0</v>
      </c>
      <c r="D93" s="27">
        <f>COUNTIFS('2015 Grievance Tracking'!M:M,"Triad", '2015 Grievance Tracking'!W:W, "2.2", '2015 Grievance Tracking'!AJ:AJ, "March")</f>
        <v>0</v>
      </c>
      <c r="E93" s="27">
        <f>COUNTIFS('2015 Grievance Tracking'!M:M,"Triad", '2015 Grievance Tracking'!W:W, "2.2", '2015 Grievance Tracking'!AJ:AJ, "April")</f>
        <v>0</v>
      </c>
      <c r="F93" s="27">
        <f>COUNTIFS('2015 Grievance Tracking'!M:M,"Triad", '2015 Grievance Tracking'!W:W, "2.2", '2015 Grievance Tracking'!AJ:AJ, "May")</f>
        <v>0</v>
      </c>
      <c r="G93" s="27">
        <f>COUNTIFS('2015 Grievance Tracking'!M:M,"Triad", '2015 Grievance Tracking'!W:W, "2.2", '2015 Grievance Tracking'!AJ:AJ, "June")</f>
        <v>0</v>
      </c>
      <c r="N93" s="111">
        <f t="shared" si="25"/>
        <v>0</v>
      </c>
    </row>
    <row r="94" spans="1:14" x14ac:dyDescent="0.55000000000000004">
      <c r="A94" s="22" t="s">
        <v>109</v>
      </c>
      <c r="B94" s="27">
        <f>COUNTIFS('2015 Grievance Tracking'!M:M,"Triad", '2015 Grievance Tracking'!W:W, "2.3", '2015 Grievance Tracking'!AJ:AJ, "January")</f>
        <v>0</v>
      </c>
      <c r="C94" s="27">
        <f>COUNTIFS('2015 Grievance Tracking'!M:M,"Triad", '2015 Grievance Tracking'!W:W, "2.3", '2015 Grievance Tracking'!AJ:AJ, "February")</f>
        <v>0</v>
      </c>
      <c r="D94" s="27">
        <f>COUNTIFS('2015 Grievance Tracking'!M:M,"Triad", '2015 Grievance Tracking'!W:W, "2.3", '2015 Grievance Tracking'!AJ:AJ, "March")</f>
        <v>0</v>
      </c>
      <c r="E94" s="27">
        <f>COUNTIFS('2015 Grievance Tracking'!M:M,"Triad", '2015 Grievance Tracking'!W:W, "2.3", '2015 Grievance Tracking'!AJ:AJ, "April")</f>
        <v>0</v>
      </c>
      <c r="F94" s="27">
        <f>COUNTIFS('2015 Grievance Tracking'!M:M,"Triad", '2015 Grievance Tracking'!W:W, "2.3", '2015 Grievance Tracking'!AJ:AJ, "May")</f>
        <v>0</v>
      </c>
      <c r="G94" s="27">
        <f>COUNTIFS('2015 Grievance Tracking'!M:M,"Triad", '2015 Grievance Tracking'!W:W, "2.3", '2015 Grievance Tracking'!AJ:AJ, "June")</f>
        <v>0</v>
      </c>
      <c r="N94" s="111">
        <f t="shared" si="25"/>
        <v>0</v>
      </c>
    </row>
    <row r="95" spans="1:14" x14ac:dyDescent="0.55000000000000004">
      <c r="A95" s="22" t="s">
        <v>110</v>
      </c>
      <c r="B95" s="27">
        <f>COUNTIFS('2015 Grievance Tracking'!M:M,"Triad", '2015 Grievance Tracking'!W:W, "2.4", '2015 Grievance Tracking'!AJ:AJ, "January")</f>
        <v>0</v>
      </c>
      <c r="C95" s="27">
        <f>COUNTIFS('2015 Grievance Tracking'!M:M,"Triad", '2015 Grievance Tracking'!W:W, "2.4", '2015 Grievance Tracking'!AJ:AJ, "February")</f>
        <v>0</v>
      </c>
      <c r="D95" s="27">
        <f>COUNTIFS('2015 Grievance Tracking'!M:M,"Triad", '2015 Grievance Tracking'!W:W, "2.4", '2015 Grievance Tracking'!AJ:AJ, "March")</f>
        <v>0</v>
      </c>
      <c r="E95" s="27">
        <f>COUNTIFS('2015 Grievance Tracking'!M:M,"Triad", '2015 Grievance Tracking'!W:W, "2.4", '2015 Grievance Tracking'!AJ:AJ, "April")</f>
        <v>0</v>
      </c>
      <c r="F95" s="27">
        <f>COUNTIFS('2015 Grievance Tracking'!M:M,"Triad", '2015 Grievance Tracking'!W:W, "2.4", '2015 Grievance Tracking'!AJ:AJ, "May")</f>
        <v>0</v>
      </c>
      <c r="G95" s="27">
        <f>COUNTIFS('2015 Grievance Tracking'!M:M,"Triad", '2015 Grievance Tracking'!W:W, "2.4", '2015 Grievance Tracking'!AJ:AJ, "June")</f>
        <v>0</v>
      </c>
      <c r="N95" s="111">
        <f t="shared" si="25"/>
        <v>0</v>
      </c>
    </row>
    <row r="96" spans="1:14" x14ac:dyDescent="0.55000000000000004">
      <c r="A96" s="21" t="s">
        <v>111</v>
      </c>
      <c r="B96" s="115">
        <f>COUNTIFS('2015 Grievance Tracking'!M:M,"Triad", '2015 Grievance Tracking'!W:W, "3", '2015 Grievance Tracking'!AJ:AJ, "January")</f>
        <v>0</v>
      </c>
      <c r="C96" s="115">
        <f>COUNTIFS('2015 Grievance Tracking'!M:M,"Triad", '2015 Grievance Tracking'!W:W, "3", '2015 Grievance Tracking'!AJ:AJ, "February")</f>
        <v>0</v>
      </c>
      <c r="D96" s="115">
        <f>COUNTIFS('2015 Grievance Tracking'!M:M,"Triad", '2015 Grievance Tracking'!W:W, "3", '2015 Grievance Tracking'!AJ:AJ, "March")</f>
        <v>0</v>
      </c>
      <c r="E96" s="115">
        <f>COUNTIFS('2015 Grievance Tracking'!M:M,"Triad", '2015 Grievance Tracking'!W:W, "3", '2015 Grievance Tracking'!AJ:AJ, "April")</f>
        <v>0</v>
      </c>
      <c r="F96" s="115">
        <f>COUNTIFS('2015 Grievance Tracking'!M:M,"Triad", '2015 Grievance Tracking'!W:W, "3", '2015 Grievance Tracking'!AJ:AJ, "May")</f>
        <v>0</v>
      </c>
      <c r="G96" s="115">
        <f>COUNTIFS('2015 Grievance Tracking'!M:M,"Triad", '2015 Grievance Tracking'!W:W, "3", '2015 Grievance Tracking'!AJ:AJ, "June")</f>
        <v>0</v>
      </c>
      <c r="H96" s="115"/>
      <c r="I96" s="115"/>
      <c r="J96" s="115"/>
      <c r="K96" s="115"/>
      <c r="L96" s="115"/>
      <c r="M96" s="115"/>
      <c r="N96" s="110">
        <f t="shared" si="25"/>
        <v>0</v>
      </c>
    </row>
    <row r="97" spans="1:14" x14ac:dyDescent="0.55000000000000004">
      <c r="A97" s="21" t="s">
        <v>199</v>
      </c>
      <c r="B97" s="115">
        <f>COUNTIFS('2015 Grievance Tracking'!M:M,"Triad", '2015 Grievance Tracking'!W:W, "5", '2015 Grievance Tracking'!AJ:AJ, "January")</f>
        <v>0</v>
      </c>
      <c r="C97" s="115">
        <f>COUNTIFS('2015 Grievance Tracking'!M:M,"Triad", '2015 Grievance Tracking'!W:W, "5", '2015 Grievance Tracking'!AJ:AJ, "February")</f>
        <v>0</v>
      </c>
      <c r="D97" s="115">
        <f>COUNTIFS('2015 Grievance Tracking'!M:M,"Triad", '2015 Grievance Tracking'!W:W, "5", '2015 Grievance Tracking'!AJ:AJ, "March")</f>
        <v>0</v>
      </c>
      <c r="E97" s="115">
        <f>COUNTIFS('2015 Grievance Tracking'!M:M,"Triad", '2015 Grievance Tracking'!W:W, "5", '2015 Grievance Tracking'!AJ:AJ, "April")</f>
        <v>0</v>
      </c>
      <c r="F97" s="115">
        <f>COUNTIFS('2015 Grievance Tracking'!M:M,"Triad", '2015 Grievance Tracking'!W:W, "5", '2015 Grievance Tracking'!AJ:AJ, "May")</f>
        <v>0</v>
      </c>
      <c r="G97" s="115">
        <f>COUNTIFS('2015 Grievance Tracking'!M:M,"Triad", '2015 Grievance Tracking'!W:W, "5", '2015 Grievance Tracking'!AJ:AJ, "June")</f>
        <v>0</v>
      </c>
      <c r="H97" s="115"/>
      <c r="I97" s="115"/>
      <c r="J97" s="115"/>
      <c r="K97" s="115"/>
      <c r="L97" s="115"/>
      <c r="M97" s="115"/>
      <c r="N97" s="110">
        <f>SUM(B97:M97)</f>
        <v>0</v>
      </c>
    </row>
    <row r="98" spans="1:14" x14ac:dyDescent="0.55000000000000004">
      <c r="A98" s="22" t="s">
        <v>112</v>
      </c>
      <c r="B98" s="27">
        <f>COUNTIFS('2015 Grievance Tracking'!M:M,"Triad", '2015 Grievance Tracking'!W:W, "4", '2015 Grievance Tracking'!AJ:AJ, "January")</f>
        <v>0</v>
      </c>
      <c r="C98" s="27">
        <f>COUNTIFS('2015 Grievance Tracking'!M:M,"Triad", '2015 Grievance Tracking'!W:W, "4", '2015 Grievance Tracking'!AJ:AJ, "February")</f>
        <v>0</v>
      </c>
      <c r="D98" s="27">
        <f>COUNTIFS('2015 Grievance Tracking'!M:M,"Triad", '2015 Grievance Tracking'!W:W, "4", '2015 Grievance Tracking'!AJ:AJ, "March")</f>
        <v>0</v>
      </c>
      <c r="E98" s="27">
        <f>COUNTIFS('2015 Grievance Tracking'!M:M,"Triad", '2015 Grievance Tracking'!W:W, "4", '2015 Grievance Tracking'!AJ:AJ, "April")</f>
        <v>0</v>
      </c>
      <c r="F98" s="27">
        <f>COUNTIFS('2015 Grievance Tracking'!M:M,"Triad", '2015 Grievance Tracking'!W:W, "4", '2015 Grievance Tracking'!AJ:AJ, "May")</f>
        <v>0</v>
      </c>
      <c r="G98" s="27">
        <f>COUNTIFS('2015 Grievance Tracking'!M:M,"Triad", '2015 Grievance Tracking'!W:W, "4", '2015 Grievance Tracking'!AJ:AJ, "June")</f>
        <v>0</v>
      </c>
      <c r="N98" s="111">
        <f t="shared" si="25"/>
        <v>0</v>
      </c>
    </row>
    <row r="99" spans="1:14" x14ac:dyDescent="0.55000000000000004">
      <c r="A99" s="95" t="s">
        <v>205</v>
      </c>
      <c r="B99" s="116">
        <f t="shared" ref="B99:G99" si="27">B88+B91+B96+B98+B97</f>
        <v>0</v>
      </c>
      <c r="C99" s="116">
        <f t="shared" si="27"/>
        <v>0</v>
      </c>
      <c r="D99" s="116">
        <f t="shared" si="27"/>
        <v>0</v>
      </c>
      <c r="E99" s="116">
        <f t="shared" si="27"/>
        <v>0</v>
      </c>
      <c r="F99" s="116">
        <f t="shared" si="27"/>
        <v>0</v>
      </c>
      <c r="G99" s="116">
        <f t="shared" si="27"/>
        <v>0</v>
      </c>
      <c r="H99" s="116"/>
      <c r="I99" s="116"/>
      <c r="J99" s="116"/>
      <c r="K99" s="116"/>
      <c r="L99" s="116"/>
      <c r="M99" s="116"/>
      <c r="N99" s="112">
        <f>SUM(B99:M99)</f>
        <v>0</v>
      </c>
    </row>
    <row r="100" spans="1:14" s="145" customFormat="1" x14ac:dyDescent="0.55000000000000004">
      <c r="A100" s="147"/>
      <c r="B100" s="146"/>
      <c r="C100" s="146"/>
      <c r="D100" s="146"/>
      <c r="E100" s="146"/>
      <c r="F100" s="146"/>
      <c r="G100" s="146"/>
      <c r="H100" s="146"/>
      <c r="I100" s="146"/>
      <c r="J100" s="146"/>
      <c r="K100" s="146"/>
      <c r="L100" s="146"/>
      <c r="M100" s="146"/>
      <c r="N100" s="149"/>
    </row>
    <row r="101" spans="1:14" x14ac:dyDescent="0.55000000000000004">
      <c r="A101" s="23" t="s">
        <v>64</v>
      </c>
      <c r="B101" s="113" t="s">
        <v>94</v>
      </c>
      <c r="C101" s="113" t="s">
        <v>95</v>
      </c>
      <c r="D101" s="113" t="s">
        <v>96</v>
      </c>
      <c r="E101" s="113" t="s">
        <v>97</v>
      </c>
      <c r="F101" s="113" t="s">
        <v>93</v>
      </c>
      <c r="G101" s="113" t="s">
        <v>98</v>
      </c>
      <c r="H101" s="113" t="s">
        <v>99</v>
      </c>
      <c r="I101" s="113" t="s">
        <v>100</v>
      </c>
      <c r="J101" s="113" t="s">
        <v>101</v>
      </c>
      <c r="K101" s="113" t="s">
        <v>102</v>
      </c>
      <c r="L101" s="113" t="s">
        <v>103</v>
      </c>
      <c r="M101" s="113" t="s">
        <v>104</v>
      </c>
      <c r="N101" s="109" t="s">
        <v>113</v>
      </c>
    </row>
    <row r="102" spans="1:14" x14ac:dyDescent="0.55000000000000004">
      <c r="A102" s="21" t="b">
        <v>0</v>
      </c>
      <c r="B102" s="114">
        <f t="shared" ref="B102:G102" si="28">SUM(B103:B104)</f>
        <v>0</v>
      </c>
      <c r="C102" s="114">
        <f t="shared" si="28"/>
        <v>0</v>
      </c>
      <c r="D102" s="114">
        <f t="shared" si="28"/>
        <v>0</v>
      </c>
      <c r="E102" s="114">
        <f t="shared" si="28"/>
        <v>0</v>
      </c>
      <c r="F102" s="114">
        <f t="shared" si="28"/>
        <v>0</v>
      </c>
      <c r="G102" s="114">
        <f t="shared" si="28"/>
        <v>0</v>
      </c>
      <c r="H102" s="114"/>
      <c r="I102" s="114"/>
      <c r="J102" s="114"/>
      <c r="K102" s="114"/>
      <c r="L102" s="114"/>
      <c r="M102" s="114"/>
      <c r="N102" s="110">
        <f t="shared" ref="N102:N112" si="29">SUM(B102:M102)</f>
        <v>0</v>
      </c>
    </row>
    <row r="103" spans="1:14" x14ac:dyDescent="0.55000000000000004">
      <c r="A103" s="22" t="s">
        <v>105</v>
      </c>
      <c r="B103" s="27">
        <f>COUNTIFS('2015 Grievance Tracking'!M:M,"Turning Point", '2015 Grievance Tracking'!W:W, "1.1", '2015 Grievance Tracking'!AJ:AJ, "January")</f>
        <v>0</v>
      </c>
      <c r="C103" s="27">
        <f>COUNTIFS('2015 Grievance Tracking'!M:M,"Turning Point", '2015 Grievance Tracking'!W:W, "1.1", '2015 Grievance Tracking'!AJ:AJ, "February")</f>
        <v>0</v>
      </c>
      <c r="D103" s="27">
        <f>COUNTIFS('2015 Grievance Tracking'!M:M,"Turning Point", '2015 Grievance Tracking'!W:W, "1.1", '2015 Grievance Tracking'!AJ:AJ, "March")</f>
        <v>0</v>
      </c>
      <c r="E103" s="27">
        <f>COUNTIFS('2015 Grievance Tracking'!M:M,"Turning Point", '2015 Grievance Tracking'!W:W, "1.1", '2015 Grievance Tracking'!AJ:AJ, "April")</f>
        <v>0</v>
      </c>
      <c r="F103" s="27">
        <f>COUNTIFS('2015 Grievance Tracking'!M:M,"Turning Point", '2015 Grievance Tracking'!W:W, "1.1", '2015 Grievance Tracking'!AJ:AJ, "May")</f>
        <v>0</v>
      </c>
      <c r="G103" s="27">
        <f>COUNTIFS('2015 Grievance Tracking'!M:M,"Turning Point", '2015 Grievance Tracking'!W:W, "1.1", '2015 Grievance Tracking'!AJ:AJ, "June")</f>
        <v>0</v>
      </c>
      <c r="N103" s="111">
        <f t="shared" si="29"/>
        <v>0</v>
      </c>
    </row>
    <row r="104" spans="1:14" x14ac:dyDescent="0.55000000000000004">
      <c r="A104" s="22" t="s">
        <v>106</v>
      </c>
      <c r="B104" s="27">
        <f>COUNTIFS('2015 Grievance Tracking'!M:M,"Turning Point", '2015 Grievance Tracking'!W:W, "1.2", '2015 Grievance Tracking'!AJ:AJ, "January")</f>
        <v>0</v>
      </c>
      <c r="C104" s="27">
        <f>COUNTIFS('2015 Grievance Tracking'!M:M,"Turning Point", '2015 Grievance Tracking'!W:W, "1.2", '2015 Grievance Tracking'!AJ:AJ, "February")</f>
        <v>0</v>
      </c>
      <c r="D104" s="27">
        <f>COUNTIFS('2015 Grievance Tracking'!M:M,"Turning Point", '2015 Grievance Tracking'!W:W, "1.2", '2015 Grievance Tracking'!AJ:AJ, "March")</f>
        <v>0</v>
      </c>
      <c r="E104" s="27">
        <f>COUNTIFS('2015 Grievance Tracking'!M:M,"Turning Point", '2015 Grievance Tracking'!W:W, "1.2", '2015 Grievance Tracking'!AJ:AJ, "April")</f>
        <v>0</v>
      </c>
      <c r="F104" s="27">
        <f>COUNTIFS('2015 Grievance Tracking'!M:M,"Turning Point", '2015 Grievance Tracking'!W:W, "1.2", '2015 Grievance Tracking'!AJ:AJ, "May")</f>
        <v>0</v>
      </c>
      <c r="G104" s="27">
        <f>COUNTIFS('2015 Grievance Tracking'!M:M,"Turning Point", '2015 Grievance Tracking'!W:W, "1.2", '2015 Grievance Tracking'!AJ:AJ, "June")</f>
        <v>0</v>
      </c>
      <c r="N104" s="111">
        <f t="shared" si="29"/>
        <v>0</v>
      </c>
    </row>
    <row r="105" spans="1:14" x14ac:dyDescent="0.55000000000000004">
      <c r="A105" s="21" t="b">
        <v>1</v>
      </c>
      <c r="B105" s="115">
        <f t="shared" ref="B105:G105" si="30">SUM(B106:B109)</f>
        <v>0</v>
      </c>
      <c r="C105" s="115">
        <f t="shared" si="30"/>
        <v>0</v>
      </c>
      <c r="D105" s="115">
        <f t="shared" si="30"/>
        <v>0</v>
      </c>
      <c r="E105" s="115">
        <f t="shared" si="30"/>
        <v>0</v>
      </c>
      <c r="F105" s="115">
        <f t="shared" si="30"/>
        <v>0</v>
      </c>
      <c r="G105" s="115">
        <f t="shared" si="30"/>
        <v>0</v>
      </c>
      <c r="H105" s="115"/>
      <c r="I105" s="115"/>
      <c r="J105" s="115"/>
      <c r="K105" s="115"/>
      <c r="L105" s="115"/>
      <c r="M105" s="115"/>
      <c r="N105" s="110">
        <f t="shared" si="29"/>
        <v>0</v>
      </c>
    </row>
    <row r="106" spans="1:14" x14ac:dyDescent="0.55000000000000004">
      <c r="A106" s="22" t="s">
        <v>107</v>
      </c>
      <c r="B106" s="27">
        <f>COUNTIFS('2015 Grievance Tracking'!M:M,"Turning Point", '2015 Grievance Tracking'!W:W, "2.1", '2015 Grievance Tracking'!AJ:AJ, "January")</f>
        <v>0</v>
      </c>
      <c r="C106" s="27">
        <f>COUNTIFS('2015 Grievance Tracking'!M:M,"Turning Point", '2015 Grievance Tracking'!W:W, "2.1", '2015 Grievance Tracking'!AJ:AJ, "February")</f>
        <v>0</v>
      </c>
      <c r="D106" s="27">
        <f>COUNTIFS('2015 Grievance Tracking'!M:M,"Turning Point", '2015 Grievance Tracking'!W:W, "2.1", '2015 Grievance Tracking'!AJ:AJ, "March")</f>
        <v>0</v>
      </c>
      <c r="E106" s="27">
        <f>COUNTIFS('2015 Grievance Tracking'!M:M,"Turning Point", '2015 Grievance Tracking'!W:W, "2.1", '2015 Grievance Tracking'!AJ:AJ, "April")</f>
        <v>0</v>
      </c>
      <c r="F106" s="27">
        <f>COUNTIFS('2015 Grievance Tracking'!M:M,"Turning Point", '2015 Grievance Tracking'!W:W, "2.1", '2015 Grievance Tracking'!AJ:AJ, "May")</f>
        <v>0</v>
      </c>
      <c r="G106" s="27">
        <f>COUNTIFS('2015 Grievance Tracking'!M:M,"Turning Point", '2015 Grievance Tracking'!W:W, "2.1", '2015 Grievance Tracking'!AJ:AJ, "June")</f>
        <v>0</v>
      </c>
      <c r="N106" s="111">
        <f t="shared" si="29"/>
        <v>0</v>
      </c>
    </row>
    <row r="107" spans="1:14" x14ac:dyDescent="0.55000000000000004">
      <c r="A107" s="22" t="s">
        <v>108</v>
      </c>
      <c r="B107" s="27">
        <f>COUNTIFS('2015 Grievance Tracking'!M:M,"Turning Point", '2015 Grievance Tracking'!W:W, "2.2", '2015 Grievance Tracking'!AJ:AJ, "January")</f>
        <v>0</v>
      </c>
      <c r="C107" s="27">
        <f>COUNTIFS('2015 Grievance Tracking'!M:M,"Turning Point", '2015 Grievance Tracking'!W:W, "2.2", '2015 Grievance Tracking'!AJ:AJ, "February")</f>
        <v>0</v>
      </c>
      <c r="D107" s="27">
        <f>COUNTIFS('2015 Grievance Tracking'!M:M,"Turning Point", '2015 Grievance Tracking'!W:W, "2.2", '2015 Grievance Tracking'!AJ:AJ, "March")</f>
        <v>0</v>
      </c>
      <c r="E107" s="27">
        <f>COUNTIFS('2015 Grievance Tracking'!M:M,"Turning Point", '2015 Grievance Tracking'!W:W, "2.2", '2015 Grievance Tracking'!AJ:AJ, "April")</f>
        <v>0</v>
      </c>
      <c r="F107" s="27">
        <f>COUNTIFS('2015 Grievance Tracking'!M:M,"Turning Point", '2015 Grievance Tracking'!W:W, "2.2", '2015 Grievance Tracking'!AJ:AJ, "May")</f>
        <v>0</v>
      </c>
      <c r="G107" s="27">
        <f>COUNTIFS('2015 Grievance Tracking'!M:M,"Turning Point", '2015 Grievance Tracking'!W:W, "2.2", '2015 Grievance Tracking'!AJ:AJ, "June")</f>
        <v>0</v>
      </c>
      <c r="N107" s="111">
        <f t="shared" si="29"/>
        <v>0</v>
      </c>
    </row>
    <row r="108" spans="1:14" x14ac:dyDescent="0.55000000000000004">
      <c r="A108" s="22" t="s">
        <v>109</v>
      </c>
      <c r="B108" s="27">
        <f>COUNTIFS('2015 Grievance Tracking'!M:M,"Turning Point", '2015 Grievance Tracking'!W:W, "2.3", '2015 Grievance Tracking'!AJ:AJ, "January")</f>
        <v>0</v>
      </c>
      <c r="C108" s="27">
        <f>COUNTIFS('2015 Grievance Tracking'!M:M,"Turning Point", '2015 Grievance Tracking'!W:W, "2.3", '2015 Grievance Tracking'!AJ:AJ, "February")</f>
        <v>0</v>
      </c>
      <c r="D108" s="27">
        <f>COUNTIFS('2015 Grievance Tracking'!M:M,"Turning Point", '2015 Grievance Tracking'!W:W, "2.3", '2015 Grievance Tracking'!AJ:AJ, "March")</f>
        <v>0</v>
      </c>
      <c r="E108" s="27">
        <f>COUNTIFS('2015 Grievance Tracking'!M:M,"Turning Point", '2015 Grievance Tracking'!W:W, "2.3", '2015 Grievance Tracking'!AJ:AJ, "April")</f>
        <v>0</v>
      </c>
      <c r="F108" s="27">
        <f>COUNTIFS('2015 Grievance Tracking'!M:M,"Turning Point", '2015 Grievance Tracking'!W:W, "2.3", '2015 Grievance Tracking'!AJ:AJ, "May")</f>
        <v>0</v>
      </c>
      <c r="G108" s="27">
        <f>COUNTIFS('2015 Grievance Tracking'!M:M,"Turning Point", '2015 Grievance Tracking'!W:W, "2.3", '2015 Grievance Tracking'!AJ:AJ, "June")</f>
        <v>0</v>
      </c>
      <c r="N108" s="111">
        <f t="shared" si="29"/>
        <v>0</v>
      </c>
    </row>
    <row r="109" spans="1:14" x14ac:dyDescent="0.55000000000000004">
      <c r="A109" s="22" t="s">
        <v>110</v>
      </c>
      <c r="B109" s="27">
        <f>COUNTIFS('2015 Grievance Tracking'!M:M,"Turning Point", '2015 Grievance Tracking'!W:W, "2.4", '2015 Grievance Tracking'!AJ:AJ, "January")</f>
        <v>0</v>
      </c>
      <c r="C109" s="27">
        <f>COUNTIFS('2015 Grievance Tracking'!M:M,"Turning Point", '2015 Grievance Tracking'!W:W, "2.4", '2015 Grievance Tracking'!AJ:AJ, "February")</f>
        <v>0</v>
      </c>
      <c r="D109" s="27">
        <f>COUNTIFS('2015 Grievance Tracking'!M:M,"Turning Point", '2015 Grievance Tracking'!W:W, "2.4", '2015 Grievance Tracking'!AJ:AJ, "March")</f>
        <v>0</v>
      </c>
      <c r="E109" s="27">
        <f>COUNTIFS('2015 Grievance Tracking'!M:M,"Turning Point", '2015 Grievance Tracking'!W:W, "2.4", '2015 Grievance Tracking'!AJ:AJ, "April")</f>
        <v>0</v>
      </c>
      <c r="F109" s="27">
        <f>COUNTIFS('2015 Grievance Tracking'!M:M,"Turning Point", '2015 Grievance Tracking'!W:W, "2.4", '2015 Grievance Tracking'!AJ:AJ, "May")</f>
        <v>0</v>
      </c>
      <c r="G109" s="27">
        <f>COUNTIFS('2015 Grievance Tracking'!M:M,"Turning Point", '2015 Grievance Tracking'!W:W, "2.4", '2015 Grievance Tracking'!AJ:AJ, "June")</f>
        <v>0</v>
      </c>
      <c r="N109" s="111">
        <f t="shared" si="29"/>
        <v>0</v>
      </c>
    </row>
    <row r="110" spans="1:14" x14ac:dyDescent="0.55000000000000004">
      <c r="A110" s="21" t="s">
        <v>111</v>
      </c>
      <c r="B110" s="115">
        <f>COUNTIFS('2015 Grievance Tracking'!M:M,"Turning Point", '2015 Grievance Tracking'!W:W, "3", '2015 Grievance Tracking'!AJ:AJ, "January")</f>
        <v>0</v>
      </c>
      <c r="C110" s="115">
        <f>COUNTIFS('2015 Grievance Tracking'!M:M,"Turning Point", '2015 Grievance Tracking'!W:W, "3", '2015 Grievance Tracking'!AJ:AJ, "February")</f>
        <v>0</v>
      </c>
      <c r="D110" s="115">
        <f>COUNTIFS('2015 Grievance Tracking'!M:M,"Turning Point", '2015 Grievance Tracking'!W:W, "3", '2015 Grievance Tracking'!AJ:AJ, "March")</f>
        <v>0</v>
      </c>
      <c r="E110" s="115">
        <f>COUNTIFS('2015 Grievance Tracking'!M:M,"Turning Point", '2015 Grievance Tracking'!W:W, "3", '2015 Grievance Tracking'!AJ:AJ, "April")</f>
        <v>0</v>
      </c>
      <c r="F110" s="115">
        <f>COUNTIFS('2015 Grievance Tracking'!M:M,"Turning Point", '2015 Grievance Tracking'!W:W, "3", '2015 Grievance Tracking'!AJ:AJ, "May")</f>
        <v>0</v>
      </c>
      <c r="G110" s="115">
        <f>COUNTIFS('2015 Grievance Tracking'!M:M,"Turning Point", '2015 Grievance Tracking'!W:W, "3", '2015 Grievance Tracking'!AJ:AJ, "June")</f>
        <v>0</v>
      </c>
      <c r="H110" s="115"/>
      <c r="I110" s="115"/>
      <c r="J110" s="115"/>
      <c r="K110" s="115"/>
      <c r="L110" s="115"/>
      <c r="M110" s="115"/>
      <c r="N110" s="110">
        <f t="shared" si="29"/>
        <v>0</v>
      </c>
    </row>
    <row r="111" spans="1:14" x14ac:dyDescent="0.55000000000000004">
      <c r="A111" s="21" t="s">
        <v>199</v>
      </c>
      <c r="B111" s="115">
        <f>COUNTIFS('2015 Grievance Tracking'!M:M,"Turning Point", '2015 Grievance Tracking'!W:W, "5", '2015 Grievance Tracking'!AJ:AJ, "January")</f>
        <v>0</v>
      </c>
      <c r="C111" s="115">
        <f>COUNTIFS('2015 Grievance Tracking'!M:M,"Turning Point", '2015 Grievance Tracking'!W:W, "5", '2015 Grievance Tracking'!AJ:AJ, "February")</f>
        <v>0</v>
      </c>
      <c r="D111" s="115">
        <f>COUNTIFS('2015 Grievance Tracking'!M:M,"Turning Point", '2015 Grievance Tracking'!W:W, "5", '2015 Grievance Tracking'!AJ:AJ, "March")</f>
        <v>0</v>
      </c>
      <c r="E111" s="115">
        <f>COUNTIFS('2015 Grievance Tracking'!M:M,"Turning Point", '2015 Grievance Tracking'!W:W, "5", '2015 Grievance Tracking'!AJ:AJ, "April")</f>
        <v>0</v>
      </c>
      <c r="F111" s="115">
        <f>COUNTIFS('2015 Grievance Tracking'!M:M,"Turning Point", '2015 Grievance Tracking'!W:W, "5", '2015 Grievance Tracking'!AJ:AJ, "May")</f>
        <v>0</v>
      </c>
      <c r="G111" s="115">
        <f>COUNTIFS('2015 Grievance Tracking'!M:M,"Turning Point", '2015 Grievance Tracking'!W:W, "5", '2015 Grievance Tracking'!AJ:AJ, "June")</f>
        <v>0</v>
      </c>
      <c r="H111" s="115"/>
      <c r="I111" s="115"/>
      <c r="J111" s="115"/>
      <c r="K111" s="115"/>
      <c r="L111" s="115"/>
      <c r="M111" s="115"/>
      <c r="N111" s="110">
        <f>SUM(B111:M111)</f>
        <v>0</v>
      </c>
    </row>
    <row r="112" spans="1:14" x14ac:dyDescent="0.55000000000000004">
      <c r="A112" s="22" t="s">
        <v>112</v>
      </c>
      <c r="B112" s="27">
        <f>COUNTIFS('2015 Grievance Tracking'!M:M,"Turning Point", '2015 Grievance Tracking'!W:W, "4", '2015 Grievance Tracking'!AJ:AJ, "January")</f>
        <v>0</v>
      </c>
      <c r="C112" s="27">
        <f>COUNTIFS('2015 Grievance Tracking'!M:M,"Turning Point", '2015 Grievance Tracking'!W:W, "4", '2015 Grievance Tracking'!AJ:AJ, "February")</f>
        <v>0</v>
      </c>
      <c r="D112" s="27">
        <f>COUNTIFS('2015 Grievance Tracking'!M:M,"Turning Point", '2015 Grievance Tracking'!W:W, "4", '2015 Grievance Tracking'!AJ:AJ, "March")</f>
        <v>0</v>
      </c>
      <c r="E112" s="27">
        <f>COUNTIFS('2015 Grievance Tracking'!M:M,"Turning Point", '2015 Grievance Tracking'!W:W, "4", '2015 Grievance Tracking'!AJ:AJ, "April")</f>
        <v>0</v>
      </c>
      <c r="F112" s="27">
        <f>COUNTIFS('2015 Grievance Tracking'!M:M,"Turning Point", '2015 Grievance Tracking'!W:W, "4", '2015 Grievance Tracking'!AJ:AJ, "May")</f>
        <v>0</v>
      </c>
      <c r="G112" s="27">
        <f>COUNTIFS('2015 Grievance Tracking'!M:M,"Turning Point", '2015 Grievance Tracking'!W:W, "4", '2015 Grievance Tracking'!AJ:AJ, "June")</f>
        <v>0</v>
      </c>
      <c r="N112" s="111">
        <f t="shared" si="29"/>
        <v>0</v>
      </c>
    </row>
    <row r="113" spans="1:14" x14ac:dyDescent="0.55000000000000004">
      <c r="A113" s="95" t="s">
        <v>205</v>
      </c>
      <c r="B113" s="116">
        <f t="shared" ref="B113:G113" si="31">B102+B105+B110+B112+B111</f>
        <v>0</v>
      </c>
      <c r="C113" s="116">
        <f t="shared" si="31"/>
        <v>0</v>
      </c>
      <c r="D113" s="116">
        <f t="shared" si="31"/>
        <v>0</v>
      </c>
      <c r="E113" s="116">
        <f t="shared" si="31"/>
        <v>0</v>
      </c>
      <c r="F113" s="116">
        <f t="shared" si="31"/>
        <v>0</v>
      </c>
      <c r="G113" s="116">
        <f t="shared" si="31"/>
        <v>0</v>
      </c>
      <c r="H113" s="116"/>
      <c r="I113" s="116"/>
      <c r="J113" s="116"/>
      <c r="K113" s="116"/>
      <c r="L113" s="116"/>
      <c r="M113" s="116"/>
      <c r="N113" s="112">
        <f>SUM(B113:M113)</f>
        <v>0</v>
      </c>
    </row>
    <row r="114" spans="1:14" s="145" customFormat="1" x14ac:dyDescent="0.55000000000000004">
      <c r="A114" s="147"/>
      <c r="B114" s="146"/>
      <c r="C114" s="146"/>
      <c r="D114" s="146"/>
      <c r="E114" s="146"/>
      <c r="F114" s="146"/>
      <c r="G114" s="146"/>
      <c r="H114" s="146"/>
      <c r="I114" s="146"/>
      <c r="J114" s="146"/>
      <c r="K114" s="146"/>
      <c r="L114" s="146"/>
      <c r="M114" s="146"/>
      <c r="N114" s="149"/>
    </row>
    <row r="115" spans="1:14" x14ac:dyDescent="0.55000000000000004">
      <c r="A115" s="23" t="s">
        <v>63</v>
      </c>
      <c r="B115" s="113" t="s">
        <v>94</v>
      </c>
      <c r="C115" s="113" t="s">
        <v>95</v>
      </c>
      <c r="D115" s="113" t="s">
        <v>96</v>
      </c>
      <c r="E115" s="113" t="s">
        <v>97</v>
      </c>
      <c r="F115" s="113" t="s">
        <v>93</v>
      </c>
      <c r="G115" s="113" t="s">
        <v>98</v>
      </c>
      <c r="H115" s="113" t="s">
        <v>99</v>
      </c>
      <c r="I115" s="113" t="s">
        <v>100</v>
      </c>
      <c r="J115" s="113" t="s">
        <v>101</v>
      </c>
      <c r="K115" s="113" t="s">
        <v>102</v>
      </c>
      <c r="L115" s="113" t="s">
        <v>103</v>
      </c>
      <c r="M115" s="113" t="s">
        <v>104</v>
      </c>
      <c r="N115" s="109" t="s">
        <v>113</v>
      </c>
    </row>
    <row r="116" spans="1:14" x14ac:dyDescent="0.55000000000000004">
      <c r="A116" s="21" t="b">
        <v>0</v>
      </c>
      <c r="B116" s="114">
        <f t="shared" ref="B116:G116" si="32">SUM(B117:B118)</f>
        <v>0</v>
      </c>
      <c r="C116" s="114">
        <f t="shared" si="32"/>
        <v>0</v>
      </c>
      <c r="D116" s="114">
        <f t="shared" si="32"/>
        <v>0</v>
      </c>
      <c r="E116" s="114">
        <f t="shared" si="32"/>
        <v>0</v>
      </c>
      <c r="F116" s="114">
        <f t="shared" si="32"/>
        <v>0</v>
      </c>
      <c r="G116" s="114">
        <f t="shared" si="32"/>
        <v>0</v>
      </c>
      <c r="H116" s="114"/>
      <c r="I116" s="114"/>
      <c r="J116" s="114"/>
      <c r="K116" s="114"/>
      <c r="L116" s="114"/>
      <c r="M116" s="114"/>
      <c r="N116" s="110">
        <f t="shared" ref="N116:N126" si="33">SUM(B116:M116)</f>
        <v>0</v>
      </c>
    </row>
    <row r="117" spans="1:14" x14ac:dyDescent="0.55000000000000004">
      <c r="A117" s="22" t="s">
        <v>105</v>
      </c>
      <c r="B117" s="27">
        <f>COUNTIFS('2015 Grievance Tracking'!M:M,"Waypoint", '2015 Grievance Tracking'!W:W, "1.1", '2015 Grievance Tracking'!AJ:AJ, "January")</f>
        <v>0</v>
      </c>
      <c r="C117" s="27">
        <f>COUNTIFS('2015 Grievance Tracking'!M:M,"Waypoint", '2015 Grievance Tracking'!W:W, "1.1", '2015 Grievance Tracking'!AJ:AJ, "February")</f>
        <v>0</v>
      </c>
      <c r="D117" s="27">
        <f>COUNTIFS('2015 Grievance Tracking'!M:M,"Waypoint", '2015 Grievance Tracking'!W:W, "1.1", '2015 Grievance Tracking'!AJ:AJ, "March")</f>
        <v>0</v>
      </c>
      <c r="E117" s="27">
        <f>COUNTIFS('2015 Grievance Tracking'!M:M,"Waypoint", '2015 Grievance Tracking'!W:W, "1.1", '2015 Grievance Tracking'!AJ:AJ, "April")</f>
        <v>0</v>
      </c>
      <c r="F117" s="27">
        <f>COUNTIFS('2015 Grievance Tracking'!M:M,"Waypoint", '2015 Grievance Tracking'!W:W, "1.1", '2015 Grievance Tracking'!AJ:AJ, "May")</f>
        <v>0</v>
      </c>
      <c r="G117" s="27">
        <f>COUNTIFS('2015 Grievance Tracking'!M:M,"Waypoint", '2015 Grievance Tracking'!W:W, "1.1", '2015 Grievance Tracking'!AJ:AJ, "June")</f>
        <v>0</v>
      </c>
      <c r="N117" s="111">
        <f t="shared" si="33"/>
        <v>0</v>
      </c>
    </row>
    <row r="118" spans="1:14" x14ac:dyDescent="0.55000000000000004">
      <c r="A118" s="22" t="s">
        <v>106</v>
      </c>
      <c r="B118" s="27">
        <f>COUNTIFS('2015 Grievance Tracking'!M:M,"Waypoint", '2015 Grievance Tracking'!W:W, "1.2", '2015 Grievance Tracking'!AJ:AJ, "January")</f>
        <v>0</v>
      </c>
      <c r="C118" s="27">
        <f>COUNTIFS('2015 Grievance Tracking'!M:M,"Waypoint", '2015 Grievance Tracking'!W:W, "1.2", '2015 Grievance Tracking'!AJ:AJ, "February")</f>
        <v>0</v>
      </c>
      <c r="D118" s="27">
        <f>COUNTIFS('2015 Grievance Tracking'!M:M,"Waypoint", '2015 Grievance Tracking'!W:W, "1.2", '2015 Grievance Tracking'!AJ:AJ, "March")</f>
        <v>0</v>
      </c>
      <c r="E118" s="27">
        <f>COUNTIFS('2015 Grievance Tracking'!M:M,"Waypoint", '2015 Grievance Tracking'!W:W, "1.2", '2015 Grievance Tracking'!AJ:AJ, "April")</f>
        <v>0</v>
      </c>
      <c r="F118" s="27">
        <f>COUNTIFS('2015 Grievance Tracking'!M:M,"Waypoint", '2015 Grievance Tracking'!W:W, "1.2", '2015 Grievance Tracking'!AJ:AJ, "May")</f>
        <v>0</v>
      </c>
      <c r="G118" s="27">
        <f>COUNTIFS('2015 Grievance Tracking'!M:M,"Waypoint", '2015 Grievance Tracking'!W:W, "1.2", '2015 Grievance Tracking'!AJ:AJ, "June")</f>
        <v>0</v>
      </c>
      <c r="N118" s="111">
        <f t="shared" si="33"/>
        <v>0</v>
      </c>
    </row>
    <row r="119" spans="1:14" x14ac:dyDescent="0.55000000000000004">
      <c r="A119" s="21" t="b">
        <v>1</v>
      </c>
      <c r="B119" s="115">
        <f t="shared" ref="B119:G119" si="34">SUM(B120:B123)</f>
        <v>0</v>
      </c>
      <c r="C119" s="115">
        <f t="shared" si="34"/>
        <v>0</v>
      </c>
      <c r="D119" s="115">
        <f t="shared" si="34"/>
        <v>0</v>
      </c>
      <c r="E119" s="115">
        <f t="shared" si="34"/>
        <v>0</v>
      </c>
      <c r="F119" s="115">
        <f t="shared" si="34"/>
        <v>0</v>
      </c>
      <c r="G119" s="115">
        <f t="shared" si="34"/>
        <v>0</v>
      </c>
      <c r="H119" s="115"/>
      <c r="I119" s="115"/>
      <c r="J119" s="115"/>
      <c r="K119" s="115"/>
      <c r="L119" s="115"/>
      <c r="M119" s="115"/>
      <c r="N119" s="110">
        <f t="shared" si="33"/>
        <v>0</v>
      </c>
    </row>
    <row r="120" spans="1:14" x14ac:dyDescent="0.55000000000000004">
      <c r="A120" s="22" t="s">
        <v>107</v>
      </c>
      <c r="B120" s="27">
        <f>COUNTIFS('2015 Grievance Tracking'!M:M,"Waypoint", '2015 Grievance Tracking'!W:W, "2.1", '2015 Grievance Tracking'!AJ:AJ, "January")</f>
        <v>0</v>
      </c>
      <c r="C120" s="27">
        <f>COUNTIFS('2015 Grievance Tracking'!M:M,"Waypoint", '2015 Grievance Tracking'!W:W, "2.1", '2015 Grievance Tracking'!AJ:AJ, "February")</f>
        <v>0</v>
      </c>
      <c r="D120" s="27">
        <f>COUNTIFS('2015 Grievance Tracking'!M:M,"Waypoint", '2015 Grievance Tracking'!W:W, "2.1", '2015 Grievance Tracking'!AJ:AJ, "March")</f>
        <v>0</v>
      </c>
      <c r="E120" s="27">
        <f>COUNTIFS('2015 Grievance Tracking'!M:M,"Waypoint", '2015 Grievance Tracking'!W:W, "2.1", '2015 Grievance Tracking'!AJ:AJ, "April")</f>
        <v>0</v>
      </c>
      <c r="F120" s="27">
        <f>COUNTIFS('2015 Grievance Tracking'!M:M,"Waypoint", '2015 Grievance Tracking'!W:W, "2.1", '2015 Grievance Tracking'!AJ:AJ, "May")</f>
        <v>0</v>
      </c>
      <c r="G120" s="27">
        <f>COUNTIFS('2015 Grievance Tracking'!M:M,"Waypoint", '2015 Grievance Tracking'!W:W, "2.1", '2015 Grievance Tracking'!AJ:AJ, "June")</f>
        <v>0</v>
      </c>
      <c r="N120" s="111">
        <f t="shared" si="33"/>
        <v>0</v>
      </c>
    </row>
    <row r="121" spans="1:14" x14ac:dyDescent="0.55000000000000004">
      <c r="A121" s="22" t="s">
        <v>108</v>
      </c>
      <c r="B121" s="27">
        <f>COUNTIFS('2015 Grievance Tracking'!M:M,"Waypoint", '2015 Grievance Tracking'!W:W, "2.2", '2015 Grievance Tracking'!AJ:AJ, "January")</f>
        <v>0</v>
      </c>
      <c r="C121" s="27">
        <f>COUNTIFS('2015 Grievance Tracking'!M:M,"Waypoint", '2015 Grievance Tracking'!W:W, "2.2", '2015 Grievance Tracking'!AJ:AJ, "February")</f>
        <v>0</v>
      </c>
      <c r="D121" s="27">
        <f>COUNTIFS('2015 Grievance Tracking'!M:M,"Waypoint", '2015 Grievance Tracking'!W:W, "2.2", '2015 Grievance Tracking'!AJ:AJ, "March")</f>
        <v>0</v>
      </c>
      <c r="E121" s="27">
        <f>COUNTIFS('2015 Grievance Tracking'!M:M,"Waypoint", '2015 Grievance Tracking'!W:W, "2.2", '2015 Grievance Tracking'!AJ:AJ, "April")</f>
        <v>0</v>
      </c>
      <c r="F121" s="27">
        <f>COUNTIFS('2015 Grievance Tracking'!M:M,"Waypoint", '2015 Grievance Tracking'!W:W, "2.2", '2015 Grievance Tracking'!AJ:AJ, "May")</f>
        <v>0</v>
      </c>
      <c r="G121" s="27">
        <f>COUNTIFS('2015 Grievance Tracking'!M:M,"Waypoint", '2015 Grievance Tracking'!W:W, "2.2", '2015 Grievance Tracking'!AJ:AJ, "June")</f>
        <v>0</v>
      </c>
      <c r="N121" s="111">
        <f t="shared" si="33"/>
        <v>0</v>
      </c>
    </row>
    <row r="122" spans="1:14" x14ac:dyDescent="0.55000000000000004">
      <c r="A122" s="22" t="s">
        <v>109</v>
      </c>
      <c r="B122" s="27">
        <f>COUNTIFS('2015 Grievance Tracking'!M:M,"Waypoint", '2015 Grievance Tracking'!W:W, "2.3", '2015 Grievance Tracking'!AJ:AJ, "January")</f>
        <v>0</v>
      </c>
      <c r="C122" s="27">
        <f>COUNTIFS('2015 Grievance Tracking'!M:M,"Waypoint", '2015 Grievance Tracking'!W:W, "2.3", '2015 Grievance Tracking'!AJ:AJ, "February")</f>
        <v>0</v>
      </c>
      <c r="D122" s="27">
        <f>COUNTIFS('2015 Grievance Tracking'!M:M,"Waypoint", '2015 Grievance Tracking'!W:W, "2.3", '2015 Grievance Tracking'!AJ:AJ, "March")</f>
        <v>0</v>
      </c>
      <c r="E122" s="27">
        <f>COUNTIFS('2015 Grievance Tracking'!M:M,"Waypoint", '2015 Grievance Tracking'!W:W, "2.3", '2015 Grievance Tracking'!AJ:AJ, "April")</f>
        <v>0</v>
      </c>
      <c r="F122" s="27">
        <f>COUNTIFS('2015 Grievance Tracking'!M:M,"Waypoint", '2015 Grievance Tracking'!W:W, "2.3", '2015 Grievance Tracking'!AJ:AJ, "May")</f>
        <v>0</v>
      </c>
      <c r="G122" s="27">
        <f>COUNTIFS('2015 Grievance Tracking'!M:M,"Waypoint", '2015 Grievance Tracking'!W:W, "2.3", '2015 Grievance Tracking'!AJ:AJ, "June")</f>
        <v>0</v>
      </c>
      <c r="N122" s="111">
        <f t="shared" si="33"/>
        <v>0</v>
      </c>
    </row>
    <row r="123" spans="1:14" x14ac:dyDescent="0.55000000000000004">
      <c r="A123" s="22" t="s">
        <v>110</v>
      </c>
      <c r="B123" s="27">
        <f>COUNTIFS('2015 Grievance Tracking'!M:M,"Waypoint", '2015 Grievance Tracking'!W:W, "2.4", '2015 Grievance Tracking'!AJ:AJ, "January")</f>
        <v>0</v>
      </c>
      <c r="C123" s="27">
        <f>COUNTIFS('2015 Grievance Tracking'!M:M,"Waypoint", '2015 Grievance Tracking'!W:W, "2.4", '2015 Grievance Tracking'!AJ:AJ, "February")</f>
        <v>0</v>
      </c>
      <c r="D123" s="27">
        <f>COUNTIFS('2015 Grievance Tracking'!M:M,"Waypoint", '2015 Grievance Tracking'!W:W, "2.4", '2015 Grievance Tracking'!AJ:AJ, "March")</f>
        <v>0</v>
      </c>
      <c r="E123" s="27">
        <f>COUNTIFS('2015 Grievance Tracking'!M:M,"Waypoint", '2015 Grievance Tracking'!W:W, "2.4", '2015 Grievance Tracking'!AJ:AJ, "April")</f>
        <v>0</v>
      </c>
      <c r="F123" s="27">
        <f>COUNTIFS('2015 Grievance Tracking'!M:M,"Waypoint", '2015 Grievance Tracking'!W:W, "2.4", '2015 Grievance Tracking'!AJ:AJ, "May")</f>
        <v>0</v>
      </c>
      <c r="G123" s="27">
        <f>COUNTIFS('2015 Grievance Tracking'!M:M,"Waypoint", '2015 Grievance Tracking'!W:W, "2.4", '2015 Grievance Tracking'!AJ:AJ, "June")</f>
        <v>0</v>
      </c>
      <c r="N123" s="111">
        <f t="shared" si="33"/>
        <v>0</v>
      </c>
    </row>
    <row r="124" spans="1:14" x14ac:dyDescent="0.55000000000000004">
      <c r="A124" s="21" t="s">
        <v>111</v>
      </c>
      <c r="B124" s="115">
        <f>COUNTIFS('2015 Grievance Tracking'!M:M,"Waypoint", '2015 Grievance Tracking'!W:W, "3", '2015 Grievance Tracking'!AJ:AJ, "January")</f>
        <v>0</v>
      </c>
      <c r="C124" s="115">
        <f>COUNTIFS('2015 Grievance Tracking'!M:M,"Waypoint", '2015 Grievance Tracking'!W:W, "3", '2015 Grievance Tracking'!AJ:AJ, "February")</f>
        <v>0</v>
      </c>
      <c r="D124" s="115">
        <f>COUNTIFS('2015 Grievance Tracking'!M:M,"Waypoint", '2015 Grievance Tracking'!W:W, "3", '2015 Grievance Tracking'!AJ:AJ, "March")</f>
        <v>0</v>
      </c>
      <c r="E124" s="115">
        <f>COUNTIFS('2015 Grievance Tracking'!M:M,"Waypoint", '2015 Grievance Tracking'!W:W, "3", '2015 Grievance Tracking'!AJ:AJ, "April")</f>
        <v>0</v>
      </c>
      <c r="F124" s="115">
        <f>COUNTIFS('2015 Grievance Tracking'!M:M,"Waypoint", '2015 Grievance Tracking'!W:W, "3", '2015 Grievance Tracking'!AJ:AJ, "May")</f>
        <v>0</v>
      </c>
      <c r="G124" s="115">
        <f>COUNTIFS('2015 Grievance Tracking'!M:M,"Waypoint", '2015 Grievance Tracking'!W:W, "3", '2015 Grievance Tracking'!AJ:AJ, "June")</f>
        <v>0</v>
      </c>
      <c r="H124" s="115"/>
      <c r="I124" s="115"/>
      <c r="J124" s="115"/>
      <c r="K124" s="115"/>
      <c r="L124" s="115"/>
      <c r="M124" s="115"/>
      <c r="N124" s="110">
        <f t="shared" si="33"/>
        <v>0</v>
      </c>
    </row>
    <row r="125" spans="1:14" x14ac:dyDescent="0.55000000000000004">
      <c r="A125" s="21" t="s">
        <v>199</v>
      </c>
      <c r="B125" s="115">
        <f>COUNTIFS('2015 Grievance Tracking'!M:M,"Waypoint", '2015 Grievance Tracking'!W:W, "5", '2015 Grievance Tracking'!AJ:AJ, "January")</f>
        <v>0</v>
      </c>
      <c r="C125" s="115">
        <f>COUNTIFS('2015 Grievance Tracking'!M:M,"Waypoint", '2015 Grievance Tracking'!W:W, "5", '2015 Grievance Tracking'!AJ:AJ, "February")</f>
        <v>0</v>
      </c>
      <c r="D125" s="115">
        <f>COUNTIFS('2015 Grievance Tracking'!M:M,"Waypoint", '2015 Grievance Tracking'!W:W, "5", '2015 Grievance Tracking'!AJ:AJ, "March")</f>
        <v>0</v>
      </c>
      <c r="E125" s="115">
        <f>COUNTIFS('2015 Grievance Tracking'!M:M,"Waypoint", '2015 Grievance Tracking'!W:W, "5", '2015 Grievance Tracking'!AJ:AJ, "April")</f>
        <v>0</v>
      </c>
      <c r="F125" s="115">
        <f>COUNTIFS('2015 Grievance Tracking'!M:M,"Waypoint", '2015 Grievance Tracking'!W:W, "5", '2015 Grievance Tracking'!AJ:AJ, "May")</f>
        <v>0</v>
      </c>
      <c r="G125" s="115">
        <f>COUNTIFS('2015 Grievance Tracking'!M:M,"Waypoint", '2015 Grievance Tracking'!W:W, "5", '2015 Grievance Tracking'!AJ:AJ, "June")</f>
        <v>0</v>
      </c>
      <c r="H125" s="115"/>
      <c r="I125" s="115"/>
      <c r="J125" s="115"/>
      <c r="K125" s="115"/>
      <c r="L125" s="115"/>
      <c r="M125" s="115"/>
      <c r="N125" s="110">
        <f>SUM(B125:M125)</f>
        <v>0</v>
      </c>
    </row>
    <row r="126" spans="1:14" x14ac:dyDescent="0.55000000000000004">
      <c r="A126" s="22" t="s">
        <v>112</v>
      </c>
      <c r="B126" s="27">
        <f>COUNTIFS('2015 Grievance Tracking'!M:M,"Waypoint", '2015 Grievance Tracking'!W:W, "4", '2015 Grievance Tracking'!AJ:AJ, "January")</f>
        <v>0</v>
      </c>
      <c r="C126" s="27">
        <f>COUNTIFS('2015 Grievance Tracking'!M:M,"Waypoint", '2015 Grievance Tracking'!W:W, "4", '2015 Grievance Tracking'!AJ:AJ, "February")</f>
        <v>0</v>
      </c>
      <c r="D126" s="27">
        <f>COUNTIFS('2015 Grievance Tracking'!M:M,"Waypoint", '2015 Grievance Tracking'!W:W, "4", '2015 Grievance Tracking'!AJ:AJ, "March")</f>
        <v>0</v>
      </c>
      <c r="E126" s="27">
        <f>COUNTIFS('2015 Grievance Tracking'!M:M,"Waypoint", '2015 Grievance Tracking'!W:W, "4", '2015 Grievance Tracking'!AJ:AJ, "April")</f>
        <v>0</v>
      </c>
      <c r="F126" s="27">
        <f>COUNTIFS('2015 Grievance Tracking'!M:M,"Waypoint", '2015 Grievance Tracking'!W:W, "4", '2015 Grievance Tracking'!AJ:AJ, "May")</f>
        <v>0</v>
      </c>
      <c r="G126" s="27">
        <f>COUNTIFS('2015 Grievance Tracking'!M:M,"Waypoint", '2015 Grievance Tracking'!W:W, "4", '2015 Grievance Tracking'!AJ:AJ, "June")</f>
        <v>0</v>
      </c>
      <c r="N126" s="111">
        <f t="shared" si="33"/>
        <v>0</v>
      </c>
    </row>
    <row r="127" spans="1:14" x14ac:dyDescent="0.55000000000000004">
      <c r="A127" s="95" t="s">
        <v>205</v>
      </c>
      <c r="B127" s="116">
        <f t="shared" ref="B127:G127" si="35">B116+B119+B124+B126+B125</f>
        <v>0</v>
      </c>
      <c r="C127" s="116">
        <f t="shared" si="35"/>
        <v>0</v>
      </c>
      <c r="D127" s="116">
        <f t="shared" si="35"/>
        <v>0</v>
      </c>
      <c r="E127" s="116">
        <f t="shared" si="35"/>
        <v>0</v>
      </c>
      <c r="F127" s="116">
        <f t="shared" si="35"/>
        <v>0</v>
      </c>
      <c r="G127" s="116">
        <f t="shared" si="35"/>
        <v>0</v>
      </c>
      <c r="H127" s="116"/>
      <c r="I127" s="116"/>
      <c r="J127" s="116"/>
      <c r="K127" s="116"/>
      <c r="L127" s="116"/>
      <c r="M127" s="116"/>
      <c r="N127" s="112">
        <f>SUM(B127:M127)</f>
        <v>0</v>
      </c>
    </row>
    <row r="128" spans="1:14" s="145" customFormat="1" x14ac:dyDescent="0.55000000000000004">
      <c r="B128" s="146"/>
      <c r="C128" s="146"/>
      <c r="D128" s="146"/>
      <c r="E128" s="146"/>
      <c r="F128" s="146"/>
      <c r="G128" s="146"/>
      <c r="H128" s="146"/>
      <c r="I128" s="146"/>
      <c r="J128" s="146"/>
      <c r="K128" s="146"/>
      <c r="L128" s="146"/>
      <c r="M128" s="146"/>
      <c r="N128" s="146"/>
    </row>
    <row r="145" spans="1:13" x14ac:dyDescent="0.55000000000000004">
      <c r="B145" s="113" t="s">
        <v>94</v>
      </c>
      <c r="C145" s="113" t="s">
        <v>95</v>
      </c>
      <c r="D145" s="113" t="s">
        <v>96</v>
      </c>
      <c r="E145" s="113" t="s">
        <v>97</v>
      </c>
      <c r="F145" s="113" t="s">
        <v>93</v>
      </c>
      <c r="G145" s="113" t="s">
        <v>98</v>
      </c>
      <c r="H145" s="113" t="s">
        <v>99</v>
      </c>
      <c r="I145" s="113" t="s">
        <v>100</v>
      </c>
      <c r="J145" s="113" t="s">
        <v>101</v>
      </c>
      <c r="K145" s="113" t="s">
        <v>102</v>
      </c>
      <c r="L145" s="113" t="s">
        <v>103</v>
      </c>
      <c r="M145" s="113" t="s">
        <v>104</v>
      </c>
    </row>
    <row r="146" spans="1:13" x14ac:dyDescent="0.55000000000000004">
      <c r="A146" t="s">
        <v>49</v>
      </c>
      <c r="B146" s="117">
        <f t="shared" ref="B146:M146" si="36">B29</f>
        <v>0</v>
      </c>
      <c r="C146" s="117">
        <f t="shared" si="36"/>
        <v>0</v>
      </c>
      <c r="D146" s="117">
        <f t="shared" si="36"/>
        <v>0</v>
      </c>
      <c r="E146" s="117">
        <f t="shared" si="36"/>
        <v>0</v>
      </c>
      <c r="F146" s="117">
        <f t="shared" si="36"/>
        <v>0</v>
      </c>
      <c r="G146" s="117">
        <f t="shared" si="36"/>
        <v>0</v>
      </c>
      <c r="H146" s="117">
        <f t="shared" si="36"/>
        <v>0</v>
      </c>
      <c r="I146" s="117">
        <f t="shared" si="36"/>
        <v>0</v>
      </c>
      <c r="J146" s="117">
        <f t="shared" si="36"/>
        <v>0</v>
      </c>
      <c r="K146" s="117">
        <f t="shared" si="36"/>
        <v>0</v>
      </c>
      <c r="L146" s="117">
        <f t="shared" si="36"/>
        <v>0</v>
      </c>
      <c r="M146" s="117">
        <f t="shared" si="36"/>
        <v>0</v>
      </c>
    </row>
    <row r="147" spans="1:13" x14ac:dyDescent="0.55000000000000004">
      <c r="A147" t="s">
        <v>50</v>
      </c>
      <c r="B147" s="117">
        <f t="shared" ref="B147:M147" si="37">B43</f>
        <v>0</v>
      </c>
      <c r="C147" s="117">
        <f t="shared" si="37"/>
        <v>0</v>
      </c>
      <c r="D147" s="117">
        <f t="shared" si="37"/>
        <v>0</v>
      </c>
      <c r="E147" s="117">
        <f t="shared" si="37"/>
        <v>0</v>
      </c>
      <c r="F147" s="117">
        <f t="shared" si="37"/>
        <v>0</v>
      </c>
      <c r="G147" s="117">
        <f t="shared" si="37"/>
        <v>0</v>
      </c>
      <c r="H147" s="117">
        <f t="shared" si="37"/>
        <v>0</v>
      </c>
      <c r="I147" s="117">
        <f t="shared" si="37"/>
        <v>0</v>
      </c>
      <c r="J147" s="117">
        <f t="shared" si="37"/>
        <v>0</v>
      </c>
      <c r="K147" s="117">
        <f t="shared" si="37"/>
        <v>0</v>
      </c>
      <c r="L147" s="117">
        <f t="shared" si="37"/>
        <v>0</v>
      </c>
      <c r="M147" s="117">
        <f t="shared" si="37"/>
        <v>0</v>
      </c>
    </row>
    <row r="148" spans="1:13" x14ac:dyDescent="0.55000000000000004">
      <c r="A148" t="s">
        <v>51</v>
      </c>
      <c r="B148" s="117">
        <f t="shared" ref="B148:M148" si="38">B57</f>
        <v>0</v>
      </c>
      <c r="C148" s="117">
        <f t="shared" si="38"/>
        <v>0</v>
      </c>
      <c r="D148" s="117">
        <f t="shared" si="38"/>
        <v>0</v>
      </c>
      <c r="E148" s="117">
        <f t="shared" si="38"/>
        <v>0</v>
      </c>
      <c r="F148" s="117">
        <f t="shared" si="38"/>
        <v>0</v>
      </c>
      <c r="G148" s="117">
        <f t="shared" si="38"/>
        <v>0</v>
      </c>
      <c r="H148" s="117">
        <f t="shared" si="38"/>
        <v>0</v>
      </c>
      <c r="I148" s="117">
        <f t="shared" si="38"/>
        <v>0</v>
      </c>
      <c r="J148" s="117">
        <f t="shared" si="38"/>
        <v>0</v>
      </c>
      <c r="K148" s="117">
        <f t="shared" si="38"/>
        <v>0</v>
      </c>
      <c r="L148" s="117">
        <f t="shared" si="38"/>
        <v>0</v>
      </c>
      <c r="M148" s="117">
        <f t="shared" si="38"/>
        <v>0</v>
      </c>
    </row>
    <row r="149" spans="1:13" x14ac:dyDescent="0.55000000000000004">
      <c r="A149" t="s">
        <v>60</v>
      </c>
      <c r="B149" s="117">
        <f t="shared" ref="B149:M149" si="39">B71</f>
        <v>0</v>
      </c>
      <c r="C149" s="117">
        <f t="shared" si="39"/>
        <v>0</v>
      </c>
      <c r="D149" s="117">
        <f t="shared" si="39"/>
        <v>0</v>
      </c>
      <c r="E149" s="117">
        <f t="shared" si="39"/>
        <v>0</v>
      </c>
      <c r="F149" s="117">
        <f t="shared" si="39"/>
        <v>0</v>
      </c>
      <c r="G149" s="117">
        <f t="shared" si="39"/>
        <v>0</v>
      </c>
      <c r="H149" s="117">
        <f t="shared" si="39"/>
        <v>0</v>
      </c>
      <c r="I149" s="117">
        <f t="shared" si="39"/>
        <v>0</v>
      </c>
      <c r="J149" s="117">
        <f t="shared" si="39"/>
        <v>0</v>
      </c>
      <c r="K149" s="117">
        <f t="shared" si="39"/>
        <v>0</v>
      </c>
      <c r="L149" s="117">
        <f t="shared" si="39"/>
        <v>0</v>
      </c>
      <c r="M149" s="117">
        <f t="shared" si="39"/>
        <v>0</v>
      </c>
    </row>
    <row r="150" spans="1:13" x14ac:dyDescent="0.55000000000000004">
      <c r="A150" t="s">
        <v>61</v>
      </c>
      <c r="B150" s="117">
        <f t="shared" ref="B150:M150" si="40">B85</f>
        <v>0</v>
      </c>
      <c r="C150" s="117">
        <f t="shared" si="40"/>
        <v>0</v>
      </c>
      <c r="D150" s="117">
        <f t="shared" si="40"/>
        <v>0</v>
      </c>
      <c r="E150" s="117">
        <f t="shared" si="40"/>
        <v>0</v>
      </c>
      <c r="F150" s="117">
        <f t="shared" si="40"/>
        <v>0</v>
      </c>
      <c r="G150" s="117">
        <f t="shared" si="40"/>
        <v>0</v>
      </c>
      <c r="H150" s="117">
        <f t="shared" si="40"/>
        <v>0</v>
      </c>
      <c r="I150" s="117">
        <f t="shared" si="40"/>
        <v>0</v>
      </c>
      <c r="J150" s="117">
        <f t="shared" si="40"/>
        <v>0</v>
      </c>
      <c r="K150" s="117">
        <f t="shared" si="40"/>
        <v>0</v>
      </c>
      <c r="L150" s="117">
        <f t="shared" si="40"/>
        <v>0</v>
      </c>
      <c r="M150" s="117">
        <f t="shared" si="40"/>
        <v>0</v>
      </c>
    </row>
    <row r="151" spans="1:13" x14ac:dyDescent="0.55000000000000004">
      <c r="A151" t="s">
        <v>62</v>
      </c>
      <c r="B151" s="117">
        <f t="shared" ref="B151:M151" si="41">B99</f>
        <v>0</v>
      </c>
      <c r="C151" s="117">
        <f t="shared" si="41"/>
        <v>0</v>
      </c>
      <c r="D151" s="117">
        <f t="shared" si="41"/>
        <v>0</v>
      </c>
      <c r="E151" s="117">
        <f t="shared" si="41"/>
        <v>0</v>
      </c>
      <c r="F151" s="117">
        <f t="shared" si="41"/>
        <v>0</v>
      </c>
      <c r="G151" s="117">
        <f t="shared" si="41"/>
        <v>0</v>
      </c>
      <c r="H151" s="117">
        <f t="shared" si="41"/>
        <v>0</v>
      </c>
      <c r="I151" s="117">
        <f t="shared" si="41"/>
        <v>0</v>
      </c>
      <c r="J151" s="117">
        <f t="shared" si="41"/>
        <v>0</v>
      </c>
      <c r="K151" s="117">
        <f t="shared" si="41"/>
        <v>0</v>
      </c>
      <c r="L151" s="117">
        <f t="shared" si="41"/>
        <v>0</v>
      </c>
      <c r="M151" s="117">
        <f t="shared" si="41"/>
        <v>0</v>
      </c>
    </row>
    <row r="152" spans="1:13" x14ac:dyDescent="0.55000000000000004">
      <c r="A152" t="s">
        <v>64</v>
      </c>
      <c r="B152" s="117">
        <f t="shared" ref="B152:M152" si="42">B113</f>
        <v>0</v>
      </c>
      <c r="C152" s="117">
        <f t="shared" si="42"/>
        <v>0</v>
      </c>
      <c r="D152" s="117">
        <f t="shared" si="42"/>
        <v>0</v>
      </c>
      <c r="E152" s="117">
        <f t="shared" si="42"/>
        <v>0</v>
      </c>
      <c r="F152" s="117">
        <f t="shared" si="42"/>
        <v>0</v>
      </c>
      <c r="G152" s="117">
        <f t="shared" si="42"/>
        <v>0</v>
      </c>
      <c r="H152" s="117">
        <f t="shared" si="42"/>
        <v>0</v>
      </c>
      <c r="I152" s="117">
        <f t="shared" si="42"/>
        <v>0</v>
      </c>
      <c r="J152" s="117">
        <f t="shared" si="42"/>
        <v>0</v>
      </c>
      <c r="K152" s="117">
        <f t="shared" si="42"/>
        <v>0</v>
      </c>
      <c r="L152" s="117">
        <f t="shared" si="42"/>
        <v>0</v>
      </c>
      <c r="M152" s="117">
        <f t="shared" si="42"/>
        <v>0</v>
      </c>
    </row>
    <row r="153" spans="1:13" x14ac:dyDescent="0.55000000000000004">
      <c r="A153" t="s">
        <v>63</v>
      </c>
      <c r="B153" s="117">
        <f>B127</f>
        <v>0</v>
      </c>
      <c r="C153" s="117">
        <f>C127</f>
        <v>0</v>
      </c>
      <c r="D153" s="117">
        <f>D127</f>
        <v>0</v>
      </c>
      <c r="E153" s="117">
        <f t="shared" ref="E153:M153" si="43">E127</f>
        <v>0</v>
      </c>
      <c r="F153" s="117">
        <f t="shared" si="43"/>
        <v>0</v>
      </c>
      <c r="G153" s="117">
        <f t="shared" si="43"/>
        <v>0</v>
      </c>
      <c r="H153" s="117">
        <f t="shared" si="43"/>
        <v>0</v>
      </c>
      <c r="I153" s="117">
        <f t="shared" si="43"/>
        <v>0</v>
      </c>
      <c r="J153" s="117">
        <f t="shared" si="43"/>
        <v>0</v>
      </c>
      <c r="K153" s="117">
        <f t="shared" si="43"/>
        <v>0</v>
      </c>
      <c r="L153" s="117">
        <f t="shared" si="43"/>
        <v>0</v>
      </c>
      <c r="M153" s="117">
        <f t="shared" si="43"/>
        <v>0</v>
      </c>
    </row>
  </sheetData>
  <pageMargins left="0.25" right="0.25"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theme="4"/>
  </sheetPr>
  <dimension ref="A3:AO205"/>
  <sheetViews>
    <sheetView topLeftCell="A67" workbookViewId="0">
      <selection activeCell="P25" sqref="P25"/>
    </sheetView>
  </sheetViews>
  <sheetFormatPr defaultRowHeight="14.4" x14ac:dyDescent="0.55000000000000004"/>
  <cols>
    <col min="1" max="1" width="20.47265625" customWidth="1"/>
    <col min="41" max="41" width="18.26171875" customWidth="1"/>
  </cols>
  <sheetData>
    <row r="3" spans="1:41" x14ac:dyDescent="0.55000000000000004">
      <c r="A3" s="19" t="s">
        <v>281</v>
      </c>
    </row>
    <row r="5" spans="1:41" x14ac:dyDescent="0.55000000000000004">
      <c r="A5" s="28"/>
      <c r="B5" s="277" t="s">
        <v>94</v>
      </c>
      <c r="C5" s="278"/>
      <c r="D5" s="279"/>
      <c r="E5" s="271" t="s">
        <v>95</v>
      </c>
      <c r="F5" s="272"/>
      <c r="G5" s="273"/>
      <c r="H5" s="277" t="s">
        <v>96</v>
      </c>
      <c r="I5" s="278"/>
      <c r="J5" s="279"/>
      <c r="K5" s="271" t="s">
        <v>97</v>
      </c>
      <c r="L5" s="272"/>
      <c r="M5" s="273"/>
      <c r="N5" s="277" t="s">
        <v>93</v>
      </c>
      <c r="O5" s="278"/>
      <c r="P5" s="279"/>
      <c r="Q5" s="271" t="s">
        <v>98</v>
      </c>
      <c r="R5" s="272"/>
      <c r="S5" s="273"/>
      <c r="T5" s="277" t="s">
        <v>99</v>
      </c>
      <c r="U5" s="278"/>
      <c r="V5" s="279"/>
      <c r="W5" s="271" t="s">
        <v>100</v>
      </c>
      <c r="X5" s="272"/>
      <c r="Y5" s="273"/>
      <c r="Z5" s="277" t="s">
        <v>101</v>
      </c>
      <c r="AA5" s="278"/>
      <c r="AB5" s="279"/>
      <c r="AC5" s="271" t="s">
        <v>102</v>
      </c>
      <c r="AD5" s="272"/>
      <c r="AE5" s="273"/>
      <c r="AF5" s="277" t="s">
        <v>103</v>
      </c>
      <c r="AG5" s="278"/>
      <c r="AH5" s="279"/>
      <c r="AI5" s="271" t="s">
        <v>104</v>
      </c>
      <c r="AJ5" s="272"/>
      <c r="AK5" s="273"/>
      <c r="AL5" s="274" t="s">
        <v>379</v>
      </c>
      <c r="AM5" s="275"/>
      <c r="AN5" s="276"/>
    </row>
    <row r="6" spans="1:41" s="1" customFormat="1" x14ac:dyDescent="0.55000000000000004">
      <c r="B6" s="138" t="s">
        <v>236</v>
      </c>
      <c r="C6" s="138" t="s">
        <v>235</v>
      </c>
      <c r="D6" s="138" t="s">
        <v>280</v>
      </c>
      <c r="E6" s="153" t="s">
        <v>236</v>
      </c>
      <c r="F6" s="118" t="s">
        <v>235</v>
      </c>
      <c r="G6" s="139" t="s">
        <v>280</v>
      </c>
      <c r="H6" s="121" t="s">
        <v>236</v>
      </c>
      <c r="I6" s="121" t="s">
        <v>235</v>
      </c>
      <c r="J6" s="138" t="s">
        <v>280</v>
      </c>
      <c r="K6" s="122" t="s">
        <v>236</v>
      </c>
      <c r="L6" s="118" t="s">
        <v>235</v>
      </c>
      <c r="M6" s="139" t="s">
        <v>280</v>
      </c>
      <c r="N6" s="121" t="s">
        <v>236</v>
      </c>
      <c r="O6" s="121" t="s">
        <v>235</v>
      </c>
      <c r="P6" s="138" t="s">
        <v>280</v>
      </c>
      <c r="Q6" s="122" t="s">
        <v>236</v>
      </c>
      <c r="R6" s="118" t="s">
        <v>235</v>
      </c>
      <c r="S6" s="139" t="s">
        <v>280</v>
      </c>
      <c r="T6" s="121" t="s">
        <v>236</v>
      </c>
      <c r="U6" s="121" t="s">
        <v>235</v>
      </c>
      <c r="V6" s="138" t="s">
        <v>280</v>
      </c>
      <c r="W6" s="122" t="s">
        <v>236</v>
      </c>
      <c r="X6" s="118" t="s">
        <v>235</v>
      </c>
      <c r="Y6" s="139" t="s">
        <v>280</v>
      </c>
      <c r="Z6" s="121" t="s">
        <v>236</v>
      </c>
      <c r="AA6" s="121" t="s">
        <v>235</v>
      </c>
      <c r="AB6" s="138" t="s">
        <v>280</v>
      </c>
      <c r="AC6" s="122" t="s">
        <v>236</v>
      </c>
      <c r="AD6" s="118" t="s">
        <v>235</v>
      </c>
      <c r="AE6" s="139" t="s">
        <v>280</v>
      </c>
      <c r="AF6" s="121" t="s">
        <v>236</v>
      </c>
      <c r="AG6" s="121" t="s">
        <v>235</v>
      </c>
      <c r="AH6" s="138" t="s">
        <v>280</v>
      </c>
      <c r="AI6" s="122" t="s">
        <v>236</v>
      </c>
      <c r="AJ6" s="118" t="s">
        <v>235</v>
      </c>
      <c r="AK6" s="139" t="s">
        <v>280</v>
      </c>
      <c r="AL6" s="138" t="s">
        <v>236</v>
      </c>
      <c r="AM6" s="138" t="s">
        <v>235</v>
      </c>
      <c r="AN6" s="138" t="s">
        <v>280</v>
      </c>
    </row>
    <row r="7" spans="1:41" x14ac:dyDescent="0.55000000000000004">
      <c r="A7" s="100" t="s">
        <v>49</v>
      </c>
      <c r="B7" s="140">
        <v>17</v>
      </c>
      <c r="C7" s="140">
        <f>COUNTIFS('Resident Names'!C:C,"New Choices",'Resident Names'!M:M,"&gt;=1")</f>
        <v>0</v>
      </c>
      <c r="D7" s="141">
        <f t="shared" ref="D7:D15" si="0">C7/B7</f>
        <v>0</v>
      </c>
      <c r="E7" s="154">
        <v>17</v>
      </c>
      <c r="F7" s="56">
        <f>COUNTIFS('Resident Names'!C:C,"New Choices",'Resident Names'!N:N,"&gt;=1")</f>
        <v>0</v>
      </c>
      <c r="G7" s="144">
        <f t="shared" ref="G7:G15" si="1">F7/E7</f>
        <v>0</v>
      </c>
      <c r="H7" s="120">
        <v>18</v>
      </c>
      <c r="I7" s="140">
        <f>COUNTIFS('Resident Names'!C:C,"New Choices",'Resident Names'!O:O,"&gt;=1")</f>
        <v>0</v>
      </c>
      <c r="J7" s="141">
        <f t="shared" ref="J7:J15" si="2">I7/H7</f>
        <v>0</v>
      </c>
      <c r="K7" s="100">
        <v>18</v>
      </c>
      <c r="L7" s="56">
        <f>COUNTIFS('Resident Names'!C:C,"New Choices",'Resident Names'!P:P,"&gt;=1")</f>
        <v>0</v>
      </c>
      <c r="M7" s="144">
        <f t="shared" ref="M7:M15" si="3">L7/K7</f>
        <v>0</v>
      </c>
      <c r="N7" s="140">
        <v>17</v>
      </c>
      <c r="O7" s="56">
        <f>COUNTIFS('Resident Names'!C:C,"New Choices",'Resident Names'!Q:Q,"&gt;=1")</f>
        <v>0</v>
      </c>
      <c r="P7" s="141">
        <f t="shared" ref="P7:P15" si="4">O7/N7</f>
        <v>0</v>
      </c>
      <c r="Q7" s="100">
        <v>16</v>
      </c>
      <c r="R7" s="56">
        <f>COUNTIFS('Resident Names'!C:C,"New Choices",'Resident Names'!R:R,"&gt;=1")</f>
        <v>0</v>
      </c>
      <c r="S7" s="144">
        <f t="shared" ref="S7:S15" si="5">R7/Q7</f>
        <v>0</v>
      </c>
      <c r="T7" s="120"/>
      <c r="U7" s="140">
        <f>COUNTIFS('Resident Names'!C:C,"New Choices",'Resident Names'!T:T,"&gt;=1")</f>
        <v>0</v>
      </c>
      <c r="V7" s="141" t="e">
        <f t="shared" ref="V7:V15" si="6">U7/T7</f>
        <v>#DIV/0!</v>
      </c>
      <c r="W7" s="100"/>
      <c r="X7" s="56">
        <f>COUNTIFS('Resident Names'!C:C,"New Choices",'Resident Names'!U:U,"&gt;=1")</f>
        <v>0</v>
      </c>
      <c r="Y7" s="144" t="e">
        <f t="shared" ref="Y7:Y15" si="7">X7/W7</f>
        <v>#DIV/0!</v>
      </c>
      <c r="Z7" s="120"/>
      <c r="AA7" s="140">
        <f>COUNTIFS('Resident Names'!C:C,"New Choices",'Resident Names'!V:V,"&gt;=1")</f>
        <v>0</v>
      </c>
      <c r="AB7" s="141" t="e">
        <f t="shared" ref="AB7:AB15" si="8">AA7/Z7</f>
        <v>#DIV/0!</v>
      </c>
      <c r="AC7" s="100"/>
      <c r="AD7" s="56">
        <f>COUNTIFS('Resident Names'!C:C,"New Choices",'Resident Names'!W:W,"&gt;=1")</f>
        <v>0</v>
      </c>
      <c r="AE7" s="144" t="e">
        <f t="shared" ref="AE7:AE15" si="9">AD7/AC7</f>
        <v>#DIV/0!</v>
      </c>
      <c r="AF7" s="120"/>
      <c r="AG7" s="140">
        <f>COUNTIFS('Resident Names'!C:C,"New Choices",'Resident Names'!X:X,"&gt;=1")</f>
        <v>0</v>
      </c>
      <c r="AH7" s="141" t="e">
        <f t="shared" ref="AH7:AH15" si="10">AG7/AF7</f>
        <v>#DIV/0!</v>
      </c>
      <c r="AI7" s="100"/>
      <c r="AJ7" s="56">
        <f>COUNTIFS('Resident Names'!C:C,"New Choices",'Resident Names'!AL:AL,"&gt;=1")</f>
        <v>0</v>
      </c>
      <c r="AK7" s="144" t="e">
        <f t="shared" ref="AK7:AK15" si="11">AJ7/AI7</f>
        <v>#DIV/0!</v>
      </c>
      <c r="AL7" s="140">
        <f t="shared" ref="AL7:AL15" si="12">B7+E7+H7+K7+N7+Q7+T7+W7+Z7+AC7+AF7+AI7</f>
        <v>103</v>
      </c>
      <c r="AM7" s="140">
        <f t="shared" ref="AM7:AM15" si="13">SUM(C7+F7+I7+L7+O7+R7+U7+X7+AD7+AG7+AJ7)</f>
        <v>0</v>
      </c>
      <c r="AN7" s="141">
        <f t="shared" ref="AN7:AN15" si="14">AM7/AL7</f>
        <v>0</v>
      </c>
      <c r="AO7" s="100" t="s">
        <v>49</v>
      </c>
    </row>
    <row r="8" spans="1:41" s="35" customFormat="1" x14ac:dyDescent="0.55000000000000004">
      <c r="A8" s="119" t="s">
        <v>50</v>
      </c>
      <c r="B8" s="142">
        <v>17</v>
      </c>
      <c r="C8" s="142">
        <f>COUNTIFS('Resident Names'!C:C,"Safe Harbor",'Resident Names'!M:M,"&gt;=1")</f>
        <v>0</v>
      </c>
      <c r="D8" s="143">
        <f t="shared" si="0"/>
        <v>0</v>
      </c>
      <c r="E8" s="155">
        <v>18</v>
      </c>
      <c r="F8" s="142">
        <f>COUNTIFS('Resident Names'!C:C,"Safe Harbor",'Resident Names'!N:N,"&gt;=1")</f>
        <v>0</v>
      </c>
      <c r="G8" s="143">
        <f t="shared" si="1"/>
        <v>0</v>
      </c>
      <c r="H8" s="119">
        <v>17</v>
      </c>
      <c r="I8" s="142">
        <f>COUNTIFS('Resident Names'!C:C,"Safe Harbor",'Resident Names'!O:O,"&gt;=1")</f>
        <v>0</v>
      </c>
      <c r="J8" s="143">
        <f t="shared" si="2"/>
        <v>0</v>
      </c>
      <c r="K8" s="119">
        <v>15</v>
      </c>
      <c r="L8" s="142">
        <f>COUNTIFS('Resident Names'!C:C,"Safe Harbor",'Resident Names'!P:P,"&gt;=1")</f>
        <v>0</v>
      </c>
      <c r="M8" s="143">
        <f t="shared" si="3"/>
        <v>0</v>
      </c>
      <c r="N8" s="142">
        <v>16</v>
      </c>
      <c r="O8" s="142">
        <f>COUNTIFS('Resident Names'!C:C,"Safe Harbor",'Resident Names'!Q:Q,"&gt;=1")</f>
        <v>0</v>
      </c>
      <c r="P8" s="143">
        <f t="shared" si="4"/>
        <v>0</v>
      </c>
      <c r="Q8" s="119">
        <v>16</v>
      </c>
      <c r="R8" s="142">
        <f>COUNTIFS('Resident Names'!C:C,"Safe Harbor",'Resident Names'!R:R,"&gt;=1")</f>
        <v>0</v>
      </c>
      <c r="S8" s="143">
        <f t="shared" si="5"/>
        <v>0</v>
      </c>
      <c r="T8" s="119"/>
      <c r="U8" s="142">
        <f>COUNTIFS('Resident Names'!C:C,"Safe Harbor",'Resident Names'!T:T,"&gt;=1")</f>
        <v>0</v>
      </c>
      <c r="V8" s="143" t="e">
        <f t="shared" si="6"/>
        <v>#DIV/0!</v>
      </c>
      <c r="W8" s="119"/>
      <c r="X8" s="142">
        <f>COUNTIFS('Resident Names'!C:C,"Safe Harbor",'Resident Names'!U:U,"&gt;=1")</f>
        <v>0</v>
      </c>
      <c r="Y8" s="143" t="e">
        <f t="shared" si="7"/>
        <v>#DIV/0!</v>
      </c>
      <c r="Z8" s="119"/>
      <c r="AA8" s="142">
        <f>COUNTIFS('Resident Names'!C:C,"Safe Harbor",'Resident Names'!V:V,"&gt;=1")</f>
        <v>0</v>
      </c>
      <c r="AB8" s="143" t="e">
        <f t="shared" si="8"/>
        <v>#DIV/0!</v>
      </c>
      <c r="AC8" s="119"/>
      <c r="AD8" s="142">
        <f>COUNTIFS('Resident Names'!C:C,"Safe Harbor",'Resident Names'!W:W,"&gt;=1")</f>
        <v>0</v>
      </c>
      <c r="AE8" s="143" t="e">
        <f t="shared" si="9"/>
        <v>#DIV/0!</v>
      </c>
      <c r="AF8" s="119"/>
      <c r="AG8" s="142">
        <f>COUNTIFS('Resident Names'!C:C,"Safe Harbor",'Resident Names'!X:X,"&gt;=1")</f>
        <v>0</v>
      </c>
      <c r="AH8" s="143" t="e">
        <f t="shared" si="10"/>
        <v>#DIV/0!</v>
      </c>
      <c r="AI8" s="119"/>
      <c r="AJ8" s="142">
        <f>COUNTIFS('Resident Names'!C:C,"Safe Harbor",'Resident Names'!AL:AL,"&gt;=1")</f>
        <v>0</v>
      </c>
      <c r="AK8" s="143" t="e">
        <f t="shared" si="11"/>
        <v>#DIV/0!</v>
      </c>
      <c r="AL8" s="142">
        <f t="shared" si="12"/>
        <v>99</v>
      </c>
      <c r="AM8" s="142">
        <f t="shared" si="13"/>
        <v>0</v>
      </c>
      <c r="AN8" s="143">
        <f t="shared" si="14"/>
        <v>0</v>
      </c>
      <c r="AO8" s="119" t="s">
        <v>50</v>
      </c>
    </row>
    <row r="9" spans="1:41" x14ac:dyDescent="0.55000000000000004">
      <c r="A9" s="100" t="s">
        <v>51</v>
      </c>
      <c r="B9" s="140">
        <v>21</v>
      </c>
      <c r="C9" s="140">
        <f>COUNTIFS('Resident Names'!C:C,"Starting Point",'Resident Names'!M:M,"&gt;=1")</f>
        <v>0</v>
      </c>
      <c r="D9" s="141">
        <f t="shared" si="0"/>
        <v>0</v>
      </c>
      <c r="E9" s="154">
        <v>20</v>
      </c>
      <c r="F9" s="56">
        <f>COUNTIFS('Resident Names'!C:C,"Starting Point",'Resident Names'!N:N,"&gt;=1")</f>
        <v>0</v>
      </c>
      <c r="G9" s="144">
        <f t="shared" si="1"/>
        <v>0</v>
      </c>
      <c r="H9" s="120">
        <v>23</v>
      </c>
      <c r="I9" s="140">
        <f>COUNTIFS('Resident Names'!C:C,"Starting Point",'Resident Names'!O:O,"&gt;=1")</f>
        <v>0</v>
      </c>
      <c r="J9" s="141">
        <f t="shared" si="2"/>
        <v>0</v>
      </c>
      <c r="K9" s="100">
        <v>24</v>
      </c>
      <c r="L9" s="56">
        <f>COUNTIFS('Resident Names'!C:C,"Starting Point",'Resident Names'!P:P,"&gt;=1")</f>
        <v>0</v>
      </c>
      <c r="M9" s="144">
        <f t="shared" si="3"/>
        <v>0</v>
      </c>
      <c r="N9" s="140">
        <v>25</v>
      </c>
      <c r="O9" s="56">
        <f>COUNTIFS('Resident Names'!C:C,"Starting Point",'Resident Names'!Q:Q,"&gt;=1")</f>
        <v>0</v>
      </c>
      <c r="P9" s="141">
        <f t="shared" si="4"/>
        <v>0</v>
      </c>
      <c r="Q9" s="100">
        <v>28</v>
      </c>
      <c r="R9" s="56">
        <f>COUNTIFS('Resident Names'!C:C,"Starting Point",'Resident Names'!R:R,"&gt;=1")</f>
        <v>0</v>
      </c>
      <c r="S9" s="144">
        <f t="shared" si="5"/>
        <v>0</v>
      </c>
      <c r="T9" s="120"/>
      <c r="U9" s="140">
        <f>COUNTIFS('Resident Names'!C:C,"Starting Point",'Resident Names'!T:T,"&gt;=1")</f>
        <v>0</v>
      </c>
      <c r="V9" s="141" t="e">
        <f t="shared" si="6"/>
        <v>#DIV/0!</v>
      </c>
      <c r="W9" s="100"/>
      <c r="X9" s="56">
        <f>COUNTIFS('Resident Names'!C:C,"Starting Point",'Resident Names'!U:U,"&gt;=1")</f>
        <v>0</v>
      </c>
      <c r="Y9" s="144" t="e">
        <f t="shared" si="7"/>
        <v>#DIV/0!</v>
      </c>
      <c r="Z9" s="120"/>
      <c r="AA9" s="140">
        <f>COUNTIFS('Resident Names'!C:C,"Starting Point",'Resident Names'!V:V,"&gt;=1")</f>
        <v>0</v>
      </c>
      <c r="AB9" s="141" t="e">
        <f t="shared" si="8"/>
        <v>#DIV/0!</v>
      </c>
      <c r="AC9" s="100"/>
      <c r="AD9" s="56">
        <f>COUNTIFS('Resident Names'!C:C,"Starting Point",'Resident Names'!W:W,"&gt;=1")</f>
        <v>0</v>
      </c>
      <c r="AE9" s="144" t="e">
        <f t="shared" si="9"/>
        <v>#DIV/0!</v>
      </c>
      <c r="AF9" s="120"/>
      <c r="AG9" s="140">
        <f>COUNTIFS('Resident Names'!C:C,"Starting Point",'Resident Names'!X:X,"&gt;=1")</f>
        <v>0</v>
      </c>
      <c r="AH9" s="141" t="e">
        <f t="shared" si="10"/>
        <v>#DIV/0!</v>
      </c>
      <c r="AI9" s="100"/>
      <c r="AJ9" s="56">
        <f>COUNTIFS('Resident Names'!C:C,"Starting Point",'Resident Names'!AL:AL,"&gt;=1")</f>
        <v>0</v>
      </c>
      <c r="AK9" s="144" t="e">
        <f t="shared" si="11"/>
        <v>#DIV/0!</v>
      </c>
      <c r="AL9" s="140">
        <f t="shared" si="12"/>
        <v>141</v>
      </c>
      <c r="AM9" s="140">
        <f t="shared" si="13"/>
        <v>0</v>
      </c>
      <c r="AN9" s="141">
        <f t="shared" si="14"/>
        <v>0</v>
      </c>
      <c r="AO9" s="100" t="s">
        <v>51</v>
      </c>
    </row>
    <row r="10" spans="1:41" s="35" customFormat="1" x14ac:dyDescent="0.55000000000000004">
      <c r="A10" s="119" t="s">
        <v>60</v>
      </c>
      <c r="B10" s="142">
        <v>13</v>
      </c>
      <c r="C10" s="142">
        <f>COUNTIFS('Resident Names'!C:C,"Transformations 1",'Resident Names'!M:M,"&gt;=1")</f>
        <v>0</v>
      </c>
      <c r="D10" s="143">
        <f t="shared" si="0"/>
        <v>0</v>
      </c>
      <c r="E10" s="155">
        <v>18</v>
      </c>
      <c r="F10" s="142">
        <f>COUNTIFS('Resident Names'!C:C,"Transformations 1",'Resident Names'!N:N,"&gt;=1")</f>
        <v>0</v>
      </c>
      <c r="G10" s="143">
        <f t="shared" si="1"/>
        <v>0</v>
      </c>
      <c r="H10" s="119">
        <v>17</v>
      </c>
      <c r="I10" s="142">
        <f>COUNTIFS('Resident Names'!C:C,"Transformations 1",'Resident Names'!O:O,"&gt;=1")</f>
        <v>0</v>
      </c>
      <c r="J10" s="143">
        <f t="shared" si="2"/>
        <v>0</v>
      </c>
      <c r="K10" s="119">
        <v>19</v>
      </c>
      <c r="L10" s="142">
        <f>COUNTIFS('Resident Names'!C:C,"Transformations 1",'Resident Names'!P:P,"&gt;=1")</f>
        <v>0</v>
      </c>
      <c r="M10" s="143">
        <f t="shared" si="3"/>
        <v>0</v>
      </c>
      <c r="N10" s="142">
        <v>17</v>
      </c>
      <c r="O10" s="142">
        <f>COUNTIFS('Resident Names'!C:C,"Transformations 1",'Resident Names'!Q:Q,"&gt;=1")</f>
        <v>0</v>
      </c>
      <c r="P10" s="143">
        <f t="shared" si="4"/>
        <v>0</v>
      </c>
      <c r="Q10" s="119">
        <v>21</v>
      </c>
      <c r="R10" s="142">
        <f>COUNTIFS('Resident Names'!C:C,"Transformations 1",'Resident Names'!R:R,"&gt;=1")</f>
        <v>0</v>
      </c>
      <c r="S10" s="143">
        <f t="shared" si="5"/>
        <v>0</v>
      </c>
      <c r="T10" s="119"/>
      <c r="U10" s="142">
        <f>COUNTIFS('Resident Names'!C:C,"Transformations 1",'Resident Names'!T:T,"&gt;=1")</f>
        <v>0</v>
      </c>
      <c r="V10" s="143" t="e">
        <f t="shared" si="6"/>
        <v>#DIV/0!</v>
      </c>
      <c r="W10" s="119"/>
      <c r="X10" s="142">
        <f>COUNTIFS('Resident Names'!C:C,"Transformations 1",'Resident Names'!U:U,"&gt;=1")</f>
        <v>0</v>
      </c>
      <c r="Y10" s="143" t="e">
        <f t="shared" si="7"/>
        <v>#DIV/0!</v>
      </c>
      <c r="Z10" s="119"/>
      <c r="AA10" s="142">
        <f>COUNTIFS('Resident Names'!C:C,"Transformations 1",'Resident Names'!V:V,"&gt;=1")</f>
        <v>0</v>
      </c>
      <c r="AB10" s="143" t="e">
        <f t="shared" si="8"/>
        <v>#DIV/0!</v>
      </c>
      <c r="AC10" s="119"/>
      <c r="AD10" s="142">
        <f>COUNTIFS('Resident Names'!C:C,"Transformations 1",'Resident Names'!W:W,"&gt;=1")</f>
        <v>0</v>
      </c>
      <c r="AE10" s="143" t="e">
        <f t="shared" si="9"/>
        <v>#DIV/0!</v>
      </c>
      <c r="AF10" s="119"/>
      <c r="AG10" s="142">
        <f>COUNTIFS('Resident Names'!C:C,"Transformations 1",'Resident Names'!X:X,"&gt;=1")</f>
        <v>0</v>
      </c>
      <c r="AH10" s="143" t="e">
        <f t="shared" si="10"/>
        <v>#DIV/0!</v>
      </c>
      <c r="AI10" s="119"/>
      <c r="AJ10" s="142">
        <f>COUNTIFS('Resident Names'!C:C,"Transformations 1",'Resident Names'!AL:AL,"&gt;=1")</f>
        <v>0</v>
      </c>
      <c r="AK10" s="143" t="e">
        <f t="shared" si="11"/>
        <v>#DIV/0!</v>
      </c>
      <c r="AL10" s="142">
        <f t="shared" si="12"/>
        <v>105</v>
      </c>
      <c r="AM10" s="142">
        <f t="shared" si="13"/>
        <v>0</v>
      </c>
      <c r="AN10" s="143">
        <f t="shared" si="14"/>
        <v>0</v>
      </c>
      <c r="AO10" s="119" t="s">
        <v>60</v>
      </c>
    </row>
    <row r="11" spans="1:41" x14ac:dyDescent="0.55000000000000004">
      <c r="A11" s="100" t="s">
        <v>61</v>
      </c>
      <c r="B11" s="140">
        <v>10</v>
      </c>
      <c r="C11" s="140">
        <f>COUNTIFS('Resident Names'!C:C,"Transformations 2",'Resident Names'!M:M,"&gt;=1")</f>
        <v>0</v>
      </c>
      <c r="D11" s="141">
        <f t="shared" si="0"/>
        <v>0</v>
      </c>
      <c r="E11" s="154">
        <v>10</v>
      </c>
      <c r="F11" s="56">
        <f>COUNTIFS('Resident Names'!C:C,"Transformations 2",'Resident Names'!N:N,"&gt;=1")</f>
        <v>0</v>
      </c>
      <c r="G11" s="144">
        <f t="shared" si="1"/>
        <v>0</v>
      </c>
      <c r="H11" s="120">
        <v>10</v>
      </c>
      <c r="I11" s="140">
        <f>COUNTIFS('Resident Names'!C:C,"Transformations 2",'Resident Names'!O:O,"&gt;=1")</f>
        <v>0</v>
      </c>
      <c r="J11" s="141">
        <f t="shared" si="2"/>
        <v>0</v>
      </c>
      <c r="K11" s="100">
        <v>9</v>
      </c>
      <c r="L11" s="56">
        <f>COUNTIFS('Resident Names'!C:C,"Transformations 2",'Resident Names'!P:P,"&gt;=1")</f>
        <v>0</v>
      </c>
      <c r="M11" s="144">
        <f t="shared" si="3"/>
        <v>0</v>
      </c>
      <c r="N11" s="140">
        <v>10</v>
      </c>
      <c r="O11" s="56">
        <f>COUNTIFS('Resident Names'!C:C,"Transformations 2",'Resident Names'!Q:Q,"&gt;=1")</f>
        <v>0</v>
      </c>
      <c r="P11" s="141">
        <f t="shared" si="4"/>
        <v>0</v>
      </c>
      <c r="Q11" s="100">
        <v>9</v>
      </c>
      <c r="R11" s="56">
        <f>COUNTIFS('Resident Names'!C:C,"Transformations 2",'Resident Names'!R:R,"&gt;=1")</f>
        <v>0</v>
      </c>
      <c r="S11" s="144">
        <f t="shared" si="5"/>
        <v>0</v>
      </c>
      <c r="T11" s="120"/>
      <c r="U11" s="140">
        <f>COUNTIFS('Resident Names'!C:C,"Transformations 2",'Resident Names'!T:T,"&gt;=1")</f>
        <v>0</v>
      </c>
      <c r="V11" s="141" t="e">
        <f t="shared" si="6"/>
        <v>#DIV/0!</v>
      </c>
      <c r="W11" s="100"/>
      <c r="X11" s="56">
        <f>COUNTIFS('Resident Names'!C:C,"Transformations 2",'Resident Names'!U:U,"&gt;=1")</f>
        <v>0</v>
      </c>
      <c r="Y11" s="144" t="e">
        <f t="shared" si="7"/>
        <v>#DIV/0!</v>
      </c>
      <c r="Z11" s="120"/>
      <c r="AA11" s="140">
        <f>COUNTIFS('Resident Names'!C:C,"Transformations 2",'Resident Names'!V:V,"&gt;=1")</f>
        <v>0</v>
      </c>
      <c r="AB11" s="141" t="e">
        <f t="shared" si="8"/>
        <v>#DIV/0!</v>
      </c>
      <c r="AC11" s="100"/>
      <c r="AD11" s="56">
        <f>COUNTIFS('Resident Names'!C:C,"Transformations 2",'Resident Names'!W:W,"&gt;=1")</f>
        <v>0</v>
      </c>
      <c r="AE11" s="144" t="e">
        <f t="shared" si="9"/>
        <v>#DIV/0!</v>
      </c>
      <c r="AF11" s="120"/>
      <c r="AG11" s="140">
        <f>COUNTIFS('Resident Names'!C:C,"Transformations 2",'Resident Names'!X:X,"&gt;=1")</f>
        <v>0</v>
      </c>
      <c r="AH11" s="141" t="e">
        <f t="shared" si="10"/>
        <v>#DIV/0!</v>
      </c>
      <c r="AI11" s="100"/>
      <c r="AJ11" s="56">
        <f>COUNTIFS('Resident Names'!C:C,"Transformations 2",'Resident Names'!AL:AL,"&gt;=1")</f>
        <v>0</v>
      </c>
      <c r="AK11" s="144" t="e">
        <f t="shared" si="11"/>
        <v>#DIV/0!</v>
      </c>
      <c r="AL11" s="140">
        <f t="shared" si="12"/>
        <v>58</v>
      </c>
      <c r="AM11" s="140">
        <f t="shared" si="13"/>
        <v>0</v>
      </c>
      <c r="AN11" s="141">
        <f t="shared" si="14"/>
        <v>0</v>
      </c>
      <c r="AO11" s="100" t="s">
        <v>61</v>
      </c>
    </row>
    <row r="12" spans="1:41" s="35" customFormat="1" x14ac:dyDescent="0.55000000000000004">
      <c r="A12" s="119" t="s">
        <v>62</v>
      </c>
      <c r="B12" s="142">
        <v>29</v>
      </c>
      <c r="C12" s="142">
        <f>COUNTIFS('Resident Names'!C:C,"Triad",'Resident Names'!M:M,"&gt;=1")</f>
        <v>0</v>
      </c>
      <c r="D12" s="143">
        <f t="shared" si="0"/>
        <v>0</v>
      </c>
      <c r="E12" s="155">
        <v>27</v>
      </c>
      <c r="F12" s="142">
        <f>COUNTIFS('Resident Names'!C:C,"Triad",'Resident Names'!N:N,"&gt;=1")</f>
        <v>0</v>
      </c>
      <c r="G12" s="143">
        <f t="shared" si="1"/>
        <v>0</v>
      </c>
      <c r="H12" s="119">
        <v>25</v>
      </c>
      <c r="I12" s="142">
        <f>COUNTIFS('Resident Names'!C:C,"Triad",'Resident Names'!O:O,"&gt;=1")</f>
        <v>0</v>
      </c>
      <c r="J12" s="143">
        <f t="shared" si="2"/>
        <v>0</v>
      </c>
      <c r="K12" s="119">
        <v>22</v>
      </c>
      <c r="L12" s="142">
        <f>COUNTIFS('Resident Names'!C:C,"Triad",'Resident Names'!P:P,"&gt;=1")</f>
        <v>0</v>
      </c>
      <c r="M12" s="143">
        <f t="shared" si="3"/>
        <v>0</v>
      </c>
      <c r="N12" s="142">
        <v>22</v>
      </c>
      <c r="O12" s="142">
        <f>COUNTIFS('Resident Names'!C:C,"Triad",'Resident Names'!Q:Q,"&gt;=1")</f>
        <v>0</v>
      </c>
      <c r="P12" s="143">
        <f t="shared" si="4"/>
        <v>0</v>
      </c>
      <c r="Q12" s="119">
        <v>22</v>
      </c>
      <c r="R12" s="142">
        <f>COUNTIFS('Resident Names'!C:C,"Triad",'Resident Names'!R:R,"&gt;=1")</f>
        <v>0</v>
      </c>
      <c r="S12" s="143">
        <f t="shared" si="5"/>
        <v>0</v>
      </c>
      <c r="T12" s="119"/>
      <c r="U12" s="142">
        <f>COUNTIFS('Resident Names'!C:C,"Triad",'Resident Names'!T:T,"&gt;=1")</f>
        <v>0</v>
      </c>
      <c r="V12" s="143" t="e">
        <f t="shared" si="6"/>
        <v>#DIV/0!</v>
      </c>
      <c r="W12" s="119"/>
      <c r="X12" s="142">
        <f>COUNTIFS('Resident Names'!C:C,"Triad",'Resident Names'!U:U,"&gt;=1")</f>
        <v>0</v>
      </c>
      <c r="Y12" s="143" t="e">
        <f t="shared" si="7"/>
        <v>#DIV/0!</v>
      </c>
      <c r="Z12" s="119"/>
      <c r="AA12" s="142">
        <f>COUNTIFS('Resident Names'!C:C,"Triad",'Resident Names'!V:V,"&gt;=1")</f>
        <v>0</v>
      </c>
      <c r="AB12" s="143" t="e">
        <f t="shared" si="8"/>
        <v>#DIV/0!</v>
      </c>
      <c r="AC12" s="119"/>
      <c r="AD12" s="142">
        <f>COUNTIFS('Resident Names'!C:C,"Triad",'Resident Names'!W:W,"&gt;=1")</f>
        <v>0</v>
      </c>
      <c r="AE12" s="143" t="e">
        <f t="shared" si="9"/>
        <v>#DIV/0!</v>
      </c>
      <c r="AF12" s="119"/>
      <c r="AG12" s="142">
        <f>COUNTIFS('Resident Names'!C:C,"Triad",'Resident Names'!X:X,"&gt;=1")</f>
        <v>0</v>
      </c>
      <c r="AH12" s="143" t="e">
        <f t="shared" si="10"/>
        <v>#DIV/0!</v>
      </c>
      <c r="AI12" s="119"/>
      <c r="AJ12" s="142">
        <f>COUNTIFS('Resident Names'!C:C,"Triad",'Resident Names'!AL:AL,"&gt;=1")</f>
        <v>0</v>
      </c>
      <c r="AK12" s="143" t="e">
        <f t="shared" si="11"/>
        <v>#DIV/0!</v>
      </c>
      <c r="AL12" s="142">
        <f t="shared" si="12"/>
        <v>147</v>
      </c>
      <c r="AM12" s="142">
        <f t="shared" si="13"/>
        <v>0</v>
      </c>
      <c r="AN12" s="143">
        <f t="shared" si="14"/>
        <v>0</v>
      </c>
      <c r="AO12" s="119" t="s">
        <v>62</v>
      </c>
    </row>
    <row r="13" spans="1:41" x14ac:dyDescent="0.55000000000000004">
      <c r="A13" s="100" t="s">
        <v>64</v>
      </c>
      <c r="B13" s="140">
        <v>9</v>
      </c>
      <c r="C13" s="140">
        <f>COUNTIFS('Resident Names'!C:C,"Turning Point",'Resident Names'!M:M,"&gt;=1")</f>
        <v>0</v>
      </c>
      <c r="D13" s="141">
        <f t="shared" si="0"/>
        <v>0</v>
      </c>
      <c r="E13" s="154">
        <v>9</v>
      </c>
      <c r="F13" s="56">
        <f>COUNTIFS('Resident Names'!C:C,"Turning Point",'Resident Names'!N:N,"&gt;=1")</f>
        <v>0</v>
      </c>
      <c r="G13" s="144">
        <f t="shared" si="1"/>
        <v>0</v>
      </c>
      <c r="H13" s="120">
        <v>14</v>
      </c>
      <c r="I13" s="140">
        <f>COUNTIFS('Resident Names'!C:C,"Turning Point",'Resident Names'!O:O,"&gt;=1")</f>
        <v>0</v>
      </c>
      <c r="J13" s="141">
        <f t="shared" si="2"/>
        <v>0</v>
      </c>
      <c r="K13" s="100">
        <v>14</v>
      </c>
      <c r="L13" s="56">
        <f>COUNTIFS('Resident Names'!C:C,"Turning Point",'Resident Names'!P:P,"&gt;=1")</f>
        <v>0</v>
      </c>
      <c r="M13" s="144">
        <f t="shared" si="3"/>
        <v>0</v>
      </c>
      <c r="N13" s="140">
        <v>13</v>
      </c>
      <c r="O13" s="56">
        <f>COUNTIFS('Resident Names'!C:C,"Turning Point",'Resident Names'!Q:Q,"&gt;=1")</f>
        <v>0</v>
      </c>
      <c r="P13" s="141">
        <f t="shared" si="4"/>
        <v>0</v>
      </c>
      <c r="Q13" s="100">
        <v>9</v>
      </c>
      <c r="R13" s="56">
        <f>COUNTIFS('Resident Names'!C:C,"Turning Point",'Resident Names'!R:R,"&gt;=1")</f>
        <v>0</v>
      </c>
      <c r="S13" s="144">
        <f t="shared" si="5"/>
        <v>0</v>
      </c>
      <c r="T13" s="120"/>
      <c r="U13" s="140">
        <f>COUNTIFS('Resident Names'!C:C,"Turning Point",'Resident Names'!T:T,"&gt;=1")</f>
        <v>0</v>
      </c>
      <c r="V13" s="141" t="e">
        <f t="shared" si="6"/>
        <v>#DIV/0!</v>
      </c>
      <c r="W13" s="100"/>
      <c r="X13" s="56">
        <f>COUNTIFS('Resident Names'!C:C,"Turning Point",'Resident Names'!U:U,"&gt;=1")</f>
        <v>0</v>
      </c>
      <c r="Y13" s="144" t="e">
        <f t="shared" si="7"/>
        <v>#DIV/0!</v>
      </c>
      <c r="Z13" s="120"/>
      <c r="AA13" s="140">
        <f>COUNTIFS('Resident Names'!C:C,"Turning Point",'Resident Names'!V:V,"&gt;=1")</f>
        <v>0</v>
      </c>
      <c r="AB13" s="141" t="e">
        <f t="shared" si="8"/>
        <v>#DIV/0!</v>
      </c>
      <c r="AC13" s="100"/>
      <c r="AD13" s="56">
        <f>COUNTIFS('Resident Names'!C:C,"Turning Point",'Resident Names'!W:W,"&gt;=1")</f>
        <v>0</v>
      </c>
      <c r="AE13" s="144" t="e">
        <f t="shared" si="9"/>
        <v>#DIV/0!</v>
      </c>
      <c r="AF13" s="120"/>
      <c r="AG13" s="140">
        <f>COUNTIFS('Resident Names'!C:C,"Turning Point",'Resident Names'!X:X,"&gt;=1")</f>
        <v>0</v>
      </c>
      <c r="AH13" s="141" t="e">
        <f t="shared" si="10"/>
        <v>#DIV/0!</v>
      </c>
      <c r="AI13" s="100"/>
      <c r="AJ13" s="56">
        <f>COUNTIFS('Resident Names'!C:C,"Turning Point",'Resident Names'!AL:AL,"&gt;=1")</f>
        <v>0</v>
      </c>
      <c r="AK13" s="144" t="e">
        <f t="shared" si="11"/>
        <v>#DIV/0!</v>
      </c>
      <c r="AL13" s="140">
        <f t="shared" si="12"/>
        <v>68</v>
      </c>
      <c r="AM13" s="140">
        <f t="shared" si="13"/>
        <v>0</v>
      </c>
      <c r="AN13" s="141">
        <f t="shared" si="14"/>
        <v>0</v>
      </c>
      <c r="AO13" s="100" t="s">
        <v>64</v>
      </c>
    </row>
    <row r="14" spans="1:41" s="35" customFormat="1" x14ac:dyDescent="0.55000000000000004">
      <c r="A14" s="119" t="s">
        <v>63</v>
      </c>
      <c r="B14" s="142">
        <v>16</v>
      </c>
      <c r="C14" s="142">
        <f>COUNTIFS('Resident Names'!C:C,"Waypoint",'Resident Names'!M:M,"&gt;=1")</f>
        <v>0</v>
      </c>
      <c r="D14" s="143">
        <f t="shared" si="0"/>
        <v>0</v>
      </c>
      <c r="E14" s="155">
        <v>16</v>
      </c>
      <c r="F14" s="142">
        <f>COUNTIFS('Resident Names'!C:C,"Waypoint",'Resident Names'!N:N,"&gt;=1")</f>
        <v>0</v>
      </c>
      <c r="G14" s="143">
        <f t="shared" si="1"/>
        <v>0</v>
      </c>
      <c r="H14" s="119">
        <v>16</v>
      </c>
      <c r="I14" s="142">
        <f>COUNTIFS('Resident Names'!C:C,"Waypoint",'Resident Names'!O:O,"&gt;=1")</f>
        <v>0</v>
      </c>
      <c r="J14" s="143">
        <f t="shared" si="2"/>
        <v>0</v>
      </c>
      <c r="K14" s="119">
        <v>14</v>
      </c>
      <c r="L14" s="142">
        <f>COUNTIFS('Resident Names'!C:C,"Waypoint",'Resident Names'!P:P,"&gt;=1")</f>
        <v>0</v>
      </c>
      <c r="M14" s="143">
        <f t="shared" si="3"/>
        <v>0</v>
      </c>
      <c r="N14" s="142">
        <v>16</v>
      </c>
      <c r="O14" s="142">
        <f>COUNTIFS('Resident Names'!C:C,"Waypoint",'Resident Names'!Q:Q,"&gt;=1")</f>
        <v>0</v>
      </c>
      <c r="P14" s="143">
        <f t="shared" si="4"/>
        <v>0</v>
      </c>
      <c r="Q14" s="119">
        <v>18</v>
      </c>
      <c r="R14" s="142">
        <f>COUNTIFS('Resident Names'!C:C,"Waypoint",'Resident Names'!R:R,"&gt;=1")</f>
        <v>0</v>
      </c>
      <c r="S14" s="143">
        <f t="shared" si="5"/>
        <v>0</v>
      </c>
      <c r="T14" s="119"/>
      <c r="U14" s="142">
        <f>COUNTIFS('Resident Names'!C:C,"Waypoint",'Resident Names'!T:T,"&gt;=1")</f>
        <v>0</v>
      </c>
      <c r="V14" s="143" t="e">
        <f t="shared" si="6"/>
        <v>#DIV/0!</v>
      </c>
      <c r="W14" s="119"/>
      <c r="X14" s="142">
        <f>COUNTIFS('Resident Names'!C:C,"Waypoint",'Resident Names'!U:U,"&gt;=1")</f>
        <v>0</v>
      </c>
      <c r="Y14" s="143" t="e">
        <f t="shared" si="7"/>
        <v>#DIV/0!</v>
      </c>
      <c r="Z14" s="119"/>
      <c r="AA14" s="142">
        <f>COUNTIFS('Resident Names'!C:C,"Waypoint",'Resident Names'!V:V,"&gt;=1")</f>
        <v>0</v>
      </c>
      <c r="AB14" s="143" t="e">
        <f t="shared" si="8"/>
        <v>#DIV/0!</v>
      </c>
      <c r="AC14" s="119"/>
      <c r="AD14" s="142">
        <f>COUNTIFS('Resident Names'!C:C,"Waypoint",'Resident Names'!W:W,"&gt;=1")</f>
        <v>0</v>
      </c>
      <c r="AE14" s="143" t="e">
        <f t="shared" si="9"/>
        <v>#DIV/0!</v>
      </c>
      <c r="AF14" s="119"/>
      <c r="AG14" s="142">
        <f>COUNTIFS('Resident Names'!C:C,"Waypoint",'Resident Names'!X:X,"&gt;=1")</f>
        <v>0</v>
      </c>
      <c r="AH14" s="143" t="e">
        <f t="shared" si="10"/>
        <v>#DIV/0!</v>
      </c>
      <c r="AI14" s="119"/>
      <c r="AJ14" s="142">
        <f>COUNTIFS('Resident Names'!C:C,"Waypoint",'Resident Names'!AL:AL,"&gt;=1")</f>
        <v>0</v>
      </c>
      <c r="AK14" s="143" t="e">
        <f t="shared" si="11"/>
        <v>#DIV/0!</v>
      </c>
      <c r="AL14" s="142">
        <f t="shared" si="12"/>
        <v>96</v>
      </c>
      <c r="AM14" s="142">
        <f t="shared" si="13"/>
        <v>0</v>
      </c>
      <c r="AN14" s="143">
        <f t="shared" si="14"/>
        <v>0</v>
      </c>
      <c r="AO14" s="119" t="s">
        <v>63</v>
      </c>
    </row>
    <row r="15" spans="1:41" s="19" customFormat="1" x14ac:dyDescent="0.55000000000000004">
      <c r="A15" s="176" t="s">
        <v>336</v>
      </c>
      <c r="B15" s="177">
        <v>132</v>
      </c>
      <c r="C15" s="177">
        <f>SUM(C7:C14)</f>
        <v>0</v>
      </c>
      <c r="D15" s="178">
        <f t="shared" si="0"/>
        <v>0</v>
      </c>
      <c r="E15" s="179">
        <v>135</v>
      </c>
      <c r="F15" s="180">
        <f>SUM(F7:F14)</f>
        <v>0</v>
      </c>
      <c r="G15" s="181">
        <f t="shared" si="1"/>
        <v>0</v>
      </c>
      <c r="H15" s="182">
        <f>SUM(H7:H14)</f>
        <v>140</v>
      </c>
      <c r="I15" s="177">
        <f>SUM(I7:I14)</f>
        <v>0</v>
      </c>
      <c r="J15" s="178">
        <f t="shared" si="2"/>
        <v>0</v>
      </c>
      <c r="K15" s="176">
        <v>135</v>
      </c>
      <c r="L15" s="180">
        <f>SUM(L7:L14)</f>
        <v>0</v>
      </c>
      <c r="M15" s="181">
        <f t="shared" si="3"/>
        <v>0</v>
      </c>
      <c r="N15" s="177">
        <v>136</v>
      </c>
      <c r="O15" s="180">
        <f>SUM(O7:O14)</f>
        <v>0</v>
      </c>
      <c r="P15" s="178">
        <f t="shared" si="4"/>
        <v>0</v>
      </c>
      <c r="Q15" s="176">
        <v>139</v>
      </c>
      <c r="R15" s="180">
        <f>SUM(R7:R14)</f>
        <v>0</v>
      </c>
      <c r="S15" s="181">
        <f t="shared" si="5"/>
        <v>0</v>
      </c>
      <c r="T15" s="182"/>
      <c r="U15" s="177">
        <f>SUM(U7:U14)</f>
        <v>0</v>
      </c>
      <c r="V15" s="178" t="e">
        <f t="shared" si="6"/>
        <v>#DIV/0!</v>
      </c>
      <c r="W15" s="176"/>
      <c r="X15" s="180">
        <f>SUM(X7:X14)</f>
        <v>0</v>
      </c>
      <c r="Y15" s="181" t="e">
        <f t="shared" si="7"/>
        <v>#DIV/0!</v>
      </c>
      <c r="Z15" s="182"/>
      <c r="AA15" s="177">
        <f>SUM(AA7:AA14)</f>
        <v>0</v>
      </c>
      <c r="AB15" s="178" t="e">
        <f t="shared" si="8"/>
        <v>#DIV/0!</v>
      </c>
      <c r="AC15" s="176"/>
      <c r="AD15" s="180">
        <f>SUM(AD7:AD14)</f>
        <v>0</v>
      </c>
      <c r="AE15" s="181" t="e">
        <f t="shared" si="9"/>
        <v>#DIV/0!</v>
      </c>
      <c r="AF15" s="182"/>
      <c r="AG15" s="177">
        <f>SUM(AG7:AG14)</f>
        <v>0</v>
      </c>
      <c r="AH15" s="178" t="e">
        <f t="shared" si="10"/>
        <v>#DIV/0!</v>
      </c>
      <c r="AI15" s="176"/>
      <c r="AJ15" s="180">
        <f>SUM(AJ7:AJ14)</f>
        <v>0</v>
      </c>
      <c r="AK15" s="181" t="e">
        <f t="shared" si="11"/>
        <v>#DIV/0!</v>
      </c>
      <c r="AL15" s="177">
        <f t="shared" si="12"/>
        <v>817</v>
      </c>
      <c r="AM15" s="177">
        <f t="shared" si="13"/>
        <v>0</v>
      </c>
      <c r="AN15" s="178">
        <f t="shared" si="14"/>
        <v>0</v>
      </c>
      <c r="AO15" s="176" t="s">
        <v>378</v>
      </c>
    </row>
    <row r="16" spans="1:41" x14ac:dyDescent="0.55000000000000004">
      <c r="A16" s="223" t="s">
        <v>353</v>
      </c>
      <c r="U16" t="s">
        <v>69</v>
      </c>
      <c r="X16" t="s">
        <v>69</v>
      </c>
      <c r="AA16" t="s">
        <v>69</v>
      </c>
      <c r="AD16" t="s">
        <v>69</v>
      </c>
      <c r="AG16" t="s">
        <v>69</v>
      </c>
      <c r="AJ16" t="s">
        <v>69</v>
      </c>
      <c r="AL16" t="s">
        <v>334</v>
      </c>
    </row>
    <row r="17" spans="1:15" x14ac:dyDescent="0.55000000000000004">
      <c r="B17" t="s">
        <v>94</v>
      </c>
      <c r="C17" t="s">
        <v>95</v>
      </c>
      <c r="D17" t="s">
        <v>96</v>
      </c>
      <c r="E17" t="s">
        <v>97</v>
      </c>
      <c r="F17" t="s">
        <v>93</v>
      </c>
      <c r="G17" t="s">
        <v>98</v>
      </c>
      <c r="H17" t="s">
        <v>99</v>
      </c>
      <c r="I17" t="s">
        <v>100</v>
      </c>
      <c r="J17" t="s">
        <v>101</v>
      </c>
      <c r="K17" t="s">
        <v>102</v>
      </c>
      <c r="L17" t="s">
        <v>103</v>
      </c>
      <c r="M17" t="s">
        <v>104</v>
      </c>
    </row>
    <row r="18" spans="1:15" s="188" customFormat="1" ht="40.5" customHeight="1" x14ac:dyDescent="0.55000000000000004">
      <c r="A18" s="186" t="s">
        <v>315</v>
      </c>
      <c r="B18" s="187">
        <f>D15</f>
        <v>0</v>
      </c>
      <c r="C18" s="187">
        <f>G15</f>
        <v>0</v>
      </c>
      <c r="D18" s="187">
        <f>J15</f>
        <v>0</v>
      </c>
      <c r="E18" s="187">
        <f>M15</f>
        <v>0</v>
      </c>
      <c r="F18" s="187">
        <f>P15</f>
        <v>0</v>
      </c>
      <c r="G18" s="187">
        <f>S15</f>
        <v>0</v>
      </c>
    </row>
    <row r="19" spans="1:15" s="188" customFormat="1" ht="40.5" customHeight="1" x14ac:dyDescent="0.55000000000000004">
      <c r="A19" s="186"/>
      <c r="B19" s="187"/>
      <c r="C19" s="187"/>
      <c r="D19" s="187"/>
      <c r="E19" s="187"/>
      <c r="F19" s="187"/>
      <c r="O19" s="100"/>
    </row>
    <row r="20" spans="1:15" s="188" customFormat="1" ht="40.5" customHeight="1" x14ac:dyDescent="0.55000000000000004">
      <c r="A20" s="186"/>
      <c r="B20" s="187"/>
      <c r="C20" s="187"/>
      <c r="D20" s="187"/>
      <c r="E20" s="187"/>
      <c r="F20" s="187"/>
    </row>
    <row r="21" spans="1:15" s="188" customFormat="1" ht="40.5" customHeight="1" x14ac:dyDescent="0.55000000000000004">
      <c r="A21" s="186"/>
      <c r="B21" s="187"/>
      <c r="C21" s="187"/>
      <c r="D21" s="187"/>
      <c r="E21" s="187"/>
      <c r="F21" s="187"/>
    </row>
    <row r="22" spans="1:15" s="188" customFormat="1" ht="40.5" customHeight="1" x14ac:dyDescent="0.55000000000000004">
      <c r="A22" s="186"/>
      <c r="B22" s="187"/>
      <c r="C22" s="187"/>
      <c r="D22" s="187"/>
      <c r="E22" s="187"/>
      <c r="F22" s="187"/>
    </row>
    <row r="23" spans="1:15" s="188" customFormat="1" ht="40.5" customHeight="1" x14ac:dyDescent="0.55000000000000004">
      <c r="A23" s="186"/>
      <c r="B23" s="187"/>
      <c r="C23" s="187"/>
      <c r="D23" s="187"/>
      <c r="E23" s="187"/>
      <c r="F23" s="187"/>
    </row>
    <row r="24" spans="1:15" s="188" customFormat="1" ht="40.5" customHeight="1" x14ac:dyDescent="0.55000000000000004">
      <c r="A24" s="186"/>
      <c r="B24" s="187"/>
      <c r="C24" s="187"/>
      <c r="D24" s="187"/>
      <c r="E24" s="187"/>
      <c r="F24" s="187"/>
    </row>
    <row r="25" spans="1:15" s="188" customFormat="1" ht="40.5" customHeight="1" x14ac:dyDescent="0.55000000000000004">
      <c r="A25" s="186" t="s">
        <v>399</v>
      </c>
      <c r="B25" s="187" t="s">
        <v>94</v>
      </c>
      <c r="C25" s="187" t="s">
        <v>95</v>
      </c>
      <c r="D25" s="187" t="s">
        <v>96</v>
      </c>
      <c r="E25" s="187" t="s">
        <v>97</v>
      </c>
      <c r="F25" s="187" t="s">
        <v>93</v>
      </c>
      <c r="G25" s="188" t="s">
        <v>98</v>
      </c>
      <c r="H25" s="188" t="s">
        <v>99</v>
      </c>
      <c r="I25" s="188" t="s">
        <v>100</v>
      </c>
      <c r="J25" s="188" t="s">
        <v>101</v>
      </c>
      <c r="K25" s="188" t="s">
        <v>102</v>
      </c>
      <c r="L25" s="188" t="s">
        <v>103</v>
      </c>
      <c r="M25" s="188" t="s">
        <v>104</v>
      </c>
      <c r="N25" s="188" t="s">
        <v>340</v>
      </c>
    </row>
    <row r="26" spans="1:15" s="188" customFormat="1" ht="20.25" customHeight="1" x14ac:dyDescent="0.55000000000000004">
      <c r="A26" s="100" t="s">
        <v>49</v>
      </c>
      <c r="B26" s="187">
        <f>D7</f>
        <v>0</v>
      </c>
      <c r="C26" s="187">
        <f>G7</f>
        <v>0</v>
      </c>
      <c r="D26" s="187">
        <f>J7</f>
        <v>0</v>
      </c>
      <c r="E26" s="187">
        <f>M7</f>
        <v>0</v>
      </c>
      <c r="F26" s="187">
        <f>P7</f>
        <v>0</v>
      </c>
      <c r="G26" s="187">
        <f>S7</f>
        <v>0</v>
      </c>
      <c r="H26" s="187" t="e">
        <f>V7</f>
        <v>#DIV/0!</v>
      </c>
      <c r="I26" s="187" t="e">
        <f>Y7</f>
        <v>#DIV/0!</v>
      </c>
      <c r="J26" s="187" t="e">
        <f>AB7</f>
        <v>#DIV/0!</v>
      </c>
      <c r="K26" s="187" t="e">
        <f>AE7</f>
        <v>#DIV/0!</v>
      </c>
      <c r="L26" s="187" t="e">
        <f>AH7</f>
        <v>#DIV/0!</v>
      </c>
      <c r="M26" s="187" t="e">
        <f>AK7</f>
        <v>#DIV/0!</v>
      </c>
      <c r="N26" s="187">
        <f>AN7</f>
        <v>0</v>
      </c>
    </row>
    <row r="27" spans="1:15" s="188" customFormat="1" ht="16.5" customHeight="1" x14ac:dyDescent="0.55000000000000004">
      <c r="A27" s="119" t="s">
        <v>50</v>
      </c>
      <c r="B27" s="228">
        <f>D8</f>
        <v>0</v>
      </c>
      <c r="C27" s="228">
        <f>G8</f>
        <v>0</v>
      </c>
      <c r="D27" s="228">
        <f>J8</f>
        <v>0</v>
      </c>
      <c r="E27" s="228">
        <f>M8</f>
        <v>0</v>
      </c>
      <c r="F27" s="228">
        <f>P8</f>
        <v>0</v>
      </c>
      <c r="G27" s="228">
        <f>S8</f>
        <v>0</v>
      </c>
      <c r="H27" s="228" t="e">
        <f>V8</f>
        <v>#DIV/0!</v>
      </c>
      <c r="I27" s="228" t="e">
        <f>Y8</f>
        <v>#DIV/0!</v>
      </c>
      <c r="J27" s="228" t="e">
        <f>AB8</f>
        <v>#DIV/0!</v>
      </c>
      <c r="K27" s="228" t="e">
        <f>AE8</f>
        <v>#DIV/0!</v>
      </c>
      <c r="L27" s="228" t="e">
        <f>AH8</f>
        <v>#DIV/0!</v>
      </c>
      <c r="M27" s="228" t="e">
        <f>AK8</f>
        <v>#DIV/0!</v>
      </c>
      <c r="N27" s="228">
        <f>AN8</f>
        <v>0</v>
      </c>
    </row>
    <row r="28" spans="1:15" s="188" customFormat="1" ht="16.5" customHeight="1" x14ac:dyDescent="0.55000000000000004">
      <c r="A28" s="100" t="s">
        <v>51</v>
      </c>
      <c r="B28" s="187">
        <f t="shared" ref="B28:B34" si="15">D9</f>
        <v>0</v>
      </c>
      <c r="C28" s="187">
        <f t="shared" ref="C28:C34" si="16">G9</f>
        <v>0</v>
      </c>
      <c r="D28" s="187">
        <f t="shared" ref="D28:D34" si="17">J9</f>
        <v>0</v>
      </c>
      <c r="E28" s="187">
        <f t="shared" ref="E28:E34" si="18">M9</f>
        <v>0</v>
      </c>
      <c r="F28" s="187">
        <f t="shared" ref="F28:F34" si="19">P9</f>
        <v>0</v>
      </c>
      <c r="G28" s="187">
        <f t="shared" ref="G28:G34" si="20">S9</f>
        <v>0</v>
      </c>
      <c r="H28" s="187" t="e">
        <f t="shared" ref="H28:H34" si="21">V9</f>
        <v>#DIV/0!</v>
      </c>
      <c r="I28" s="187" t="e">
        <f t="shared" ref="I28:I34" si="22">Y9</f>
        <v>#DIV/0!</v>
      </c>
      <c r="J28" s="187" t="e">
        <f t="shared" ref="J28:J34" si="23">AB9</f>
        <v>#DIV/0!</v>
      </c>
      <c r="K28" s="187" t="e">
        <f t="shared" ref="K28:K34" si="24">AE9</f>
        <v>#DIV/0!</v>
      </c>
      <c r="L28" s="187" t="e">
        <f t="shared" ref="L28:L34" si="25">AH9</f>
        <v>#DIV/0!</v>
      </c>
      <c r="M28" s="187" t="e">
        <f t="shared" ref="M28:M34" si="26">AK9</f>
        <v>#DIV/0!</v>
      </c>
      <c r="N28" s="187">
        <f t="shared" ref="N28:N34" si="27">AN9</f>
        <v>0</v>
      </c>
    </row>
    <row r="29" spans="1:15" s="188" customFormat="1" ht="16.5" customHeight="1" x14ac:dyDescent="0.55000000000000004">
      <c r="A29" s="119" t="s">
        <v>60</v>
      </c>
      <c r="B29" s="228">
        <f t="shared" si="15"/>
        <v>0</v>
      </c>
      <c r="C29" s="228">
        <f t="shared" si="16"/>
        <v>0</v>
      </c>
      <c r="D29" s="228">
        <f t="shared" si="17"/>
        <v>0</v>
      </c>
      <c r="E29" s="228">
        <f t="shared" si="18"/>
        <v>0</v>
      </c>
      <c r="F29" s="228">
        <f t="shared" si="19"/>
        <v>0</v>
      </c>
      <c r="G29" s="228">
        <f t="shared" si="20"/>
        <v>0</v>
      </c>
      <c r="H29" s="228" t="e">
        <f t="shared" si="21"/>
        <v>#DIV/0!</v>
      </c>
      <c r="I29" s="228" t="e">
        <f t="shared" si="22"/>
        <v>#DIV/0!</v>
      </c>
      <c r="J29" s="228" t="e">
        <f t="shared" si="23"/>
        <v>#DIV/0!</v>
      </c>
      <c r="K29" s="228" t="e">
        <f t="shared" si="24"/>
        <v>#DIV/0!</v>
      </c>
      <c r="L29" s="228" t="e">
        <f t="shared" si="25"/>
        <v>#DIV/0!</v>
      </c>
      <c r="M29" s="228" t="e">
        <f t="shared" si="26"/>
        <v>#DIV/0!</v>
      </c>
      <c r="N29" s="228">
        <f t="shared" si="27"/>
        <v>0</v>
      </c>
    </row>
    <row r="30" spans="1:15" s="188" customFormat="1" ht="17.25" customHeight="1" x14ac:dyDescent="0.55000000000000004">
      <c r="A30" s="100" t="s">
        <v>61</v>
      </c>
      <c r="B30" s="187">
        <f t="shared" si="15"/>
        <v>0</v>
      </c>
      <c r="C30" s="187">
        <f t="shared" si="16"/>
        <v>0</v>
      </c>
      <c r="D30" s="187">
        <f t="shared" si="17"/>
        <v>0</v>
      </c>
      <c r="E30" s="187">
        <f t="shared" si="18"/>
        <v>0</v>
      </c>
      <c r="F30" s="187">
        <f t="shared" si="19"/>
        <v>0</v>
      </c>
      <c r="G30" s="187">
        <f t="shared" si="20"/>
        <v>0</v>
      </c>
      <c r="H30" s="187" t="e">
        <f t="shared" si="21"/>
        <v>#DIV/0!</v>
      </c>
      <c r="I30" s="187" t="e">
        <f t="shared" si="22"/>
        <v>#DIV/0!</v>
      </c>
      <c r="J30" s="187" t="e">
        <f t="shared" si="23"/>
        <v>#DIV/0!</v>
      </c>
      <c r="K30" s="187" t="e">
        <f t="shared" si="24"/>
        <v>#DIV/0!</v>
      </c>
      <c r="L30" s="187" t="e">
        <f t="shared" si="25"/>
        <v>#DIV/0!</v>
      </c>
      <c r="M30" s="187" t="e">
        <f t="shared" si="26"/>
        <v>#DIV/0!</v>
      </c>
      <c r="N30" s="187">
        <f t="shared" si="27"/>
        <v>0</v>
      </c>
    </row>
    <row r="31" spans="1:15" s="188" customFormat="1" ht="13.5" customHeight="1" x14ac:dyDescent="0.55000000000000004">
      <c r="A31" s="119" t="s">
        <v>62</v>
      </c>
      <c r="B31" s="228">
        <f t="shared" si="15"/>
        <v>0</v>
      </c>
      <c r="C31" s="228">
        <f t="shared" si="16"/>
        <v>0</v>
      </c>
      <c r="D31" s="228">
        <f t="shared" si="17"/>
        <v>0</v>
      </c>
      <c r="E31" s="228">
        <f t="shared" si="18"/>
        <v>0</v>
      </c>
      <c r="F31" s="228">
        <f t="shared" si="19"/>
        <v>0</v>
      </c>
      <c r="G31" s="228">
        <f t="shared" si="20"/>
        <v>0</v>
      </c>
      <c r="H31" s="228" t="e">
        <f t="shared" si="21"/>
        <v>#DIV/0!</v>
      </c>
      <c r="I31" s="228" t="e">
        <f t="shared" si="22"/>
        <v>#DIV/0!</v>
      </c>
      <c r="J31" s="228" t="e">
        <f t="shared" si="23"/>
        <v>#DIV/0!</v>
      </c>
      <c r="K31" s="228" t="e">
        <f t="shared" si="24"/>
        <v>#DIV/0!</v>
      </c>
      <c r="L31" s="228" t="e">
        <f t="shared" si="25"/>
        <v>#DIV/0!</v>
      </c>
      <c r="M31" s="228" t="e">
        <f t="shared" si="26"/>
        <v>#DIV/0!</v>
      </c>
      <c r="N31" s="228">
        <f t="shared" si="27"/>
        <v>0</v>
      </c>
    </row>
    <row r="32" spans="1:15" s="188" customFormat="1" ht="15.75" customHeight="1" x14ac:dyDescent="0.55000000000000004">
      <c r="A32" s="100" t="s">
        <v>64</v>
      </c>
      <c r="B32" s="187">
        <f t="shared" si="15"/>
        <v>0</v>
      </c>
      <c r="C32" s="187">
        <f t="shared" si="16"/>
        <v>0</v>
      </c>
      <c r="D32" s="187">
        <f t="shared" si="17"/>
        <v>0</v>
      </c>
      <c r="E32" s="187">
        <f t="shared" si="18"/>
        <v>0</v>
      </c>
      <c r="F32" s="187">
        <f t="shared" si="19"/>
        <v>0</v>
      </c>
      <c r="G32" s="187">
        <f t="shared" si="20"/>
        <v>0</v>
      </c>
      <c r="H32" s="187" t="e">
        <f t="shared" si="21"/>
        <v>#DIV/0!</v>
      </c>
      <c r="I32" s="187" t="e">
        <f t="shared" si="22"/>
        <v>#DIV/0!</v>
      </c>
      <c r="J32" s="187" t="e">
        <f t="shared" si="23"/>
        <v>#DIV/0!</v>
      </c>
      <c r="K32" s="187" t="e">
        <f t="shared" si="24"/>
        <v>#DIV/0!</v>
      </c>
      <c r="L32" s="187" t="e">
        <f t="shared" si="25"/>
        <v>#DIV/0!</v>
      </c>
      <c r="M32" s="187" t="e">
        <f t="shared" si="26"/>
        <v>#DIV/0!</v>
      </c>
      <c r="N32" s="187">
        <f t="shared" si="27"/>
        <v>0</v>
      </c>
    </row>
    <row r="33" spans="1:14" s="188" customFormat="1" ht="15" customHeight="1" x14ac:dyDescent="0.55000000000000004">
      <c r="A33" s="119" t="s">
        <v>63</v>
      </c>
      <c r="B33" s="228">
        <f t="shared" si="15"/>
        <v>0</v>
      </c>
      <c r="C33" s="228">
        <f t="shared" si="16"/>
        <v>0</v>
      </c>
      <c r="D33" s="228">
        <f t="shared" si="17"/>
        <v>0</v>
      </c>
      <c r="E33" s="228">
        <f t="shared" si="18"/>
        <v>0</v>
      </c>
      <c r="F33" s="228">
        <f t="shared" si="19"/>
        <v>0</v>
      </c>
      <c r="G33" s="228">
        <f t="shared" si="20"/>
        <v>0</v>
      </c>
      <c r="H33" s="228" t="e">
        <f t="shared" si="21"/>
        <v>#DIV/0!</v>
      </c>
      <c r="I33" s="228" t="e">
        <f t="shared" si="22"/>
        <v>#DIV/0!</v>
      </c>
      <c r="J33" s="228" t="e">
        <f t="shared" si="23"/>
        <v>#DIV/0!</v>
      </c>
      <c r="K33" s="228" t="e">
        <f t="shared" si="24"/>
        <v>#DIV/0!</v>
      </c>
      <c r="L33" s="228" t="e">
        <f t="shared" si="25"/>
        <v>#DIV/0!</v>
      </c>
      <c r="M33" s="228" t="e">
        <f t="shared" si="26"/>
        <v>#DIV/0!</v>
      </c>
      <c r="N33" s="228">
        <f t="shared" si="27"/>
        <v>0</v>
      </c>
    </row>
    <row r="34" spans="1:14" s="188" customFormat="1" ht="18" customHeight="1" x14ac:dyDescent="0.55000000000000004">
      <c r="A34" s="176" t="s">
        <v>336</v>
      </c>
      <c r="B34" s="187">
        <f t="shared" si="15"/>
        <v>0</v>
      </c>
      <c r="C34" s="187">
        <f t="shared" si="16"/>
        <v>0</v>
      </c>
      <c r="D34" s="187">
        <f t="shared" si="17"/>
        <v>0</v>
      </c>
      <c r="E34" s="187">
        <f t="shared" si="18"/>
        <v>0</v>
      </c>
      <c r="F34" s="187">
        <f t="shared" si="19"/>
        <v>0</v>
      </c>
      <c r="G34" s="187">
        <f t="shared" si="20"/>
        <v>0</v>
      </c>
      <c r="H34" s="187" t="e">
        <f t="shared" si="21"/>
        <v>#DIV/0!</v>
      </c>
      <c r="I34" s="187" t="e">
        <f t="shared" si="22"/>
        <v>#DIV/0!</v>
      </c>
      <c r="J34" s="187" t="e">
        <f t="shared" si="23"/>
        <v>#DIV/0!</v>
      </c>
      <c r="K34" s="187" t="e">
        <f t="shared" si="24"/>
        <v>#DIV/0!</v>
      </c>
      <c r="L34" s="187" t="e">
        <f t="shared" si="25"/>
        <v>#DIV/0!</v>
      </c>
      <c r="M34" s="187" t="e">
        <f t="shared" si="26"/>
        <v>#DIV/0!</v>
      </c>
      <c r="N34" s="187">
        <f t="shared" si="27"/>
        <v>0</v>
      </c>
    </row>
    <row r="35" spans="1:14" s="188" customFormat="1" ht="40.5" customHeight="1" x14ac:dyDescent="0.55000000000000004">
      <c r="A35" s="19"/>
      <c r="B35" s="187"/>
      <c r="C35" s="187"/>
      <c r="D35" s="187"/>
      <c r="E35" s="187"/>
      <c r="F35" s="187"/>
    </row>
    <row r="36" spans="1:14" s="188" customFormat="1" ht="40.5" customHeight="1" x14ac:dyDescent="0.55000000000000004">
      <c r="A36" s="19"/>
      <c r="B36" s="187"/>
      <c r="C36" s="187"/>
      <c r="D36" s="187"/>
      <c r="E36" s="187"/>
      <c r="F36" s="187"/>
    </row>
    <row r="37" spans="1:14" s="188" customFormat="1" ht="40.5" customHeight="1" x14ac:dyDescent="0.55000000000000004">
      <c r="A37" s="19"/>
      <c r="B37" s="187"/>
      <c r="C37" s="187"/>
      <c r="D37" s="187"/>
      <c r="E37" s="187"/>
      <c r="F37" s="187"/>
    </row>
    <row r="38" spans="1:14" s="188" customFormat="1" ht="40.5" customHeight="1" x14ac:dyDescent="0.55000000000000004">
      <c r="A38" s="186"/>
      <c r="B38" s="187"/>
      <c r="C38" s="187"/>
      <c r="D38" s="187"/>
      <c r="E38" s="187"/>
      <c r="F38" s="187"/>
    </row>
    <row r="39" spans="1:14" s="188" customFormat="1" ht="40.5" customHeight="1" x14ac:dyDescent="0.55000000000000004">
      <c r="A39" s="186"/>
      <c r="B39" s="187"/>
      <c r="C39" s="187"/>
      <c r="D39" s="187"/>
      <c r="E39" s="187"/>
      <c r="F39" s="187"/>
    </row>
    <row r="40" spans="1:14" s="188" customFormat="1" ht="40.5" customHeight="1" x14ac:dyDescent="0.55000000000000004">
      <c r="A40" s="186"/>
      <c r="B40" s="187"/>
      <c r="C40" s="187"/>
      <c r="D40" s="187"/>
      <c r="E40" s="187"/>
      <c r="F40" s="187"/>
    </row>
    <row r="41" spans="1:14" s="188" customFormat="1" ht="40.5" customHeight="1" x14ac:dyDescent="0.55000000000000004">
      <c r="A41" s="186"/>
      <c r="B41" s="187"/>
      <c r="C41" s="187"/>
      <c r="D41" s="187"/>
      <c r="E41" s="187"/>
      <c r="F41" s="187"/>
    </row>
    <row r="42" spans="1:14" s="188" customFormat="1" ht="40.5" customHeight="1" x14ac:dyDescent="0.55000000000000004">
      <c r="A42" s="186"/>
      <c r="B42" s="187"/>
      <c r="C42" s="187"/>
      <c r="D42" s="187"/>
      <c r="E42" s="187"/>
      <c r="F42" s="187"/>
    </row>
    <row r="43" spans="1:14" s="188" customFormat="1" ht="40.5" customHeight="1" x14ac:dyDescent="0.55000000000000004">
      <c r="A43" s="186"/>
      <c r="B43" s="187"/>
      <c r="C43" s="187"/>
      <c r="D43" s="187"/>
      <c r="E43" s="187"/>
      <c r="F43" s="187"/>
    </row>
    <row r="62" spans="38:38" x14ac:dyDescent="0.55000000000000004">
      <c r="AL62" t="s">
        <v>69</v>
      </c>
    </row>
    <row r="63" spans="38:38" s="35" customFormat="1" ht="6.75" customHeight="1" x14ac:dyDescent="0.55000000000000004"/>
    <row r="65" spans="1:14" x14ac:dyDescent="0.55000000000000004">
      <c r="A65" s="19" t="s">
        <v>49</v>
      </c>
    </row>
    <row r="66" spans="1:14" x14ac:dyDescent="0.55000000000000004">
      <c r="B66" t="s">
        <v>94</v>
      </c>
      <c r="C66" t="s">
        <v>95</v>
      </c>
      <c r="D66" t="s">
        <v>96</v>
      </c>
      <c r="E66" t="s">
        <v>97</v>
      </c>
      <c r="F66" t="s">
        <v>93</v>
      </c>
      <c r="G66" t="s">
        <v>98</v>
      </c>
      <c r="H66" t="s">
        <v>99</v>
      </c>
      <c r="I66" t="s">
        <v>100</v>
      </c>
      <c r="J66" t="s">
        <v>101</v>
      </c>
      <c r="K66" t="s">
        <v>102</v>
      </c>
      <c r="L66" t="s">
        <v>103</v>
      </c>
      <c r="M66" t="s">
        <v>104</v>
      </c>
      <c r="N66" t="s">
        <v>376</v>
      </c>
    </row>
    <row r="67" spans="1:14" x14ac:dyDescent="0.55000000000000004">
      <c r="A67" t="s">
        <v>374</v>
      </c>
      <c r="B67" s="183">
        <f>D7</f>
        <v>0</v>
      </c>
      <c r="C67" s="183">
        <f>G7</f>
        <v>0</v>
      </c>
      <c r="D67" s="183">
        <f>J7</f>
        <v>0</v>
      </c>
      <c r="E67" s="183">
        <f>M7</f>
        <v>0</v>
      </c>
      <c r="F67" s="183">
        <f>P7</f>
        <v>0</v>
      </c>
      <c r="G67" s="183">
        <f>S7</f>
        <v>0</v>
      </c>
      <c r="H67" s="183" t="e">
        <f>V7</f>
        <v>#DIV/0!</v>
      </c>
      <c r="I67" s="183" t="e">
        <f>Y7</f>
        <v>#DIV/0!</v>
      </c>
      <c r="J67" s="183" t="e">
        <f>AB7</f>
        <v>#DIV/0!</v>
      </c>
      <c r="K67" s="183" t="e">
        <f>AE7</f>
        <v>#DIV/0!</v>
      </c>
      <c r="L67" s="183" t="e">
        <f>AH7</f>
        <v>#DIV/0!</v>
      </c>
      <c r="M67" s="183" t="e">
        <f>AK7</f>
        <v>#DIV/0!</v>
      </c>
      <c r="N67" s="183">
        <f>AN7</f>
        <v>0</v>
      </c>
    </row>
    <row r="83" spans="1:14" x14ac:dyDescent="0.55000000000000004">
      <c r="A83" s="19" t="s">
        <v>50</v>
      </c>
    </row>
    <row r="84" spans="1:14" x14ac:dyDescent="0.55000000000000004">
      <c r="B84" t="s">
        <v>94</v>
      </c>
      <c r="C84" t="s">
        <v>95</v>
      </c>
      <c r="D84" t="s">
        <v>96</v>
      </c>
      <c r="E84" t="s">
        <v>97</v>
      </c>
      <c r="F84" t="s">
        <v>93</v>
      </c>
      <c r="G84" t="s">
        <v>98</v>
      </c>
      <c r="H84" t="s">
        <v>99</v>
      </c>
      <c r="I84" t="s">
        <v>100</v>
      </c>
      <c r="J84" t="s">
        <v>101</v>
      </c>
      <c r="K84" t="s">
        <v>102</v>
      </c>
      <c r="L84" t="s">
        <v>103</v>
      </c>
      <c r="M84" t="s">
        <v>104</v>
      </c>
      <c r="N84" t="s">
        <v>376</v>
      </c>
    </row>
    <row r="85" spans="1:14" x14ac:dyDescent="0.55000000000000004">
      <c r="A85" t="s">
        <v>375</v>
      </c>
      <c r="B85" s="183">
        <f>D8</f>
        <v>0</v>
      </c>
      <c r="C85" s="183">
        <f>G8</f>
        <v>0</v>
      </c>
      <c r="D85" s="183">
        <f>J8</f>
        <v>0</v>
      </c>
      <c r="E85" s="183">
        <f>M8</f>
        <v>0</v>
      </c>
      <c r="F85" s="183">
        <f>P8</f>
        <v>0</v>
      </c>
      <c r="G85" s="183">
        <f>S8</f>
        <v>0</v>
      </c>
      <c r="H85" s="183" t="e">
        <f>V8</f>
        <v>#DIV/0!</v>
      </c>
      <c r="I85" s="183" t="e">
        <f>Y8</f>
        <v>#DIV/0!</v>
      </c>
      <c r="J85" s="183" t="e">
        <f>AB8</f>
        <v>#DIV/0!</v>
      </c>
      <c r="K85" s="183" t="e">
        <f>AE8</f>
        <v>#DIV/0!</v>
      </c>
      <c r="L85" s="183" t="e">
        <f>AH8</f>
        <v>#DIV/0!</v>
      </c>
      <c r="M85" s="183" t="e">
        <f>AK8</f>
        <v>#DIV/0!</v>
      </c>
      <c r="N85" s="183">
        <f>AN8</f>
        <v>0</v>
      </c>
    </row>
    <row r="103" spans="1:14" x14ac:dyDescent="0.55000000000000004">
      <c r="A103" s="19" t="s">
        <v>51</v>
      </c>
    </row>
    <row r="104" spans="1:14" x14ac:dyDescent="0.55000000000000004">
      <c r="B104" t="s">
        <v>94</v>
      </c>
      <c r="C104" t="s">
        <v>95</v>
      </c>
      <c r="D104" t="s">
        <v>96</v>
      </c>
      <c r="E104" t="s">
        <v>97</v>
      </c>
      <c r="F104" t="s">
        <v>93</v>
      </c>
      <c r="G104" t="s">
        <v>98</v>
      </c>
      <c r="H104" t="s">
        <v>99</v>
      </c>
      <c r="I104" t="s">
        <v>100</v>
      </c>
      <c r="J104" t="s">
        <v>101</v>
      </c>
      <c r="K104" t="s">
        <v>102</v>
      </c>
      <c r="L104" t="s">
        <v>103</v>
      </c>
      <c r="M104" t="s">
        <v>104</v>
      </c>
      <c r="N104" t="s">
        <v>376</v>
      </c>
    </row>
    <row r="105" spans="1:14" x14ac:dyDescent="0.55000000000000004">
      <c r="A105" t="s">
        <v>377</v>
      </c>
      <c r="B105" s="183">
        <f>D9</f>
        <v>0</v>
      </c>
      <c r="C105" s="183">
        <f>G9</f>
        <v>0</v>
      </c>
      <c r="D105" s="183">
        <f>J9</f>
        <v>0</v>
      </c>
      <c r="E105" s="183">
        <f>M9</f>
        <v>0</v>
      </c>
      <c r="F105" s="183">
        <f>P9</f>
        <v>0</v>
      </c>
      <c r="G105" s="183">
        <f>S9</f>
        <v>0</v>
      </c>
      <c r="H105" s="183" t="e">
        <f>V9</f>
        <v>#DIV/0!</v>
      </c>
      <c r="I105" s="183" t="e">
        <f>Y9</f>
        <v>#DIV/0!</v>
      </c>
      <c r="J105" s="183" t="e">
        <f>AB9</f>
        <v>#DIV/0!</v>
      </c>
      <c r="K105" s="183" t="e">
        <f>AE9</f>
        <v>#DIV/0!</v>
      </c>
      <c r="L105" s="183" t="e">
        <f>AH9</f>
        <v>#DIV/0!</v>
      </c>
      <c r="M105" s="183" t="e">
        <f>AK9</f>
        <v>#DIV/0!</v>
      </c>
      <c r="N105" s="183">
        <f>AN9</f>
        <v>0</v>
      </c>
    </row>
    <row r="121" spans="1:14" x14ac:dyDescent="0.55000000000000004">
      <c r="A121" s="19" t="s">
        <v>60</v>
      </c>
    </row>
    <row r="122" spans="1:14" x14ac:dyDescent="0.55000000000000004">
      <c r="B122" t="s">
        <v>94</v>
      </c>
      <c r="C122" t="s">
        <v>95</v>
      </c>
      <c r="D122" t="s">
        <v>96</v>
      </c>
      <c r="E122" t="s">
        <v>97</v>
      </c>
      <c r="F122" t="s">
        <v>93</v>
      </c>
      <c r="G122" t="s">
        <v>98</v>
      </c>
      <c r="H122" t="s">
        <v>99</v>
      </c>
      <c r="I122" t="s">
        <v>100</v>
      </c>
      <c r="J122" t="s">
        <v>101</v>
      </c>
      <c r="K122" t="s">
        <v>102</v>
      </c>
      <c r="L122" t="s">
        <v>103</v>
      </c>
      <c r="M122" t="s">
        <v>104</v>
      </c>
      <c r="N122" t="s">
        <v>376</v>
      </c>
    </row>
    <row r="123" spans="1:14" x14ac:dyDescent="0.55000000000000004">
      <c r="A123" t="s">
        <v>380</v>
      </c>
      <c r="B123" s="183">
        <f>D10</f>
        <v>0</v>
      </c>
      <c r="C123" s="183">
        <f>G10</f>
        <v>0</v>
      </c>
      <c r="D123" s="183">
        <f>J10</f>
        <v>0</v>
      </c>
      <c r="E123" s="183">
        <f>M10</f>
        <v>0</v>
      </c>
      <c r="F123" s="183">
        <f>P10</f>
        <v>0</v>
      </c>
      <c r="G123" s="183">
        <f>S10</f>
        <v>0</v>
      </c>
      <c r="H123" s="183" t="e">
        <f>V10</f>
        <v>#DIV/0!</v>
      </c>
      <c r="I123" s="183" t="e">
        <f>Y10</f>
        <v>#DIV/0!</v>
      </c>
      <c r="J123" s="183" t="e">
        <f>AB10</f>
        <v>#DIV/0!</v>
      </c>
      <c r="K123" s="183" t="e">
        <f>AE10</f>
        <v>#DIV/0!</v>
      </c>
      <c r="L123" s="183" t="e">
        <f>AH10</f>
        <v>#DIV/0!</v>
      </c>
      <c r="M123" s="183" t="e">
        <f>AK10</f>
        <v>#DIV/0!</v>
      </c>
      <c r="N123" s="183">
        <f>AN10</f>
        <v>0</v>
      </c>
    </row>
    <row r="142" spans="1:14" x14ac:dyDescent="0.55000000000000004">
      <c r="A142" s="19" t="s">
        <v>61</v>
      </c>
    </row>
    <row r="143" spans="1:14" x14ac:dyDescent="0.55000000000000004">
      <c r="B143" t="s">
        <v>94</v>
      </c>
      <c r="C143" t="s">
        <v>95</v>
      </c>
      <c r="D143" t="s">
        <v>96</v>
      </c>
      <c r="E143" t="s">
        <v>97</v>
      </c>
      <c r="F143" t="s">
        <v>93</v>
      </c>
      <c r="G143" t="s">
        <v>98</v>
      </c>
      <c r="H143" t="s">
        <v>99</v>
      </c>
      <c r="I143" t="s">
        <v>100</v>
      </c>
      <c r="J143" t="s">
        <v>101</v>
      </c>
      <c r="K143" t="s">
        <v>102</v>
      </c>
      <c r="L143" t="s">
        <v>103</v>
      </c>
      <c r="M143" t="s">
        <v>104</v>
      </c>
      <c r="N143" t="s">
        <v>376</v>
      </c>
    </row>
    <row r="144" spans="1:14" x14ac:dyDescent="0.55000000000000004">
      <c r="A144" t="s">
        <v>381</v>
      </c>
      <c r="B144" s="183">
        <f>D11</f>
        <v>0</v>
      </c>
      <c r="C144" s="183">
        <f>G11</f>
        <v>0</v>
      </c>
      <c r="D144" s="183">
        <f>J11</f>
        <v>0</v>
      </c>
      <c r="E144" s="183">
        <f>M11</f>
        <v>0</v>
      </c>
      <c r="F144" s="183">
        <f>P11</f>
        <v>0</v>
      </c>
      <c r="G144" s="183">
        <f>S11</f>
        <v>0</v>
      </c>
      <c r="H144" s="183" t="e">
        <f>V11</f>
        <v>#DIV/0!</v>
      </c>
      <c r="I144" s="183" t="e">
        <f>Y11</f>
        <v>#DIV/0!</v>
      </c>
      <c r="J144" s="183" t="e">
        <f>AB11</f>
        <v>#DIV/0!</v>
      </c>
      <c r="K144" s="183" t="e">
        <f>AE11</f>
        <v>#DIV/0!</v>
      </c>
      <c r="L144" s="183" t="e">
        <f>AH11</f>
        <v>#DIV/0!</v>
      </c>
      <c r="M144" s="183" t="e">
        <f>AK11</f>
        <v>#DIV/0!</v>
      </c>
      <c r="N144" s="183">
        <f>AN11</f>
        <v>0</v>
      </c>
    </row>
    <row r="162" spans="1:14" x14ac:dyDescent="0.55000000000000004">
      <c r="A162" s="19" t="s">
        <v>62</v>
      </c>
    </row>
    <row r="163" spans="1:14" x14ac:dyDescent="0.55000000000000004">
      <c r="B163" t="s">
        <v>94</v>
      </c>
      <c r="C163" t="s">
        <v>95</v>
      </c>
      <c r="D163" t="s">
        <v>96</v>
      </c>
      <c r="E163" t="s">
        <v>97</v>
      </c>
      <c r="F163" t="s">
        <v>93</v>
      </c>
      <c r="G163" t="s">
        <v>98</v>
      </c>
      <c r="H163" t="s">
        <v>99</v>
      </c>
      <c r="I163" t="s">
        <v>100</v>
      </c>
      <c r="J163" t="s">
        <v>101</v>
      </c>
      <c r="K163" t="s">
        <v>102</v>
      </c>
      <c r="L163" t="s">
        <v>103</v>
      </c>
      <c r="M163" t="s">
        <v>104</v>
      </c>
      <c r="N163" t="s">
        <v>376</v>
      </c>
    </row>
    <row r="164" spans="1:14" x14ac:dyDescent="0.55000000000000004">
      <c r="A164" t="s">
        <v>382</v>
      </c>
      <c r="B164" s="183">
        <f>D12</f>
        <v>0</v>
      </c>
      <c r="C164" s="183">
        <f>G12</f>
        <v>0</v>
      </c>
      <c r="D164" s="183">
        <f>J12</f>
        <v>0</v>
      </c>
      <c r="E164" s="183">
        <f>M12</f>
        <v>0</v>
      </c>
      <c r="F164" s="183">
        <f>P12</f>
        <v>0</v>
      </c>
      <c r="G164" s="183">
        <f>S12</f>
        <v>0</v>
      </c>
      <c r="H164" s="183" t="e">
        <f>V12</f>
        <v>#DIV/0!</v>
      </c>
      <c r="I164" s="183" t="e">
        <f>Y12</f>
        <v>#DIV/0!</v>
      </c>
      <c r="J164" s="183" t="e">
        <f>AB12</f>
        <v>#DIV/0!</v>
      </c>
      <c r="K164" s="183" t="e">
        <f>AE12</f>
        <v>#DIV/0!</v>
      </c>
      <c r="L164" s="183" t="e">
        <f>AH12</f>
        <v>#DIV/0!</v>
      </c>
      <c r="M164" s="183" t="e">
        <f>AK12</f>
        <v>#DIV/0!</v>
      </c>
      <c r="N164" s="183">
        <f>AN12</f>
        <v>0</v>
      </c>
    </row>
    <row r="183" spans="1:14" x14ac:dyDescent="0.55000000000000004">
      <c r="A183" s="19" t="s">
        <v>64</v>
      </c>
    </row>
    <row r="184" spans="1:14" x14ac:dyDescent="0.55000000000000004">
      <c r="B184" t="s">
        <v>94</v>
      </c>
      <c r="C184" t="s">
        <v>95</v>
      </c>
      <c r="D184" t="s">
        <v>96</v>
      </c>
      <c r="E184" t="s">
        <v>97</v>
      </c>
      <c r="F184" t="s">
        <v>93</v>
      </c>
      <c r="G184" t="s">
        <v>98</v>
      </c>
      <c r="H184" t="s">
        <v>99</v>
      </c>
      <c r="I184" t="s">
        <v>100</v>
      </c>
      <c r="J184" t="s">
        <v>101</v>
      </c>
      <c r="K184" t="s">
        <v>102</v>
      </c>
      <c r="L184" t="s">
        <v>103</v>
      </c>
      <c r="M184" t="s">
        <v>104</v>
      </c>
      <c r="N184" t="s">
        <v>376</v>
      </c>
    </row>
    <row r="185" spans="1:14" x14ac:dyDescent="0.55000000000000004">
      <c r="A185" t="s">
        <v>383</v>
      </c>
      <c r="B185" s="183">
        <f>D13</f>
        <v>0</v>
      </c>
      <c r="C185" s="183">
        <f>G13</f>
        <v>0</v>
      </c>
      <c r="D185" s="183">
        <f>J13</f>
        <v>0</v>
      </c>
      <c r="E185" s="183">
        <f>M13</f>
        <v>0</v>
      </c>
      <c r="F185" s="183">
        <f>P13</f>
        <v>0</v>
      </c>
      <c r="G185" s="183">
        <f>S13</f>
        <v>0</v>
      </c>
      <c r="H185" s="183" t="e">
        <f>V13</f>
        <v>#DIV/0!</v>
      </c>
      <c r="I185" s="183" t="e">
        <f>Y13</f>
        <v>#DIV/0!</v>
      </c>
      <c r="J185" s="183" t="e">
        <f>AB13</f>
        <v>#DIV/0!</v>
      </c>
      <c r="K185" s="183" t="e">
        <f>AE13</f>
        <v>#DIV/0!</v>
      </c>
      <c r="L185" s="183" t="e">
        <f>AH13</f>
        <v>#DIV/0!</v>
      </c>
      <c r="M185" s="183" t="e">
        <f>AK13</f>
        <v>#DIV/0!</v>
      </c>
      <c r="N185" s="183">
        <f>AN13</f>
        <v>0</v>
      </c>
    </row>
    <row r="203" spans="1:14" x14ac:dyDescent="0.55000000000000004">
      <c r="A203" s="19" t="s">
        <v>63</v>
      </c>
    </row>
    <row r="204" spans="1:14" x14ac:dyDescent="0.55000000000000004">
      <c r="B204" t="s">
        <v>94</v>
      </c>
      <c r="C204" t="s">
        <v>95</v>
      </c>
      <c r="D204" t="s">
        <v>96</v>
      </c>
      <c r="E204" t="s">
        <v>97</v>
      </c>
      <c r="F204" t="s">
        <v>93</v>
      </c>
      <c r="G204" t="s">
        <v>98</v>
      </c>
      <c r="H204" t="s">
        <v>99</v>
      </c>
      <c r="I204" t="s">
        <v>100</v>
      </c>
      <c r="J204" t="s">
        <v>101</v>
      </c>
      <c r="K204" t="s">
        <v>102</v>
      </c>
      <c r="L204" t="s">
        <v>103</v>
      </c>
      <c r="M204" t="s">
        <v>104</v>
      </c>
      <c r="N204" t="s">
        <v>376</v>
      </c>
    </row>
    <row r="205" spans="1:14" x14ac:dyDescent="0.55000000000000004">
      <c r="A205" t="s">
        <v>384</v>
      </c>
      <c r="B205" s="183">
        <f>D14</f>
        <v>0</v>
      </c>
      <c r="C205" s="183">
        <f>G14</f>
        <v>0</v>
      </c>
      <c r="D205" s="183">
        <f>J14</f>
        <v>0</v>
      </c>
      <c r="E205" s="183">
        <f>M14</f>
        <v>0</v>
      </c>
      <c r="F205" s="183">
        <f>P14</f>
        <v>0</v>
      </c>
      <c r="G205" s="183">
        <f>S14</f>
        <v>0</v>
      </c>
      <c r="H205" s="183" t="e">
        <f>V14</f>
        <v>#DIV/0!</v>
      </c>
      <c r="I205" s="183" t="e">
        <f>Y14</f>
        <v>#DIV/0!</v>
      </c>
      <c r="J205" s="183" t="e">
        <f>AB14</f>
        <v>#DIV/0!</v>
      </c>
      <c r="K205" s="183" t="e">
        <f>AE14</f>
        <v>#DIV/0!</v>
      </c>
      <c r="L205" s="183" t="e">
        <f>AH14</f>
        <v>#DIV/0!</v>
      </c>
      <c r="M205" s="183" t="e">
        <f>AK14</f>
        <v>#DIV/0!</v>
      </c>
      <c r="N205" s="183">
        <f>AN14</f>
        <v>0</v>
      </c>
    </row>
  </sheetData>
  <mergeCells count="13">
    <mergeCell ref="T5:V5"/>
    <mergeCell ref="B5:D5"/>
    <mergeCell ref="E5:G5"/>
    <mergeCell ref="H5:J5"/>
    <mergeCell ref="K5:M5"/>
    <mergeCell ref="Q5:S5"/>
    <mergeCell ref="N5:P5"/>
    <mergeCell ref="W5:Y5"/>
    <mergeCell ref="AL5:AN5"/>
    <mergeCell ref="AI5:AK5"/>
    <mergeCell ref="AF5:AH5"/>
    <mergeCell ref="AC5:AE5"/>
    <mergeCell ref="Z5:AB5"/>
  </mergeCell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theme="4"/>
  </sheetPr>
  <dimension ref="A1:B76"/>
  <sheetViews>
    <sheetView zoomScale="110" zoomScaleNormal="110" workbookViewId="0">
      <selection activeCell="D16" sqref="D16"/>
    </sheetView>
  </sheetViews>
  <sheetFormatPr defaultRowHeight="14.4" x14ac:dyDescent="0.55000000000000004"/>
  <cols>
    <col min="1" max="1" width="21.5234375" customWidth="1"/>
    <col min="2" max="2" width="7.5234375" customWidth="1"/>
  </cols>
  <sheetData>
    <row r="1" spans="1:2" x14ac:dyDescent="0.55000000000000004">
      <c r="A1" s="19" t="s">
        <v>202</v>
      </c>
    </row>
    <row r="3" spans="1:2" x14ac:dyDescent="0.55000000000000004">
      <c r="A3" s="19" t="s">
        <v>203</v>
      </c>
    </row>
    <row r="4" spans="1:2" x14ac:dyDescent="0.55000000000000004">
      <c r="A4" s="21" t="b">
        <v>0</v>
      </c>
      <c r="B4" s="35">
        <f>SUM(B5:B6)</f>
        <v>5</v>
      </c>
    </row>
    <row r="5" spans="1:2" x14ac:dyDescent="0.55000000000000004">
      <c r="A5" s="22" t="s">
        <v>105</v>
      </c>
      <c r="B5">
        <v>2</v>
      </c>
    </row>
    <row r="6" spans="1:2" x14ac:dyDescent="0.55000000000000004">
      <c r="A6" s="22" t="s">
        <v>106</v>
      </c>
      <c r="B6">
        <v>3</v>
      </c>
    </row>
    <row r="7" spans="1:2" x14ac:dyDescent="0.55000000000000004">
      <c r="A7" s="21" t="b">
        <v>1</v>
      </c>
      <c r="B7" s="35">
        <f>SUM(B8:B11)</f>
        <v>12</v>
      </c>
    </row>
    <row r="8" spans="1:2" x14ac:dyDescent="0.55000000000000004">
      <c r="A8" s="22" t="s">
        <v>107</v>
      </c>
      <c r="B8">
        <v>2</v>
      </c>
    </row>
    <row r="9" spans="1:2" x14ac:dyDescent="0.55000000000000004">
      <c r="A9" s="22" t="s">
        <v>108</v>
      </c>
      <c r="B9">
        <v>5</v>
      </c>
    </row>
    <row r="10" spans="1:2" x14ac:dyDescent="0.55000000000000004">
      <c r="A10" s="22" t="s">
        <v>109</v>
      </c>
      <c r="B10">
        <v>4</v>
      </c>
    </row>
    <row r="11" spans="1:2" x14ac:dyDescent="0.55000000000000004">
      <c r="A11" s="22" t="s">
        <v>110</v>
      </c>
      <c r="B11">
        <v>1</v>
      </c>
    </row>
    <row r="12" spans="1:2" x14ac:dyDescent="0.55000000000000004">
      <c r="A12" s="21" t="s">
        <v>111</v>
      </c>
      <c r="B12" s="35">
        <v>5</v>
      </c>
    </row>
    <row r="13" spans="1:2" x14ac:dyDescent="0.55000000000000004">
      <c r="A13" s="22" t="s">
        <v>204</v>
      </c>
      <c r="B13">
        <v>3</v>
      </c>
    </row>
    <row r="14" spans="1:2" x14ac:dyDescent="0.55000000000000004">
      <c r="A14" s="21" t="s">
        <v>199</v>
      </c>
      <c r="B14" s="35">
        <v>2</v>
      </c>
    </row>
    <row r="15" spans="1:2" x14ac:dyDescent="0.55000000000000004">
      <c r="A15" s="95" t="s">
        <v>205</v>
      </c>
      <c r="B15" s="96">
        <f>SUM(B4+B7+B12+B13+B14)</f>
        <v>27</v>
      </c>
    </row>
    <row r="17" spans="1:2" x14ac:dyDescent="0.55000000000000004">
      <c r="A17" t="s">
        <v>206</v>
      </c>
    </row>
    <row r="19" spans="1:2" x14ac:dyDescent="0.55000000000000004">
      <c r="A19" t="s">
        <v>282</v>
      </c>
    </row>
    <row r="20" spans="1:2" x14ac:dyDescent="0.55000000000000004">
      <c r="A20" s="21" t="b">
        <v>0</v>
      </c>
      <c r="B20" s="35">
        <f>SUM(B21:B22)</f>
        <v>5</v>
      </c>
    </row>
    <row r="21" spans="1:2" x14ac:dyDescent="0.55000000000000004">
      <c r="A21" s="22" t="s">
        <v>105</v>
      </c>
      <c r="B21">
        <v>2</v>
      </c>
    </row>
    <row r="22" spans="1:2" x14ac:dyDescent="0.55000000000000004">
      <c r="A22" s="22" t="s">
        <v>106</v>
      </c>
      <c r="B22">
        <v>3</v>
      </c>
    </row>
    <row r="23" spans="1:2" x14ac:dyDescent="0.55000000000000004">
      <c r="A23" s="21" t="b">
        <v>1</v>
      </c>
      <c r="B23" s="35">
        <f>SUM(B24:B27)</f>
        <v>12</v>
      </c>
    </row>
    <row r="24" spans="1:2" x14ac:dyDescent="0.55000000000000004">
      <c r="A24" s="22" t="s">
        <v>107</v>
      </c>
      <c r="B24">
        <v>2</v>
      </c>
    </row>
    <row r="25" spans="1:2" x14ac:dyDescent="0.55000000000000004">
      <c r="A25" s="22" t="s">
        <v>108</v>
      </c>
      <c r="B25">
        <v>5</v>
      </c>
    </row>
    <row r="26" spans="1:2" x14ac:dyDescent="0.55000000000000004">
      <c r="A26" s="22" t="s">
        <v>109</v>
      </c>
      <c r="B26">
        <v>4</v>
      </c>
    </row>
    <row r="27" spans="1:2" x14ac:dyDescent="0.55000000000000004">
      <c r="A27" s="22" t="s">
        <v>110</v>
      </c>
      <c r="B27">
        <v>1</v>
      </c>
    </row>
    <row r="28" spans="1:2" x14ac:dyDescent="0.55000000000000004">
      <c r="A28" s="21" t="s">
        <v>111</v>
      </c>
      <c r="B28" s="35">
        <v>5</v>
      </c>
    </row>
    <row r="29" spans="1:2" x14ac:dyDescent="0.55000000000000004">
      <c r="A29" s="22" t="s">
        <v>204</v>
      </c>
      <c r="B29">
        <v>3</v>
      </c>
    </row>
    <row r="30" spans="1:2" x14ac:dyDescent="0.55000000000000004">
      <c r="A30" s="21" t="s">
        <v>199</v>
      </c>
      <c r="B30" s="35">
        <v>2</v>
      </c>
    </row>
    <row r="31" spans="1:2" x14ac:dyDescent="0.55000000000000004">
      <c r="A31" s="95" t="s">
        <v>205</v>
      </c>
      <c r="B31" s="96">
        <f>SUM(B20+B23+B28+B29+B30)</f>
        <v>27</v>
      </c>
    </row>
    <row r="34" spans="1:2" x14ac:dyDescent="0.55000000000000004">
      <c r="A34" t="s">
        <v>283</v>
      </c>
    </row>
    <row r="35" spans="1:2" x14ac:dyDescent="0.55000000000000004">
      <c r="A35" s="21" t="b">
        <v>0</v>
      </c>
      <c r="B35" s="184">
        <f>SUM('Unit Stats'!E4:G4)</f>
        <v>0</v>
      </c>
    </row>
    <row r="36" spans="1:2" x14ac:dyDescent="0.55000000000000004">
      <c r="A36" s="22" t="s">
        <v>105</v>
      </c>
      <c r="B36" s="196">
        <f>SUM('Unit Stats'!E5:G5)</f>
        <v>0</v>
      </c>
    </row>
    <row r="37" spans="1:2" x14ac:dyDescent="0.55000000000000004">
      <c r="A37" s="22" t="s">
        <v>106</v>
      </c>
      <c r="B37" s="196">
        <f>SUM('Unit Stats'!E6:G6)</f>
        <v>0</v>
      </c>
    </row>
    <row r="38" spans="1:2" x14ac:dyDescent="0.55000000000000004">
      <c r="A38" s="21" t="b">
        <v>1</v>
      </c>
      <c r="B38" s="184">
        <f>SUM('Unit Stats'!E7:G7)</f>
        <v>0</v>
      </c>
    </row>
    <row r="39" spans="1:2" x14ac:dyDescent="0.55000000000000004">
      <c r="A39" s="22" t="s">
        <v>107</v>
      </c>
      <c r="B39" s="196">
        <f>SUM('Unit Stats'!E8:G8)</f>
        <v>0</v>
      </c>
    </row>
    <row r="40" spans="1:2" x14ac:dyDescent="0.55000000000000004">
      <c r="A40" s="22" t="s">
        <v>108</v>
      </c>
      <c r="B40" s="196">
        <f>SUM('Unit Stats'!E9:G9)</f>
        <v>0</v>
      </c>
    </row>
    <row r="41" spans="1:2" x14ac:dyDescent="0.55000000000000004">
      <c r="A41" s="22" t="s">
        <v>109</v>
      </c>
      <c r="B41" s="196">
        <f>SUM('Unit Stats'!E10:G10)</f>
        <v>0</v>
      </c>
    </row>
    <row r="42" spans="1:2" x14ac:dyDescent="0.55000000000000004">
      <c r="A42" s="22" t="s">
        <v>110</v>
      </c>
      <c r="B42" s="196">
        <f>SUM('Unit Stats'!E11:G11)</f>
        <v>0</v>
      </c>
    </row>
    <row r="43" spans="1:2" x14ac:dyDescent="0.55000000000000004">
      <c r="A43" s="21" t="s">
        <v>111</v>
      </c>
      <c r="B43" s="184">
        <f>SUM('Unit Stats'!E12:G12)</f>
        <v>0</v>
      </c>
    </row>
    <row r="44" spans="1:2" x14ac:dyDescent="0.55000000000000004">
      <c r="A44" s="22" t="s">
        <v>204</v>
      </c>
      <c r="B44" s="196">
        <f>SUM('Unit Stats'!E14:G14)</f>
        <v>0</v>
      </c>
    </row>
    <row r="45" spans="1:2" x14ac:dyDescent="0.55000000000000004">
      <c r="A45" s="21" t="s">
        <v>199</v>
      </c>
      <c r="B45" s="184">
        <f>SUM('Unit Stats'!E13:G13)</f>
        <v>0</v>
      </c>
    </row>
    <row r="46" spans="1:2" x14ac:dyDescent="0.55000000000000004">
      <c r="A46" s="95" t="s">
        <v>205</v>
      </c>
      <c r="B46" s="227">
        <f>SUM('Unit Stats'!E15:G15)</f>
        <v>0</v>
      </c>
    </row>
    <row r="49" spans="1:1" x14ac:dyDescent="0.55000000000000004">
      <c r="A49" t="s">
        <v>284</v>
      </c>
    </row>
    <row r="50" spans="1:1" x14ac:dyDescent="0.55000000000000004">
      <c r="A50" s="21" t="b">
        <v>0</v>
      </c>
    </row>
    <row r="51" spans="1:1" x14ac:dyDescent="0.55000000000000004">
      <c r="A51" s="22" t="s">
        <v>105</v>
      </c>
    </row>
    <row r="52" spans="1:1" x14ac:dyDescent="0.55000000000000004">
      <c r="A52" s="22" t="s">
        <v>106</v>
      </c>
    </row>
    <row r="53" spans="1:1" x14ac:dyDescent="0.55000000000000004">
      <c r="A53" s="21" t="b">
        <v>1</v>
      </c>
    </row>
    <row r="54" spans="1:1" x14ac:dyDescent="0.55000000000000004">
      <c r="A54" s="22" t="s">
        <v>107</v>
      </c>
    </row>
    <row r="55" spans="1:1" x14ac:dyDescent="0.55000000000000004">
      <c r="A55" s="22" t="s">
        <v>108</v>
      </c>
    </row>
    <row r="56" spans="1:1" x14ac:dyDescent="0.55000000000000004">
      <c r="A56" s="22" t="s">
        <v>109</v>
      </c>
    </row>
    <row r="57" spans="1:1" x14ac:dyDescent="0.55000000000000004">
      <c r="A57" s="22" t="s">
        <v>110</v>
      </c>
    </row>
    <row r="58" spans="1:1" x14ac:dyDescent="0.55000000000000004">
      <c r="A58" s="21" t="s">
        <v>111</v>
      </c>
    </row>
    <row r="59" spans="1:1" x14ac:dyDescent="0.55000000000000004">
      <c r="A59" s="22" t="s">
        <v>204</v>
      </c>
    </row>
    <row r="60" spans="1:1" x14ac:dyDescent="0.55000000000000004">
      <c r="A60" s="21" t="s">
        <v>199</v>
      </c>
    </row>
    <row r="61" spans="1:1" x14ac:dyDescent="0.55000000000000004">
      <c r="A61" s="95" t="s">
        <v>205</v>
      </c>
    </row>
    <row r="64" spans="1:1" x14ac:dyDescent="0.55000000000000004">
      <c r="A64" t="s">
        <v>285</v>
      </c>
    </row>
    <row r="65" spans="1:1" x14ac:dyDescent="0.55000000000000004">
      <c r="A65" s="21" t="b">
        <v>0</v>
      </c>
    </row>
    <row r="66" spans="1:1" x14ac:dyDescent="0.55000000000000004">
      <c r="A66" s="22" t="s">
        <v>105</v>
      </c>
    </row>
    <row r="67" spans="1:1" x14ac:dyDescent="0.55000000000000004">
      <c r="A67" s="22" t="s">
        <v>106</v>
      </c>
    </row>
    <row r="68" spans="1:1" x14ac:dyDescent="0.55000000000000004">
      <c r="A68" s="21" t="b">
        <v>1</v>
      </c>
    </row>
    <row r="69" spans="1:1" x14ac:dyDescent="0.55000000000000004">
      <c r="A69" s="22" t="s">
        <v>107</v>
      </c>
    </row>
    <row r="70" spans="1:1" x14ac:dyDescent="0.55000000000000004">
      <c r="A70" s="22" t="s">
        <v>108</v>
      </c>
    </row>
    <row r="71" spans="1:1" x14ac:dyDescent="0.55000000000000004">
      <c r="A71" s="22" t="s">
        <v>109</v>
      </c>
    </row>
    <row r="72" spans="1:1" x14ac:dyDescent="0.55000000000000004">
      <c r="A72" s="22" t="s">
        <v>110</v>
      </c>
    </row>
    <row r="73" spans="1:1" x14ac:dyDescent="0.55000000000000004">
      <c r="A73" s="21" t="s">
        <v>111</v>
      </c>
    </row>
    <row r="74" spans="1:1" x14ac:dyDescent="0.55000000000000004">
      <c r="A74" s="22" t="s">
        <v>204</v>
      </c>
    </row>
    <row r="75" spans="1:1" x14ac:dyDescent="0.55000000000000004">
      <c r="A75" s="21" t="s">
        <v>199</v>
      </c>
    </row>
    <row r="76" spans="1:1" x14ac:dyDescent="0.55000000000000004">
      <c r="A76" s="95" t="s">
        <v>205</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theme="4"/>
  </sheetPr>
  <dimension ref="A1:Q151"/>
  <sheetViews>
    <sheetView workbookViewId="0">
      <selection activeCell="O135" sqref="O135"/>
    </sheetView>
  </sheetViews>
  <sheetFormatPr defaultRowHeight="14.4" x14ac:dyDescent="0.55000000000000004"/>
  <cols>
    <col min="1" max="1" width="22.734375" customWidth="1"/>
  </cols>
  <sheetData>
    <row r="1" spans="1:17" ht="14.7" thickBot="1" x14ac:dyDescent="0.6"/>
    <row r="2" spans="1:17" x14ac:dyDescent="0.55000000000000004">
      <c r="A2" s="206" t="s">
        <v>69</v>
      </c>
      <c r="B2" s="207"/>
      <c r="C2" s="207"/>
      <c r="D2" s="207"/>
      <c r="E2" s="207"/>
      <c r="F2" s="207"/>
      <c r="G2" s="207"/>
      <c r="H2" s="207"/>
      <c r="I2" s="207"/>
      <c r="J2" s="207"/>
      <c r="K2" s="207"/>
      <c r="L2" s="207"/>
      <c r="M2" s="207"/>
      <c r="N2" s="207"/>
      <c r="O2" s="207"/>
      <c r="P2" s="207"/>
      <c r="Q2" s="208"/>
    </row>
    <row r="3" spans="1:17" x14ac:dyDescent="0.55000000000000004">
      <c r="A3" s="209" t="s">
        <v>337</v>
      </c>
      <c r="C3" s="189" t="s">
        <v>94</v>
      </c>
      <c r="D3" s="189" t="s">
        <v>95</v>
      </c>
      <c r="E3" s="189" t="s">
        <v>96</v>
      </c>
      <c r="F3" s="189" t="s">
        <v>97</v>
      </c>
      <c r="G3" s="189" t="s">
        <v>93</v>
      </c>
      <c r="H3" s="189" t="s">
        <v>223</v>
      </c>
      <c r="I3" s="189" t="s">
        <v>224</v>
      </c>
      <c r="J3" s="189" t="s">
        <v>100</v>
      </c>
      <c r="K3" s="189" t="s">
        <v>338</v>
      </c>
      <c r="L3" s="189" t="s">
        <v>102</v>
      </c>
      <c r="M3" s="189" t="s">
        <v>103</v>
      </c>
      <c r="N3" s="189" t="s">
        <v>104</v>
      </c>
      <c r="O3" s="190" t="s">
        <v>339</v>
      </c>
      <c r="P3" s="190" t="s">
        <v>340</v>
      </c>
      <c r="Q3" s="210" t="s">
        <v>341</v>
      </c>
    </row>
    <row r="4" spans="1:17" x14ac:dyDescent="0.55000000000000004">
      <c r="A4" s="211" t="b">
        <v>0</v>
      </c>
      <c r="B4" s="35"/>
      <c r="C4" s="191">
        <f>'[1]January Reports'!$E$63</f>
        <v>49</v>
      </c>
      <c r="D4" s="192">
        <f>'[1]February Reports'!$E$62</f>
        <v>28</v>
      </c>
      <c r="E4" s="192">
        <f>'[1]March Reports'!$E$63</f>
        <v>22</v>
      </c>
      <c r="F4" s="203">
        <f>'[1]April Reports'!$E$65</f>
        <v>38</v>
      </c>
      <c r="G4" s="203">
        <f>'[1]May Reports'!$E$63</f>
        <v>20</v>
      </c>
      <c r="H4" s="203">
        <f>'[1]June Reports'!$E$63</f>
        <v>51</v>
      </c>
      <c r="I4" s="192">
        <f>[2]July!$E$3</f>
        <v>18</v>
      </c>
      <c r="J4" s="192">
        <f>[2]August!$E$3</f>
        <v>20</v>
      </c>
      <c r="K4" s="192">
        <f>[2]September!$E$3</f>
        <v>30</v>
      </c>
      <c r="L4" s="204">
        <f>[2]October!$E$3</f>
        <v>36</v>
      </c>
      <c r="M4" s="204">
        <f>[2]November!$E$3</f>
        <v>22</v>
      </c>
      <c r="N4" s="204">
        <f>[2]December!$E$3</f>
        <v>39</v>
      </c>
      <c r="O4" s="193">
        <f>SUM(C4:N4)</f>
        <v>373</v>
      </c>
      <c r="P4" s="229">
        <f t="shared" ref="P4:P14" si="0">O4/11</f>
        <v>33.909090909090907</v>
      </c>
      <c r="Q4" s="212">
        <f>O4</f>
        <v>373</v>
      </c>
    </row>
    <row r="5" spans="1:17" x14ac:dyDescent="0.55000000000000004">
      <c r="A5" s="209" t="str">
        <f>"Deliberately"</f>
        <v>Deliberately</v>
      </c>
      <c r="C5" s="194">
        <f>'[1]January Reports'!$H$63</f>
        <v>30</v>
      </c>
      <c r="D5" s="195">
        <f>'[1]February Reports'!$H$62</f>
        <v>7</v>
      </c>
      <c r="E5" s="195">
        <f>'[1]March Reports'!$H$63</f>
        <v>7</v>
      </c>
      <c r="F5" s="117">
        <f>'[1]April Reports'!$H$65</f>
        <v>19</v>
      </c>
      <c r="G5" s="117">
        <f>'[1]May Reports'!$H$63</f>
        <v>12</v>
      </c>
      <c r="H5" s="117">
        <f>'[1]June Reports'!$H$63</f>
        <v>28</v>
      </c>
      <c r="I5" s="195">
        <f>[2]July!$E$4</f>
        <v>13</v>
      </c>
      <c r="J5" s="195">
        <f>[2]August!$E$4</f>
        <v>16</v>
      </c>
      <c r="K5" s="195">
        <f>[2]September!$E$4</f>
        <v>17</v>
      </c>
      <c r="L5" s="196">
        <f>[2]October!$E$4</f>
        <v>20</v>
      </c>
      <c r="M5" s="196">
        <f>[2]November!$E$4</f>
        <v>12</v>
      </c>
      <c r="N5" s="196">
        <f>[2]December!$E$4</f>
        <v>20</v>
      </c>
      <c r="O5" s="106">
        <f t="shared" ref="O5:O14" si="1">SUM(C5:N5)</f>
        <v>201</v>
      </c>
      <c r="P5" s="230">
        <f t="shared" si="0"/>
        <v>18.272727272727273</v>
      </c>
      <c r="Q5" s="212">
        <f>O7</f>
        <v>83</v>
      </c>
    </row>
    <row r="6" spans="1:17" x14ac:dyDescent="0.55000000000000004">
      <c r="A6" s="209" t="str">
        <f>"Misunderstanding"</f>
        <v>Misunderstanding</v>
      </c>
      <c r="C6" s="194">
        <f>'[1]January Reports'!$H$64</f>
        <v>19</v>
      </c>
      <c r="D6" s="195">
        <f>'[1]February Reports'!$H$63</f>
        <v>21</v>
      </c>
      <c r="E6" s="195">
        <f>'[1]March Reports'!$H$64</f>
        <v>15</v>
      </c>
      <c r="F6" s="117">
        <f>'[1]April Reports'!$H$66</f>
        <v>19</v>
      </c>
      <c r="G6" s="117">
        <f>'[1]May Reports'!$H$64</f>
        <v>8</v>
      </c>
      <c r="H6" s="117">
        <f>'[1]June Reports'!$H$64</f>
        <v>23</v>
      </c>
      <c r="I6" s="195">
        <f>'[1]July Reports'!$H$68</f>
        <v>5</v>
      </c>
      <c r="J6" s="195">
        <f>[2]August!$E$5</f>
        <v>4</v>
      </c>
      <c r="K6" s="195">
        <f>[2]September!$E$5</f>
        <v>13</v>
      </c>
      <c r="L6" s="196">
        <f>[2]October!$E$5</f>
        <v>16</v>
      </c>
      <c r="M6" s="196">
        <f>[2]November!$E$5</f>
        <v>10</v>
      </c>
      <c r="N6" s="196">
        <f>[2]December!$E$5</f>
        <v>19</v>
      </c>
      <c r="O6" s="106">
        <f t="shared" si="1"/>
        <v>172</v>
      </c>
      <c r="P6" s="230">
        <f t="shared" si="0"/>
        <v>15.636363636363637</v>
      </c>
      <c r="Q6" s="212">
        <f>O12</f>
        <v>95</v>
      </c>
    </row>
    <row r="7" spans="1:17" x14ac:dyDescent="0.55000000000000004">
      <c r="A7" s="213" t="b">
        <v>1</v>
      </c>
      <c r="B7" s="35"/>
      <c r="C7" s="197">
        <f>'[1]January Reports'!$E$64</f>
        <v>10</v>
      </c>
      <c r="D7" s="198">
        <f>'[1]February Reports'!$E$63</f>
        <v>7</v>
      </c>
      <c r="E7" s="198">
        <f>'[1]March Reports'!$E$64</f>
        <v>16</v>
      </c>
      <c r="F7" s="203">
        <f>'[1]April Reports'!$E$66</f>
        <v>7</v>
      </c>
      <c r="G7" s="203">
        <f>'[1]May Reports'!$E$64</f>
        <v>7</v>
      </c>
      <c r="H7" s="203">
        <f>'[1]June Reports'!$E$64</f>
        <v>8</v>
      </c>
      <c r="I7" s="197">
        <f>'[1]July Reports'!$E$68</f>
        <v>2</v>
      </c>
      <c r="J7" s="198">
        <f>[2]August!$G$2</f>
        <v>8</v>
      </c>
      <c r="K7" s="198">
        <f>[2]September!$G$2</f>
        <v>5</v>
      </c>
      <c r="L7" s="204">
        <f>[2]October!$G$2</f>
        <v>7</v>
      </c>
      <c r="M7" s="204">
        <f>[2]November!$G$2</f>
        <v>2</v>
      </c>
      <c r="N7" s="204">
        <f>[2]December!$G$2</f>
        <v>4</v>
      </c>
      <c r="O7" s="193">
        <f t="shared" si="1"/>
        <v>83</v>
      </c>
      <c r="P7" s="229">
        <f t="shared" si="0"/>
        <v>7.5454545454545459</v>
      </c>
      <c r="Q7" s="214">
        <f>O13</f>
        <v>0</v>
      </c>
    </row>
    <row r="8" spans="1:17" x14ac:dyDescent="0.55000000000000004">
      <c r="A8" s="215" t="s">
        <v>347</v>
      </c>
      <c r="C8" s="194">
        <f>'[1]January Reports'!$M$63</f>
        <v>1</v>
      </c>
      <c r="D8" s="195">
        <f>'[1]February Reports'!$M$62</f>
        <v>2</v>
      </c>
      <c r="E8" s="195">
        <f>'[1]March Reports'!$M$63</f>
        <v>3</v>
      </c>
      <c r="F8" s="27">
        <f>'[1]April Reports'!$M$65</f>
        <v>2</v>
      </c>
      <c r="G8" s="27">
        <f>'[1]May Reports'!$M$63</f>
        <v>1</v>
      </c>
      <c r="H8" s="27">
        <f>'[1]June Reports'!$M$63</f>
        <v>2</v>
      </c>
      <c r="I8" s="194">
        <f>'[1]July Reports'!$M$67</f>
        <v>1</v>
      </c>
      <c r="J8" s="195">
        <f>[2]August!$G$3</f>
        <v>2</v>
      </c>
      <c r="K8" s="195">
        <f>[2]September!$G$3</f>
        <v>0</v>
      </c>
      <c r="L8">
        <f>[2]October!$G$3</f>
        <v>1</v>
      </c>
      <c r="M8">
        <f>[2]November!$G$3</f>
        <v>0</v>
      </c>
      <c r="N8">
        <f>[2]December!$G$3</f>
        <v>0</v>
      </c>
      <c r="O8" s="106">
        <f t="shared" si="1"/>
        <v>15</v>
      </c>
      <c r="P8" s="230">
        <f t="shared" si="0"/>
        <v>1.3636363636363635</v>
      </c>
      <c r="Q8" s="212"/>
    </row>
    <row r="9" spans="1:17" x14ac:dyDescent="0.55000000000000004">
      <c r="A9" s="215" t="s">
        <v>348</v>
      </c>
      <c r="C9" s="194">
        <f>'[1]January Reports'!$M$64</f>
        <v>2</v>
      </c>
      <c r="D9" s="195">
        <f>'[1]February Reports'!$M$63</f>
        <v>2</v>
      </c>
      <c r="E9" s="195">
        <f>'[1]March Reports'!$M$64</f>
        <v>4</v>
      </c>
      <c r="F9" s="27">
        <f>'[1]April Reports'!$M$66</f>
        <v>2</v>
      </c>
      <c r="G9" s="27">
        <f>'[1]May Reports'!$M$64</f>
        <v>3</v>
      </c>
      <c r="H9" s="27">
        <f>'[1]June Reports'!$M$64</f>
        <v>0</v>
      </c>
      <c r="I9" s="194">
        <f>'[1]July Reports'!$M$68</f>
        <v>0</v>
      </c>
      <c r="J9" s="195">
        <f>[2]August!$G$4</f>
        <v>4</v>
      </c>
      <c r="K9" s="195">
        <f>[2]September!$G$4</f>
        <v>1</v>
      </c>
      <c r="L9">
        <f>[2]October!$G$4</f>
        <v>2</v>
      </c>
      <c r="M9">
        <f>[2]November!$G$4</f>
        <v>0</v>
      </c>
      <c r="N9">
        <f>[2]December!$G$4</f>
        <v>3</v>
      </c>
      <c r="O9" s="106">
        <f t="shared" si="1"/>
        <v>23</v>
      </c>
      <c r="P9" s="230">
        <f t="shared" si="0"/>
        <v>2.0909090909090908</v>
      </c>
      <c r="Q9" s="212"/>
    </row>
    <row r="10" spans="1:17" x14ac:dyDescent="0.55000000000000004">
      <c r="A10" s="215" t="s">
        <v>109</v>
      </c>
      <c r="C10" s="194">
        <f>'[1]January Reports'!$M$65</f>
        <v>4</v>
      </c>
      <c r="D10" s="195">
        <f>'[1]February Reports'!$M$64</f>
        <v>3</v>
      </c>
      <c r="E10" s="195">
        <f>'[1]March Reports'!$M$65</f>
        <v>6</v>
      </c>
      <c r="F10" s="117">
        <f>'[1]April Reports'!$M$67</f>
        <v>1</v>
      </c>
      <c r="G10" s="117">
        <f>'[1]May Reports'!$M$65</f>
        <v>1</v>
      </c>
      <c r="H10" s="117">
        <f>'[1]June Reports'!$M$65</f>
        <v>3</v>
      </c>
      <c r="I10" s="195">
        <f>'[1]July Reports'!$M$69</f>
        <v>1</v>
      </c>
      <c r="J10" s="195">
        <f>[2]August!$G$5</f>
        <v>1</v>
      </c>
      <c r="K10" s="195">
        <f>[2]September!$G$5</f>
        <v>1</v>
      </c>
      <c r="L10" s="196">
        <f>[2]October!$G$5</f>
        <v>3</v>
      </c>
      <c r="M10" s="196">
        <f>[2]November!$G$5</f>
        <v>1</v>
      </c>
      <c r="N10" s="196">
        <f>[2]December!$G$5</f>
        <v>1</v>
      </c>
      <c r="O10" s="106">
        <f t="shared" si="1"/>
        <v>26</v>
      </c>
      <c r="P10" s="230">
        <f t="shared" si="0"/>
        <v>2.3636363636363638</v>
      </c>
      <c r="Q10" s="212"/>
    </row>
    <row r="11" spans="1:17" x14ac:dyDescent="0.55000000000000004">
      <c r="A11" s="215" t="s">
        <v>110</v>
      </c>
      <c r="C11" s="194">
        <f>'[1]January Reports'!$M$66</f>
        <v>3</v>
      </c>
      <c r="D11" s="195">
        <f>'[1]February Reports'!$M$65</f>
        <v>0</v>
      </c>
      <c r="E11" s="195">
        <f>'[1]March Reports'!$M$66</f>
        <v>3</v>
      </c>
      <c r="F11" s="27">
        <f>'[1]April Reports'!$M$68</f>
        <v>2</v>
      </c>
      <c r="G11" s="27">
        <f>'[1]May Reports'!$M$66</f>
        <v>2</v>
      </c>
      <c r="H11" s="27">
        <f>'[1]June Reports'!$M$66</f>
        <v>3</v>
      </c>
      <c r="I11" s="194">
        <f>'[1]July Reports'!$M$70</f>
        <v>0</v>
      </c>
      <c r="J11" s="195">
        <f>[2]August!$G$6</f>
        <v>1</v>
      </c>
      <c r="K11" s="195">
        <f>[2]September!$G$6</f>
        <v>3</v>
      </c>
      <c r="L11">
        <f>[2]October!$G$6</f>
        <v>2</v>
      </c>
      <c r="M11">
        <f>[2]November!$G$6</f>
        <v>1</v>
      </c>
      <c r="N11">
        <f>[2]December!$G$6</f>
        <v>0</v>
      </c>
      <c r="O11" s="106">
        <f t="shared" si="1"/>
        <v>20</v>
      </c>
      <c r="P11" s="230">
        <f t="shared" si="0"/>
        <v>1.8181818181818181</v>
      </c>
      <c r="Q11" s="212"/>
    </row>
    <row r="12" spans="1:17" x14ac:dyDescent="0.55000000000000004">
      <c r="A12" s="216" t="s">
        <v>111</v>
      </c>
      <c r="B12" s="35"/>
      <c r="C12" s="191">
        <f>'[1]January Reports'!$E$65</f>
        <v>15</v>
      </c>
      <c r="D12" s="192">
        <f>'[1]February Reports'!$E$64</f>
        <v>5</v>
      </c>
      <c r="E12" s="192">
        <f>'[1]March Reports'!$E$65</f>
        <v>7</v>
      </c>
      <c r="F12" s="203">
        <f>'[1]April Reports'!$E$67</f>
        <v>16</v>
      </c>
      <c r="G12" s="203">
        <f>'[1]May Reports'!$E$65</f>
        <v>5</v>
      </c>
      <c r="H12" s="203">
        <f>'[1]June Reports'!$E$65</f>
        <v>11</v>
      </c>
      <c r="I12" s="192">
        <f>'[1]July Reports'!$E$69</f>
        <v>4</v>
      </c>
      <c r="J12" s="192">
        <f>[2]August!$E$7</f>
        <v>2</v>
      </c>
      <c r="K12" s="192">
        <f>[2]September!$E$7</f>
        <v>3</v>
      </c>
      <c r="L12" s="204">
        <f>[2]October!$E$7</f>
        <v>2</v>
      </c>
      <c r="M12" s="204">
        <f>[2]November!$E$7</f>
        <v>11</v>
      </c>
      <c r="N12" s="204">
        <f>[2]December!$E$7</f>
        <v>14</v>
      </c>
      <c r="O12" s="193">
        <f t="shared" si="1"/>
        <v>95</v>
      </c>
      <c r="P12" s="229">
        <f t="shared" si="0"/>
        <v>8.6363636363636367</v>
      </c>
      <c r="Q12" s="212"/>
    </row>
    <row r="13" spans="1:17" x14ac:dyDescent="0.55000000000000004">
      <c r="A13" s="217" t="s">
        <v>112</v>
      </c>
      <c r="C13" s="199">
        <f>'[1]January Reports'!$E$66</f>
        <v>0</v>
      </c>
      <c r="D13" s="199">
        <f>'[1]February Reports'!$E$65</f>
        <v>0</v>
      </c>
      <c r="E13" s="199">
        <f>'[1]March Reports'!$E$66</f>
        <v>0</v>
      </c>
      <c r="F13" s="135">
        <f>'[1]April Reports'!$E$68</f>
        <v>0</v>
      </c>
      <c r="G13" s="135">
        <f>'[1]May Reports'!$E$66</f>
        <v>0</v>
      </c>
      <c r="H13" s="135">
        <f>'[1]June Reports'!$E$66</f>
        <v>0</v>
      </c>
      <c r="I13" s="199">
        <f>[2]July!$G$7</f>
        <v>0</v>
      </c>
      <c r="J13" s="199">
        <f>[2]August!$G$7</f>
        <v>0</v>
      </c>
      <c r="K13" s="199">
        <f>[2]September!$G$7</f>
        <v>0</v>
      </c>
      <c r="L13" s="205">
        <f>[2]October!$G$7</f>
        <v>0</v>
      </c>
      <c r="M13" s="205">
        <f>[2]November!$G$7</f>
        <v>0</v>
      </c>
      <c r="N13" s="205">
        <f>[2]December!$G$7</f>
        <v>0</v>
      </c>
      <c r="O13" s="200">
        <f t="shared" si="1"/>
        <v>0</v>
      </c>
      <c r="P13" s="231">
        <f t="shared" si="0"/>
        <v>0</v>
      </c>
      <c r="Q13" s="212"/>
    </row>
    <row r="14" spans="1:17" x14ac:dyDescent="0.55000000000000004">
      <c r="A14" s="211" t="s">
        <v>205</v>
      </c>
      <c r="B14" s="35"/>
      <c r="C14" s="201">
        <f>'[1]January Reports'!$E$62</f>
        <v>74</v>
      </c>
      <c r="D14" s="202">
        <f>'[1]February Reports'!$E$61</f>
        <v>40</v>
      </c>
      <c r="E14" s="202">
        <f>'[1]March Reports'!$E$62</f>
        <v>45</v>
      </c>
      <c r="F14" s="203">
        <f>'[1]April Reports'!$E$64</f>
        <v>61</v>
      </c>
      <c r="G14" s="203">
        <f>'[1]May Reports'!$E$62</f>
        <v>32</v>
      </c>
      <c r="H14" s="203">
        <f>'[1]June Reports'!$E$62</f>
        <v>70</v>
      </c>
      <c r="I14" s="202">
        <f>[2]July!$B$3</f>
        <v>24</v>
      </c>
      <c r="J14" s="202">
        <f>[2]August!$B$3</f>
        <v>30</v>
      </c>
      <c r="K14" s="202">
        <f>[2]September!$B$3</f>
        <v>38</v>
      </c>
      <c r="L14" s="204">
        <f>[2]October!$B$3</f>
        <v>45</v>
      </c>
      <c r="M14" s="204">
        <f>[2]November!$B$3</f>
        <v>35</v>
      </c>
      <c r="N14" s="204">
        <f>[2]December!$B$3</f>
        <v>57</v>
      </c>
      <c r="O14" s="193">
        <f t="shared" si="1"/>
        <v>551</v>
      </c>
      <c r="P14" s="229">
        <f t="shared" si="0"/>
        <v>50.090909090909093</v>
      </c>
      <c r="Q14" s="212"/>
    </row>
    <row r="15" spans="1:17" x14ac:dyDescent="0.55000000000000004">
      <c r="A15" s="209"/>
      <c r="Q15" s="212"/>
    </row>
    <row r="16" spans="1:17" x14ac:dyDescent="0.55000000000000004">
      <c r="A16" s="209"/>
      <c r="Q16" s="212"/>
    </row>
    <row r="17" spans="1:17" x14ac:dyDescent="0.55000000000000004">
      <c r="A17" s="209"/>
      <c r="Q17" s="212"/>
    </row>
    <row r="18" spans="1:17" x14ac:dyDescent="0.55000000000000004">
      <c r="A18" s="209"/>
      <c r="Q18" s="212"/>
    </row>
    <row r="19" spans="1:17" x14ac:dyDescent="0.55000000000000004">
      <c r="A19" s="209"/>
      <c r="Q19" s="212"/>
    </row>
    <row r="20" spans="1:17" x14ac:dyDescent="0.55000000000000004">
      <c r="A20" s="209"/>
      <c r="Q20" s="212"/>
    </row>
    <row r="21" spans="1:17" x14ac:dyDescent="0.55000000000000004">
      <c r="A21" s="209"/>
      <c r="Q21" s="212"/>
    </row>
    <row r="22" spans="1:17" x14ac:dyDescent="0.55000000000000004">
      <c r="A22" s="209"/>
      <c r="Q22" s="212"/>
    </row>
    <row r="23" spans="1:17" x14ac:dyDescent="0.55000000000000004">
      <c r="A23" s="209"/>
      <c r="Q23" s="212"/>
    </row>
    <row r="24" spans="1:17" x14ac:dyDescent="0.55000000000000004">
      <c r="A24" s="209"/>
      <c r="Q24" s="212"/>
    </row>
    <row r="25" spans="1:17" x14ac:dyDescent="0.55000000000000004">
      <c r="A25" s="209"/>
      <c r="Q25" s="212"/>
    </row>
    <row r="26" spans="1:17" x14ac:dyDescent="0.55000000000000004">
      <c r="A26" s="209"/>
      <c r="Q26" s="212"/>
    </row>
    <row r="27" spans="1:17" x14ac:dyDescent="0.55000000000000004">
      <c r="A27" s="209"/>
      <c r="Q27" s="212"/>
    </row>
    <row r="28" spans="1:17" x14ac:dyDescent="0.55000000000000004">
      <c r="A28" s="209"/>
      <c r="Q28" s="212"/>
    </row>
    <row r="29" spans="1:17" x14ac:dyDescent="0.55000000000000004">
      <c r="A29" s="209"/>
      <c r="Q29" s="212"/>
    </row>
    <row r="30" spans="1:17" x14ac:dyDescent="0.55000000000000004">
      <c r="A30" s="209"/>
      <c r="Q30" s="212"/>
    </row>
    <row r="31" spans="1:17" x14ac:dyDescent="0.55000000000000004">
      <c r="A31" s="209"/>
      <c r="Q31" s="212"/>
    </row>
    <row r="32" spans="1:17" ht="14.7" thickBot="1" x14ac:dyDescent="0.6">
      <c r="A32" s="218"/>
      <c r="B32" s="219"/>
      <c r="C32" s="219"/>
      <c r="D32" s="219"/>
      <c r="E32" s="219"/>
      <c r="F32" s="219"/>
      <c r="G32" s="219"/>
      <c r="H32" s="219"/>
      <c r="I32" s="219"/>
      <c r="J32" s="219"/>
      <c r="K32" s="219"/>
      <c r="L32" s="219"/>
      <c r="M32" s="219"/>
      <c r="N32" s="219"/>
      <c r="O32" s="219"/>
      <c r="P32" s="219"/>
      <c r="Q32" s="220"/>
    </row>
    <row r="34" spans="1:17" x14ac:dyDescent="0.55000000000000004">
      <c r="A34" t="s">
        <v>342</v>
      </c>
      <c r="B34" t="s">
        <v>345</v>
      </c>
      <c r="P34" s="129" t="s">
        <v>343</v>
      </c>
    </row>
    <row r="35" spans="1:17" x14ac:dyDescent="0.55000000000000004">
      <c r="A35" s="20" t="s">
        <v>234</v>
      </c>
      <c r="B35" s="221" t="s">
        <v>94</v>
      </c>
      <c r="C35" s="221" t="s">
        <v>95</v>
      </c>
      <c r="D35" s="221" t="s">
        <v>96</v>
      </c>
      <c r="E35" s="221" t="s">
        <v>97</v>
      </c>
      <c r="F35" s="221" t="s">
        <v>93</v>
      </c>
      <c r="G35" s="221" t="s">
        <v>98</v>
      </c>
      <c r="H35" s="221" t="s">
        <v>99</v>
      </c>
      <c r="I35" s="221" t="s">
        <v>100</v>
      </c>
      <c r="J35" s="221" t="s">
        <v>101</v>
      </c>
      <c r="K35" s="221" t="s">
        <v>102</v>
      </c>
      <c r="L35" s="221" t="s">
        <v>103</v>
      </c>
      <c r="M35" s="221" t="s">
        <v>104</v>
      </c>
      <c r="N35" s="109" t="s">
        <v>113</v>
      </c>
      <c r="O35" s="129" t="s">
        <v>351</v>
      </c>
      <c r="P35" t="str">
        <f>"False"</f>
        <v>False</v>
      </c>
      <c r="Q35" s="196">
        <f>N36</f>
        <v>0</v>
      </c>
    </row>
    <row r="36" spans="1:17" x14ac:dyDescent="0.55000000000000004">
      <c r="A36" s="21" t="b">
        <v>0</v>
      </c>
      <c r="B36" s="114">
        <f>SUM(B37:B38)</f>
        <v>0</v>
      </c>
      <c r="C36" s="114">
        <f>SUM(C37:C38)</f>
        <v>0</v>
      </c>
      <c r="D36" s="114">
        <f>SUM(D37:D38)</f>
        <v>0</v>
      </c>
      <c r="E36" s="114">
        <f>SUM(E37:E38)</f>
        <v>0</v>
      </c>
      <c r="F36" s="114">
        <f>SUM(F37:F38)</f>
        <v>0</v>
      </c>
      <c r="G36" s="114">
        <f t="shared" ref="G36" si="2">SUM(G37:G38)</f>
        <v>0</v>
      </c>
      <c r="H36" s="114"/>
      <c r="I36" s="114"/>
      <c r="J36" s="114"/>
      <c r="K36" s="114"/>
      <c r="L36" s="114"/>
      <c r="M36" s="114"/>
      <c r="N36" s="110">
        <f>SUM(B36:M36)</f>
        <v>0</v>
      </c>
      <c r="P36" t="str">
        <f>"True"</f>
        <v>True</v>
      </c>
      <c r="Q36" s="196">
        <f>N39</f>
        <v>0</v>
      </c>
    </row>
    <row r="37" spans="1:17" x14ac:dyDescent="0.55000000000000004">
      <c r="A37" s="22" t="s">
        <v>105</v>
      </c>
      <c r="B37" s="27">
        <f>COUNTIFS('2015 Grievance Tracking'!W:W, "1.1", '2015 Grievance Tracking'!AJ:AJ, "January")</f>
        <v>0</v>
      </c>
      <c r="C37" s="27">
        <f>COUNTIFS('2015 Grievance Tracking'!W:W, "1.1", '2015 Grievance Tracking'!AJ:AJ, "February")</f>
        <v>0</v>
      </c>
      <c r="D37" s="27">
        <f>COUNTIFS('2015 Grievance Tracking'!W:W, "1.1", '2015 Grievance Tracking'!AJ:AJ, "March")</f>
        <v>0</v>
      </c>
      <c r="E37" s="27">
        <f>COUNTIFS('2015 Grievance Tracking'!W:W, "1.1", '2015 Grievance Tracking'!AJ:AJ, "April")</f>
        <v>0</v>
      </c>
      <c r="F37" s="27">
        <f>COUNTIFS('2015 Grievance Tracking'!W:W, "1.1", '2015 Grievance Tracking'!AJ:AJ, "May")</f>
        <v>0</v>
      </c>
      <c r="G37" s="27">
        <f>COUNTIFS('2015 Grievance Tracking'!W:W, "1.1", '2015 Grievance Tracking'!AJ:AJ, "June")</f>
        <v>0</v>
      </c>
      <c r="H37" s="27"/>
      <c r="I37" s="27"/>
      <c r="J37" s="27"/>
      <c r="K37" s="27"/>
      <c r="L37" s="27"/>
      <c r="M37" s="27"/>
      <c r="N37" s="111">
        <f t="shared" ref="N37:N45" si="3">SUM(B37:M37)</f>
        <v>0</v>
      </c>
      <c r="P37" t="s">
        <v>344</v>
      </c>
      <c r="Q37" s="196">
        <f>N44</f>
        <v>0</v>
      </c>
    </row>
    <row r="38" spans="1:17" x14ac:dyDescent="0.55000000000000004">
      <c r="A38" s="22" t="s">
        <v>106</v>
      </c>
      <c r="B38" s="27">
        <f>COUNTIFS('2015 Grievance Tracking'!W:W, "1.2", '2015 Grievance Tracking'!AJ:AJ, "January")</f>
        <v>0</v>
      </c>
      <c r="C38" s="27">
        <f>COUNTIFS('2015 Grievance Tracking'!W:W, "1.2", '2015 Grievance Tracking'!AJ:AJ, "February")</f>
        <v>0</v>
      </c>
      <c r="D38" s="27">
        <f>COUNTIFS('2015 Grievance Tracking'!W:W, "1.2", '2015 Grievance Tracking'!AJ:AJ, "March")</f>
        <v>0</v>
      </c>
      <c r="E38" s="27">
        <f>COUNTIFS('2015 Grievance Tracking'!W:W, "1.2", '2015 Grievance Tracking'!AJ:AJ, "April")</f>
        <v>0</v>
      </c>
      <c r="F38" s="27">
        <f>COUNTIFS('2015 Grievance Tracking'!W:W, "1.2", '2015 Grievance Tracking'!AJ:AJ, "May")</f>
        <v>0</v>
      </c>
      <c r="G38" s="27">
        <f>COUNTIFS('2015 Grievance Tracking'!W:W, "1.2", '2015 Grievance Tracking'!AJ:AJ, "June")</f>
        <v>0</v>
      </c>
      <c r="H38" s="27"/>
      <c r="I38" s="27"/>
      <c r="J38" s="27"/>
      <c r="K38" s="27"/>
      <c r="L38" s="27"/>
      <c r="M38" s="27"/>
      <c r="N38" s="111">
        <f>SUM(B38:M38)</f>
        <v>0</v>
      </c>
      <c r="P38" t="s">
        <v>186</v>
      </c>
      <c r="Q38" s="196">
        <f>N45</f>
        <v>0</v>
      </c>
    </row>
    <row r="39" spans="1:17" x14ac:dyDescent="0.55000000000000004">
      <c r="A39" s="21" t="b">
        <v>1</v>
      </c>
      <c r="B39" s="115">
        <f>SUM(B40:B43)</f>
        <v>0</v>
      </c>
      <c r="C39" s="115">
        <f>SUM(C40:C43)</f>
        <v>0</v>
      </c>
      <c r="D39" s="115">
        <f>SUM(D40:D43)</f>
        <v>0</v>
      </c>
      <c r="E39" s="115">
        <f>SUM(E40:E43)</f>
        <v>0</v>
      </c>
      <c r="F39" s="115">
        <f>SUM(F40:F43)</f>
        <v>0</v>
      </c>
      <c r="G39" s="115">
        <f t="shared" ref="G39" si="4">SUM(G40:G43)</f>
        <v>0</v>
      </c>
      <c r="H39" s="115"/>
      <c r="I39" s="115"/>
      <c r="J39" s="115"/>
      <c r="K39" s="115"/>
      <c r="L39" s="115"/>
      <c r="M39" s="115"/>
      <c r="N39" s="110">
        <f t="shared" si="3"/>
        <v>0</v>
      </c>
    </row>
    <row r="40" spans="1:17" x14ac:dyDescent="0.55000000000000004">
      <c r="A40" s="22" t="s">
        <v>107</v>
      </c>
      <c r="B40" s="27">
        <f>COUNTIFS('2015 Grievance Tracking'!W:W, "2.1", '2015 Grievance Tracking'!AJ:AJ, "January")</f>
        <v>0</v>
      </c>
      <c r="C40" s="27">
        <f>COUNTIFS('2015 Grievance Tracking'!W:W, "2.1", '2015 Grievance Tracking'!AJ:AJ, "February")</f>
        <v>0</v>
      </c>
      <c r="D40" s="27">
        <f>COUNTIFS('2015 Grievance Tracking'!W:W, "2.1", '2015 Grievance Tracking'!AJ:AJ, "March")</f>
        <v>0</v>
      </c>
      <c r="E40" s="27">
        <f>COUNTIFS('2015 Grievance Tracking'!W:W, "2.1", '2015 Grievance Tracking'!AJ:AJ, "April")</f>
        <v>0</v>
      </c>
      <c r="F40" s="27">
        <f>COUNTIFS('2015 Grievance Tracking'!W:W, "2.1", '2015 Grievance Tracking'!AJ:AJ, "May")</f>
        <v>0</v>
      </c>
      <c r="G40" s="27">
        <f>COUNTIFS('2015 Grievance Tracking'!W:W, "2.1", '2015 Grievance Tracking'!AJ:AJ, "June")</f>
        <v>0</v>
      </c>
      <c r="H40" s="27"/>
      <c r="I40" s="27"/>
      <c r="J40" s="27"/>
      <c r="K40" s="27"/>
      <c r="L40" s="27"/>
      <c r="M40" s="27"/>
      <c r="N40" s="111">
        <f>SUM(B40:M40)</f>
        <v>0</v>
      </c>
      <c r="P40" t="s">
        <v>105</v>
      </c>
      <c r="Q40" s="196">
        <f>N37</f>
        <v>0</v>
      </c>
    </row>
    <row r="41" spans="1:17" x14ac:dyDescent="0.55000000000000004">
      <c r="A41" s="22" t="s">
        <v>108</v>
      </c>
      <c r="B41" s="27">
        <f>COUNTIFS('2015 Grievance Tracking'!W:W, "2.2", '2015 Grievance Tracking'!AJ:AJ, "January")</f>
        <v>0</v>
      </c>
      <c r="C41" s="27">
        <f>COUNTIFS('2015 Grievance Tracking'!W:W, "2.2", '2015 Grievance Tracking'!AJ:AJ, "February")</f>
        <v>0</v>
      </c>
      <c r="D41" s="27">
        <f>COUNTIFS('2015 Grievance Tracking'!W:W, "2.2", '2015 Grievance Tracking'!AJ:AJ, "March")</f>
        <v>0</v>
      </c>
      <c r="E41" s="27">
        <f>COUNTIFS('2015 Grievance Tracking'!W:W, "2.2", '2015 Grievance Tracking'!AJ:AJ, "April")</f>
        <v>0</v>
      </c>
      <c r="F41" s="27">
        <f>COUNTIFS('2015 Grievance Tracking'!W:W, "2.2", '2015 Grievance Tracking'!AJ:AJ, "May")</f>
        <v>0</v>
      </c>
      <c r="G41" s="27">
        <f>COUNTIFS('2015 Grievance Tracking'!W:W, "2.2", '2015 Grievance Tracking'!AJ:AJ, "June")</f>
        <v>0</v>
      </c>
      <c r="H41" s="27"/>
      <c r="I41" s="27"/>
      <c r="J41" s="27"/>
      <c r="K41" s="27"/>
      <c r="L41" s="27"/>
      <c r="M41" s="27"/>
      <c r="N41" s="111">
        <f t="shared" si="3"/>
        <v>0</v>
      </c>
      <c r="P41" t="s">
        <v>106</v>
      </c>
      <c r="Q41" s="196">
        <f>N38</f>
        <v>0</v>
      </c>
    </row>
    <row r="42" spans="1:17" x14ac:dyDescent="0.55000000000000004">
      <c r="A42" s="22" t="s">
        <v>109</v>
      </c>
      <c r="B42" s="27">
        <f>COUNTIFS('2015 Grievance Tracking'!W:W, "2.3", '2015 Grievance Tracking'!AJ:AJ, "January")</f>
        <v>0</v>
      </c>
      <c r="C42" s="27">
        <f>COUNTIFS('2015 Grievance Tracking'!W:W, "2.3", '2015 Grievance Tracking'!AJ:AJ, "February")</f>
        <v>0</v>
      </c>
      <c r="D42" s="27">
        <f>COUNTIFS('2015 Grievance Tracking'!W:W, "2.3", '2015 Grievance Tracking'!AJ:AJ, "March")</f>
        <v>0</v>
      </c>
      <c r="E42" s="27">
        <f>COUNTIFS('2015 Grievance Tracking'!W:W, "2.3", '2015 Grievance Tracking'!AJ:AJ, "April")</f>
        <v>0</v>
      </c>
      <c r="F42" s="27">
        <f>COUNTIFS('2015 Grievance Tracking'!W:W, "2.3", '2015 Grievance Tracking'!AJ:AJ, "May")</f>
        <v>0</v>
      </c>
      <c r="G42" s="27">
        <f>COUNTIFS('2015 Grievance Tracking'!W:W, "2.3", '2015 Grievance Tracking'!AJ:AJ, "June")</f>
        <v>0</v>
      </c>
      <c r="H42" s="27"/>
      <c r="I42" s="27"/>
      <c r="J42" s="27"/>
      <c r="K42" s="27"/>
      <c r="L42" s="27"/>
      <c r="M42" s="27"/>
      <c r="N42" s="111">
        <f t="shared" si="3"/>
        <v>0</v>
      </c>
    </row>
    <row r="43" spans="1:17" x14ac:dyDescent="0.55000000000000004">
      <c r="A43" s="22" t="s">
        <v>110</v>
      </c>
      <c r="B43" s="27">
        <f>COUNTIFS('2015 Grievance Tracking'!W:W, "2.4", '2015 Grievance Tracking'!AJ:AJ, "January")</f>
        <v>0</v>
      </c>
      <c r="C43" s="27">
        <f>COUNTIFS('2015 Grievance Tracking'!W:W, "2.4", '2015 Grievance Tracking'!AJ:AJ, "February")</f>
        <v>0</v>
      </c>
      <c r="D43" s="27">
        <f>COUNTIFS('2015 Grievance Tracking'!W:W, "2.4", '2015 Grievance Tracking'!AJ:AJ, "March")</f>
        <v>0</v>
      </c>
      <c r="E43" s="27">
        <f>COUNTIFS('2015 Grievance Tracking'!W:W, "2.4", '2015 Grievance Tracking'!AJ:AJ, "April")</f>
        <v>0</v>
      </c>
      <c r="F43" s="27">
        <f>COUNTIFS('2015 Grievance Tracking'!W:W, "2.4", '2015 Grievance Tracking'!AJ:AJ, "May")</f>
        <v>0</v>
      </c>
      <c r="G43" s="27">
        <f>COUNTIFS('2015 Grievance Tracking'!W:W, "2.4", '2015 Grievance Tracking'!AJ:AJ, "June")</f>
        <v>0</v>
      </c>
      <c r="H43" s="27"/>
      <c r="I43" s="27"/>
      <c r="J43" s="27"/>
      <c r="K43" s="27"/>
      <c r="L43" s="27"/>
      <c r="M43" s="27"/>
      <c r="N43" s="111">
        <f t="shared" si="3"/>
        <v>0</v>
      </c>
      <c r="P43" t="s">
        <v>107</v>
      </c>
      <c r="Q43" s="196">
        <f>N40</f>
        <v>0</v>
      </c>
    </row>
    <row r="44" spans="1:17" x14ac:dyDescent="0.55000000000000004">
      <c r="A44" s="21" t="s">
        <v>111</v>
      </c>
      <c r="B44" s="115">
        <f>COUNTIFS('2015 Grievance Tracking'!W:W, "3", '2015 Grievance Tracking'!AJ:AJ, "January")</f>
        <v>0</v>
      </c>
      <c r="C44" s="115">
        <f>COUNTIFS('2015 Grievance Tracking'!W:W, "3", '2015 Grievance Tracking'!AJ:AJ, "February")</f>
        <v>0</v>
      </c>
      <c r="D44" s="115">
        <f>COUNTIFS('2015 Grievance Tracking'!W:W, "3", '2015 Grievance Tracking'!AJ:AJ, "March")</f>
        <v>0</v>
      </c>
      <c r="E44" s="115">
        <f>COUNTIFS('2015 Grievance Tracking'!W:W, "3", '2015 Grievance Tracking'!AJ:AJ, "April")</f>
        <v>0</v>
      </c>
      <c r="F44" s="115">
        <f>COUNTIFS('2015 Grievance Tracking'!W:W, "3", '2015 Grievance Tracking'!AJ:AJ, "May")</f>
        <v>0</v>
      </c>
      <c r="G44" s="115">
        <f>COUNTIFS('2015 Grievance Tracking'!W:W, "3", '2015 Grievance Tracking'!AJ:AJ, "June")</f>
        <v>0</v>
      </c>
      <c r="H44" s="115"/>
      <c r="I44" s="115"/>
      <c r="J44" s="115"/>
      <c r="K44" s="115"/>
      <c r="L44" s="115"/>
      <c r="M44" s="115"/>
      <c r="N44" s="110">
        <f t="shared" si="3"/>
        <v>0</v>
      </c>
      <c r="P44" t="s">
        <v>108</v>
      </c>
      <c r="Q44" s="196">
        <f>N41</f>
        <v>0</v>
      </c>
    </row>
    <row r="45" spans="1:17" x14ac:dyDescent="0.55000000000000004">
      <c r="A45" s="22" t="s">
        <v>112</v>
      </c>
      <c r="B45" s="27">
        <f>COUNTIFS('2015 Grievance Tracking'!W:W, "4", '2015 Grievance Tracking'!AJ:AJ, "January")</f>
        <v>0</v>
      </c>
      <c r="C45" s="27">
        <f>COUNTIFS('2015 Grievance Tracking'!W:W, "4", '2015 Grievance Tracking'!AJ:AJ, "February")</f>
        <v>0</v>
      </c>
      <c r="D45" s="27">
        <f>COUNTIFS('2015 Grievance Tracking'!W:W, "4", '2015 Grievance Tracking'!AJ:AJ, "March")</f>
        <v>0</v>
      </c>
      <c r="E45" s="27">
        <f>COUNTIFS('2015 Grievance Tracking'!W:W, "4", '2015 Grievance Tracking'!AJ:AJ, "April")</f>
        <v>0</v>
      </c>
      <c r="F45" s="27">
        <f>COUNTIFS('2015 Grievance Tracking'!W:W, "4", '2015 Grievance Tracking'!AJ:AJ, "May")</f>
        <v>0</v>
      </c>
      <c r="G45" s="27">
        <f>COUNTIFS('2015 Grievance Tracking'!W:W, "4", '2015 Grievance Tracking'!AJ:AJ, "June")</f>
        <v>0</v>
      </c>
      <c r="H45" s="27"/>
      <c r="I45" s="27"/>
      <c r="J45" s="27"/>
      <c r="K45" s="27"/>
      <c r="L45" s="27"/>
      <c r="M45" s="27"/>
      <c r="N45" s="111">
        <f t="shared" si="3"/>
        <v>0</v>
      </c>
      <c r="P45" t="s">
        <v>109</v>
      </c>
      <c r="Q45" s="196">
        <f>N42</f>
        <v>0</v>
      </c>
    </row>
    <row r="46" spans="1:17" x14ac:dyDescent="0.55000000000000004">
      <c r="A46" s="95" t="s">
        <v>205</v>
      </c>
      <c r="B46" s="116">
        <f>SUM(B36+B39+B44+B45)</f>
        <v>0</v>
      </c>
      <c r="C46" s="116">
        <f>C36+C39+C44+C45</f>
        <v>0</v>
      </c>
      <c r="D46" s="116">
        <f>D36+D39+D44+D45</f>
        <v>0</v>
      </c>
      <c r="E46" s="116">
        <f>E36+E39+E44+E45</f>
        <v>0</v>
      </c>
      <c r="F46" s="116">
        <f>F36+F39+F45+F44</f>
        <v>0</v>
      </c>
      <c r="G46" s="116">
        <f>G36+G39+G44+G45</f>
        <v>0</v>
      </c>
      <c r="H46" s="116"/>
      <c r="I46" s="116"/>
      <c r="J46" s="116"/>
      <c r="K46" s="116"/>
      <c r="L46" s="116"/>
      <c r="M46" s="116"/>
      <c r="N46" s="112">
        <f>SUM(B46:M46)</f>
        <v>0</v>
      </c>
      <c r="P46" t="s">
        <v>346</v>
      </c>
      <c r="Q46" s="196">
        <f>N43</f>
        <v>0</v>
      </c>
    </row>
    <row r="112" spans="1:1" x14ac:dyDescent="0.55000000000000004">
      <c r="A112" t="s">
        <v>349</v>
      </c>
    </row>
    <row r="113" spans="1:14" x14ac:dyDescent="0.55000000000000004">
      <c r="B113" s="19" t="s">
        <v>94</v>
      </c>
      <c r="C113" s="19" t="s">
        <v>95</v>
      </c>
      <c r="D113" s="19" t="s">
        <v>96</v>
      </c>
      <c r="E113" s="19" t="s">
        <v>222</v>
      </c>
      <c r="F113" s="19" t="s">
        <v>93</v>
      </c>
      <c r="G113" s="19" t="s">
        <v>223</v>
      </c>
      <c r="H113" s="19" t="s">
        <v>224</v>
      </c>
      <c r="I113" s="19" t="s">
        <v>225</v>
      </c>
      <c r="J113" s="19" t="s">
        <v>338</v>
      </c>
      <c r="K113" s="19" t="s">
        <v>102</v>
      </c>
      <c r="L113" s="19" t="s">
        <v>103</v>
      </c>
      <c r="M113" s="19" t="s">
        <v>104</v>
      </c>
      <c r="N113" s="19" t="s">
        <v>350</v>
      </c>
    </row>
    <row r="114" spans="1:14" x14ac:dyDescent="0.55000000000000004">
      <c r="A114">
        <v>2014</v>
      </c>
      <c r="B114" s="183">
        <f>'[1]January Reports'!$K$35</f>
        <v>0.27419354838709675</v>
      </c>
      <c r="C114" s="183">
        <f>'[1]February Reports'!$K$35</f>
        <v>0.2109375</v>
      </c>
      <c r="D114" s="183">
        <f>'[1]March Reports'!$K$35</f>
        <v>0.21428571428571427</v>
      </c>
      <c r="E114" s="183">
        <f>'[1]April Reports'!$K$36</f>
        <v>0.23214285714285715</v>
      </c>
      <c r="F114" s="183">
        <f>'[1]May Reports'!$K$35</f>
        <v>0.21621621621621623</v>
      </c>
      <c r="G114" s="183">
        <f>'[1]June Reports'!$K$35</f>
        <v>0.34259259259259262</v>
      </c>
      <c r="H114" s="183">
        <f>'[1]July Reports'!$K$39</f>
        <v>0.15873015873015872</v>
      </c>
      <c r="I114" s="183">
        <f>'[1]August Reports'!$K$39</f>
        <v>0.14173228346456693</v>
      </c>
      <c r="J114" s="183">
        <f>'[1]September Reports'!$K$39</f>
        <v>0.17322834645669291</v>
      </c>
      <c r="K114" s="183">
        <f>'[1]October Reports'!$K$39</f>
        <v>0.31007751937984496</v>
      </c>
      <c r="L114" s="183">
        <f>'[1]November Reports'!$K$39</f>
        <v>0.13333333333333333</v>
      </c>
      <c r="M114" s="222">
        <v>0.23</v>
      </c>
      <c r="N114" s="222">
        <f>SUM(B114:M114)/12</f>
        <v>0.21978917249908947</v>
      </c>
    </row>
    <row r="115" spans="1:14" x14ac:dyDescent="0.55000000000000004">
      <c r="A115">
        <v>2015</v>
      </c>
      <c r="B115" s="183">
        <v>0.32</v>
      </c>
      <c r="C115" s="183">
        <v>0.34</v>
      </c>
      <c r="D115" s="183">
        <v>0.28000000000000003</v>
      </c>
      <c r="E115" s="183">
        <v>0.17</v>
      </c>
      <c r="F115" s="183">
        <v>0.18</v>
      </c>
      <c r="G115" s="183">
        <v>0.25</v>
      </c>
      <c r="H115" s="183">
        <v>0.22</v>
      </c>
      <c r="I115" s="183">
        <v>0.2</v>
      </c>
      <c r="J115" s="183">
        <v>0.19</v>
      </c>
      <c r="K115" s="183">
        <v>0.25</v>
      </c>
      <c r="L115" s="183">
        <v>0.17</v>
      </c>
      <c r="M115" s="183">
        <v>0.22</v>
      </c>
      <c r="N115" s="222">
        <f>SUM(B115:F115)/6</f>
        <v>0.215</v>
      </c>
    </row>
    <row r="151" spans="1:1" x14ac:dyDescent="0.55000000000000004">
      <c r="A151" t="s">
        <v>403</v>
      </c>
    </row>
  </sheetData>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GQ24"/>
  <sheetViews>
    <sheetView view="pageLayout" topLeftCell="FQ1" zoomScale="70" zoomScaleNormal="100" zoomScalePageLayoutView="70" workbookViewId="0">
      <selection activeCell="H1" sqref="H1"/>
    </sheetView>
  </sheetViews>
  <sheetFormatPr defaultRowHeight="14.4" x14ac:dyDescent="0.55000000000000004"/>
  <sheetData>
    <row r="1" spans="1:199" x14ac:dyDescent="0.55000000000000004">
      <c r="A1" t="s">
        <v>354</v>
      </c>
      <c r="L1" t="s">
        <v>385</v>
      </c>
      <c r="W1" t="s">
        <v>386</v>
      </c>
      <c r="AH1" t="s">
        <v>370</v>
      </c>
      <c r="AS1" t="s">
        <v>371</v>
      </c>
      <c r="BD1" t="s">
        <v>372</v>
      </c>
      <c r="BO1" t="s">
        <v>373</v>
      </c>
      <c r="BZ1" t="s">
        <v>387</v>
      </c>
      <c r="CK1" t="s">
        <v>388</v>
      </c>
      <c r="CV1" t="s">
        <v>389</v>
      </c>
      <c r="DG1" t="s">
        <v>390</v>
      </c>
      <c r="DR1" t="s">
        <v>391</v>
      </c>
      <c r="EC1" t="s">
        <v>392</v>
      </c>
      <c r="EN1" t="s">
        <v>393</v>
      </c>
      <c r="EY1" t="s">
        <v>394</v>
      </c>
      <c r="FJ1" t="s">
        <v>395</v>
      </c>
      <c r="FU1" t="s">
        <v>396</v>
      </c>
      <c r="GF1" t="s">
        <v>397</v>
      </c>
      <c r="GQ1" t="s">
        <v>398</v>
      </c>
    </row>
    <row r="3" spans="1:199" x14ac:dyDescent="0.55000000000000004">
      <c r="W3" s="19" t="s">
        <v>69</v>
      </c>
    </row>
    <row r="24" spans="2:2" x14ac:dyDescent="0.55000000000000004">
      <c r="B24" t="s">
        <v>69</v>
      </c>
    </row>
  </sheetData>
  <pageMargins left="0.25" right="0.25" top="0.57291666666666663" bottom="0.75" header="0.3" footer="0.3"/>
  <pageSetup orientation="portrait" r:id="rId1"/>
  <headerFooter>
    <oddHeader>&amp;LGrievance Reports for 2015&amp;R&amp;P</oddHead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theme="9"/>
  </sheetPr>
  <dimension ref="A1:B1309"/>
  <sheetViews>
    <sheetView workbookViewId="0">
      <selection activeCell="A11" sqref="A11"/>
    </sheetView>
  </sheetViews>
  <sheetFormatPr defaultRowHeight="14.4" x14ac:dyDescent="0.55000000000000004"/>
  <cols>
    <col min="1" max="1" width="110" style="63" customWidth="1"/>
    <col min="2" max="2" width="12" customWidth="1"/>
    <col min="3" max="3" width="3" customWidth="1"/>
    <col min="4" max="5" width="4.5234375" customWidth="1"/>
    <col min="6" max="6" width="3" customWidth="1"/>
    <col min="7" max="7" width="6.47265625" customWidth="1"/>
  </cols>
  <sheetData>
    <row r="1" spans="1:2" x14ac:dyDescent="0.55000000000000004">
      <c r="A1"/>
    </row>
    <row r="2" spans="1:2" x14ac:dyDescent="0.55000000000000004">
      <c r="A2"/>
    </row>
    <row r="3" spans="1:2" x14ac:dyDescent="0.55000000000000004">
      <c r="A3" s="98" t="s">
        <v>24</v>
      </c>
      <c r="B3" s="63" t="s">
        <v>314</v>
      </c>
    </row>
    <row r="4" spans="1:2" x14ac:dyDescent="0.55000000000000004">
      <c r="A4"/>
    </row>
    <row r="5" spans="1:2" x14ac:dyDescent="0.55000000000000004">
      <c r="A5" s="98" t="s">
        <v>230</v>
      </c>
    </row>
    <row r="6" spans="1:2" x14ac:dyDescent="0.55000000000000004">
      <c r="A6" s="63" t="s">
        <v>314</v>
      </c>
    </row>
    <row r="7" spans="1:2" x14ac:dyDescent="0.55000000000000004">
      <c r="A7" s="63" t="s">
        <v>314</v>
      </c>
    </row>
    <row r="8" spans="1:2" x14ac:dyDescent="0.55000000000000004">
      <c r="A8" s="63">
        <v>3</v>
      </c>
    </row>
    <row r="9" spans="1:2" x14ac:dyDescent="0.55000000000000004">
      <c r="A9" s="63" t="s">
        <v>314</v>
      </c>
    </row>
    <row r="10" spans="1:2" x14ac:dyDescent="0.55000000000000004">
      <c r="A10" s="63" t="s">
        <v>314</v>
      </c>
    </row>
    <row r="11" spans="1:2" x14ac:dyDescent="0.55000000000000004">
      <c r="A11" s="63" t="s">
        <v>314</v>
      </c>
    </row>
    <row r="12" spans="1:2" x14ac:dyDescent="0.55000000000000004">
      <c r="A12" s="63" t="s">
        <v>314</v>
      </c>
    </row>
    <row r="14" spans="1:2" x14ac:dyDescent="0.55000000000000004">
      <c r="A14" s="63">
        <v>4</v>
      </c>
    </row>
    <row r="15" spans="1:2" x14ac:dyDescent="0.55000000000000004">
      <c r="A15" s="63" t="s">
        <v>314</v>
      </c>
    </row>
    <row r="16" spans="1:2" x14ac:dyDescent="0.55000000000000004">
      <c r="A16" s="63" t="s">
        <v>314</v>
      </c>
    </row>
    <row r="17" spans="1:1" x14ac:dyDescent="0.55000000000000004">
      <c r="A17" s="63" t="s">
        <v>314</v>
      </c>
    </row>
    <row r="18" spans="1:1" x14ac:dyDescent="0.55000000000000004">
      <c r="A18" s="63" t="s">
        <v>314</v>
      </c>
    </row>
    <row r="20" spans="1:1" x14ac:dyDescent="0.55000000000000004">
      <c r="A20" s="63" t="s">
        <v>314</v>
      </c>
    </row>
    <row r="21" spans="1:1" x14ac:dyDescent="0.55000000000000004">
      <c r="A21" s="63" t="s">
        <v>314</v>
      </c>
    </row>
    <row r="22" spans="1:1" x14ac:dyDescent="0.55000000000000004">
      <c r="A22" s="63" t="s">
        <v>314</v>
      </c>
    </row>
    <row r="23" spans="1:1" x14ac:dyDescent="0.55000000000000004">
      <c r="A23" s="63" t="s">
        <v>314</v>
      </c>
    </row>
    <row r="24" spans="1:1" x14ac:dyDescent="0.55000000000000004">
      <c r="A24" s="63" t="s">
        <v>314</v>
      </c>
    </row>
    <row r="26" spans="1:1" x14ac:dyDescent="0.55000000000000004">
      <c r="A26" s="63">
        <v>1</v>
      </c>
    </row>
    <row r="27" spans="1:1" x14ac:dyDescent="0.55000000000000004">
      <c r="A27" s="63" t="s">
        <v>423</v>
      </c>
    </row>
    <row r="28" spans="1:1" x14ac:dyDescent="0.55000000000000004">
      <c r="A28" s="63" t="s">
        <v>314</v>
      </c>
    </row>
    <row r="29" spans="1:1" x14ac:dyDescent="0.55000000000000004">
      <c r="A29" s="63" t="s">
        <v>314</v>
      </c>
    </row>
    <row r="30" spans="1:1" x14ac:dyDescent="0.55000000000000004">
      <c r="A30" s="63" t="s">
        <v>314</v>
      </c>
    </row>
    <row r="32" spans="1:1" x14ac:dyDescent="0.55000000000000004">
      <c r="A32" s="63">
        <v>2</v>
      </c>
    </row>
    <row r="33" spans="1:1" x14ac:dyDescent="0.55000000000000004">
      <c r="A33" s="63" t="s">
        <v>314</v>
      </c>
    </row>
    <row r="34" spans="1:1" x14ac:dyDescent="0.55000000000000004">
      <c r="A34" s="63" t="s">
        <v>314</v>
      </c>
    </row>
    <row r="35" spans="1:1" x14ac:dyDescent="0.55000000000000004">
      <c r="A35" s="63" t="s">
        <v>314</v>
      </c>
    </row>
    <row r="36" spans="1:1" x14ac:dyDescent="0.55000000000000004">
      <c r="A36" s="63" t="s">
        <v>314</v>
      </c>
    </row>
    <row r="38" spans="1:1" x14ac:dyDescent="0.55000000000000004">
      <c r="A38" s="63" t="s">
        <v>231</v>
      </c>
    </row>
    <row r="39" spans="1:1" x14ac:dyDescent="0.55000000000000004">
      <c r="A39"/>
    </row>
    <row r="40" spans="1:1" x14ac:dyDescent="0.55000000000000004">
      <c r="A40"/>
    </row>
    <row r="41" spans="1:1" x14ac:dyDescent="0.55000000000000004">
      <c r="A41"/>
    </row>
    <row r="42" spans="1:1" x14ac:dyDescent="0.55000000000000004">
      <c r="A42"/>
    </row>
    <row r="43" spans="1:1" x14ac:dyDescent="0.55000000000000004">
      <c r="A43"/>
    </row>
    <row r="44" spans="1:1" x14ac:dyDescent="0.55000000000000004">
      <c r="A44"/>
    </row>
    <row r="45" spans="1:1" x14ac:dyDescent="0.55000000000000004">
      <c r="A45"/>
    </row>
    <row r="46" spans="1:1" x14ac:dyDescent="0.55000000000000004">
      <c r="A46"/>
    </row>
    <row r="47" spans="1:1" x14ac:dyDescent="0.55000000000000004">
      <c r="A47"/>
    </row>
    <row r="48" spans="1:1" x14ac:dyDescent="0.55000000000000004">
      <c r="A48"/>
    </row>
    <row r="49" spans="1:1" x14ac:dyDescent="0.55000000000000004">
      <c r="A49"/>
    </row>
    <row r="50" spans="1:1" x14ac:dyDescent="0.55000000000000004">
      <c r="A50"/>
    </row>
    <row r="51" spans="1:1" x14ac:dyDescent="0.55000000000000004">
      <c r="A51"/>
    </row>
    <row r="52" spans="1:1" x14ac:dyDescent="0.55000000000000004">
      <c r="A52"/>
    </row>
    <row r="53" spans="1:1" x14ac:dyDescent="0.55000000000000004">
      <c r="A53"/>
    </row>
    <row r="54" spans="1:1" x14ac:dyDescent="0.55000000000000004">
      <c r="A54"/>
    </row>
    <row r="55" spans="1:1" x14ac:dyDescent="0.55000000000000004">
      <c r="A55"/>
    </row>
    <row r="56" spans="1:1" x14ac:dyDescent="0.55000000000000004">
      <c r="A56"/>
    </row>
    <row r="57" spans="1:1" x14ac:dyDescent="0.55000000000000004">
      <c r="A57"/>
    </row>
    <row r="58" spans="1:1" x14ac:dyDescent="0.55000000000000004">
      <c r="A58"/>
    </row>
    <row r="59" spans="1:1" x14ac:dyDescent="0.55000000000000004">
      <c r="A59"/>
    </row>
    <row r="60" spans="1:1" x14ac:dyDescent="0.55000000000000004">
      <c r="A60"/>
    </row>
    <row r="61" spans="1:1" x14ac:dyDescent="0.55000000000000004">
      <c r="A61"/>
    </row>
    <row r="62" spans="1:1" x14ac:dyDescent="0.55000000000000004">
      <c r="A62"/>
    </row>
    <row r="63" spans="1:1" x14ac:dyDescent="0.55000000000000004">
      <c r="A63"/>
    </row>
    <row r="64" spans="1:1" x14ac:dyDescent="0.55000000000000004">
      <c r="A64"/>
    </row>
    <row r="65" spans="1:1" x14ac:dyDescent="0.55000000000000004">
      <c r="A65"/>
    </row>
    <row r="66" spans="1:1" x14ac:dyDescent="0.55000000000000004">
      <c r="A66"/>
    </row>
    <row r="67" spans="1:1" x14ac:dyDescent="0.55000000000000004">
      <c r="A67"/>
    </row>
    <row r="68" spans="1:1" x14ac:dyDescent="0.55000000000000004">
      <c r="A68"/>
    </row>
    <row r="69" spans="1:1" x14ac:dyDescent="0.55000000000000004">
      <c r="A69"/>
    </row>
    <row r="70" spans="1:1" x14ac:dyDescent="0.55000000000000004">
      <c r="A70"/>
    </row>
    <row r="71" spans="1:1" x14ac:dyDescent="0.55000000000000004">
      <c r="A71"/>
    </row>
    <row r="72" spans="1:1" x14ac:dyDescent="0.55000000000000004">
      <c r="A72"/>
    </row>
    <row r="73" spans="1:1" x14ac:dyDescent="0.55000000000000004">
      <c r="A73"/>
    </row>
    <row r="74" spans="1:1" x14ac:dyDescent="0.55000000000000004">
      <c r="A74"/>
    </row>
    <row r="75" spans="1:1" x14ac:dyDescent="0.55000000000000004">
      <c r="A75"/>
    </row>
    <row r="76" spans="1:1" x14ac:dyDescent="0.55000000000000004">
      <c r="A76"/>
    </row>
    <row r="77" spans="1:1" x14ac:dyDescent="0.55000000000000004">
      <c r="A77"/>
    </row>
    <row r="78" spans="1:1" x14ac:dyDescent="0.55000000000000004">
      <c r="A78"/>
    </row>
    <row r="79" spans="1:1" x14ac:dyDescent="0.55000000000000004">
      <c r="A79"/>
    </row>
    <row r="80" spans="1:1" x14ac:dyDescent="0.55000000000000004">
      <c r="A80"/>
    </row>
    <row r="81" spans="1:1" x14ac:dyDescent="0.55000000000000004">
      <c r="A81"/>
    </row>
    <row r="82" spans="1:1" x14ac:dyDescent="0.55000000000000004">
      <c r="A82"/>
    </row>
    <row r="83" spans="1:1" x14ac:dyDescent="0.55000000000000004">
      <c r="A83"/>
    </row>
    <row r="84" spans="1:1" x14ac:dyDescent="0.55000000000000004">
      <c r="A84"/>
    </row>
    <row r="85" spans="1:1" x14ac:dyDescent="0.55000000000000004">
      <c r="A85"/>
    </row>
    <row r="86" spans="1:1" x14ac:dyDescent="0.55000000000000004">
      <c r="A86"/>
    </row>
    <row r="87" spans="1:1" x14ac:dyDescent="0.55000000000000004">
      <c r="A87"/>
    </row>
    <row r="88" spans="1:1" x14ac:dyDescent="0.55000000000000004">
      <c r="A88"/>
    </row>
    <row r="89" spans="1:1" x14ac:dyDescent="0.55000000000000004">
      <c r="A89"/>
    </row>
    <row r="90" spans="1:1" x14ac:dyDescent="0.55000000000000004">
      <c r="A90"/>
    </row>
    <row r="91" spans="1:1" x14ac:dyDescent="0.55000000000000004">
      <c r="A91"/>
    </row>
    <row r="92" spans="1:1" x14ac:dyDescent="0.55000000000000004">
      <c r="A92"/>
    </row>
    <row r="93" spans="1:1" x14ac:dyDescent="0.55000000000000004">
      <c r="A93"/>
    </row>
    <row r="94" spans="1:1" x14ac:dyDescent="0.55000000000000004">
      <c r="A94"/>
    </row>
    <row r="95" spans="1:1" x14ac:dyDescent="0.55000000000000004">
      <c r="A95"/>
    </row>
    <row r="96" spans="1:1" x14ac:dyDescent="0.55000000000000004">
      <c r="A96"/>
    </row>
    <row r="97" spans="1:1" x14ac:dyDescent="0.55000000000000004">
      <c r="A97"/>
    </row>
    <row r="98" spans="1:1" x14ac:dyDescent="0.55000000000000004">
      <c r="A98"/>
    </row>
    <row r="99" spans="1:1" x14ac:dyDescent="0.55000000000000004">
      <c r="A99"/>
    </row>
    <row r="100" spans="1:1" x14ac:dyDescent="0.55000000000000004">
      <c r="A100"/>
    </row>
    <row r="101" spans="1:1" x14ac:dyDescent="0.55000000000000004">
      <c r="A101"/>
    </row>
    <row r="102" spans="1:1" x14ac:dyDescent="0.55000000000000004">
      <c r="A102"/>
    </row>
    <row r="103" spans="1:1" x14ac:dyDescent="0.55000000000000004">
      <c r="A103"/>
    </row>
    <row r="104" spans="1:1" x14ac:dyDescent="0.55000000000000004">
      <c r="A104"/>
    </row>
    <row r="105" spans="1:1" x14ac:dyDescent="0.55000000000000004">
      <c r="A105"/>
    </row>
    <row r="106" spans="1:1" x14ac:dyDescent="0.55000000000000004">
      <c r="A106"/>
    </row>
    <row r="107" spans="1:1" x14ac:dyDescent="0.55000000000000004">
      <c r="A107"/>
    </row>
    <row r="108" spans="1:1" x14ac:dyDescent="0.55000000000000004">
      <c r="A108"/>
    </row>
    <row r="109" spans="1:1" x14ac:dyDescent="0.55000000000000004">
      <c r="A109"/>
    </row>
    <row r="110" spans="1:1" x14ac:dyDescent="0.55000000000000004">
      <c r="A110"/>
    </row>
    <row r="111" spans="1:1" x14ac:dyDescent="0.55000000000000004">
      <c r="A111"/>
    </row>
    <row r="112" spans="1:1" x14ac:dyDescent="0.55000000000000004">
      <c r="A112"/>
    </row>
    <row r="113" spans="1:1" x14ac:dyDescent="0.55000000000000004">
      <c r="A113"/>
    </row>
    <row r="114" spans="1:1" x14ac:dyDescent="0.55000000000000004">
      <c r="A114"/>
    </row>
    <row r="115" spans="1:1" x14ac:dyDescent="0.55000000000000004">
      <c r="A115"/>
    </row>
    <row r="116" spans="1:1" x14ac:dyDescent="0.55000000000000004">
      <c r="A116"/>
    </row>
    <row r="117" spans="1:1" x14ac:dyDescent="0.55000000000000004">
      <c r="A117"/>
    </row>
    <row r="118" spans="1:1" x14ac:dyDescent="0.55000000000000004">
      <c r="A118"/>
    </row>
    <row r="119" spans="1:1" x14ac:dyDescent="0.55000000000000004">
      <c r="A119"/>
    </row>
    <row r="120" spans="1:1" x14ac:dyDescent="0.55000000000000004">
      <c r="A120"/>
    </row>
    <row r="121" spans="1:1" x14ac:dyDescent="0.55000000000000004">
      <c r="A121"/>
    </row>
    <row r="122" spans="1:1" x14ac:dyDescent="0.55000000000000004">
      <c r="A122"/>
    </row>
    <row r="123" spans="1:1" x14ac:dyDescent="0.55000000000000004">
      <c r="A123"/>
    </row>
    <row r="124" spans="1:1" x14ac:dyDescent="0.55000000000000004">
      <c r="A124"/>
    </row>
    <row r="125" spans="1:1" x14ac:dyDescent="0.55000000000000004">
      <c r="A125"/>
    </row>
    <row r="126" spans="1:1" x14ac:dyDescent="0.55000000000000004">
      <c r="A126"/>
    </row>
    <row r="127" spans="1:1" x14ac:dyDescent="0.55000000000000004">
      <c r="A127"/>
    </row>
    <row r="128" spans="1:1" x14ac:dyDescent="0.55000000000000004">
      <c r="A128"/>
    </row>
    <row r="129" spans="1:1" x14ac:dyDescent="0.55000000000000004">
      <c r="A129"/>
    </row>
    <row r="130" spans="1:1" x14ac:dyDescent="0.55000000000000004">
      <c r="A130"/>
    </row>
    <row r="131" spans="1:1" x14ac:dyDescent="0.55000000000000004">
      <c r="A131"/>
    </row>
    <row r="132" spans="1:1" x14ac:dyDescent="0.55000000000000004">
      <c r="A132"/>
    </row>
    <row r="133" spans="1:1" x14ac:dyDescent="0.55000000000000004">
      <c r="A133"/>
    </row>
    <row r="134" spans="1:1" x14ac:dyDescent="0.55000000000000004">
      <c r="A134"/>
    </row>
    <row r="135" spans="1:1" x14ac:dyDescent="0.55000000000000004">
      <c r="A135"/>
    </row>
    <row r="136" spans="1:1" x14ac:dyDescent="0.55000000000000004">
      <c r="A136"/>
    </row>
    <row r="137" spans="1:1" x14ac:dyDescent="0.55000000000000004">
      <c r="A137"/>
    </row>
    <row r="138" spans="1:1" x14ac:dyDescent="0.55000000000000004">
      <c r="A138"/>
    </row>
    <row r="139" spans="1:1" x14ac:dyDescent="0.55000000000000004">
      <c r="A139"/>
    </row>
    <row r="140" spans="1:1" x14ac:dyDescent="0.55000000000000004">
      <c r="A140"/>
    </row>
    <row r="141" spans="1:1" x14ac:dyDescent="0.55000000000000004">
      <c r="A141"/>
    </row>
    <row r="142" spans="1:1" x14ac:dyDescent="0.55000000000000004">
      <c r="A142"/>
    </row>
    <row r="143" spans="1:1" x14ac:dyDescent="0.55000000000000004">
      <c r="A143"/>
    </row>
    <row r="144" spans="1:1" x14ac:dyDescent="0.55000000000000004">
      <c r="A144"/>
    </row>
    <row r="145" spans="1:1" x14ac:dyDescent="0.55000000000000004">
      <c r="A145"/>
    </row>
    <row r="146" spans="1:1" x14ac:dyDescent="0.55000000000000004">
      <c r="A146"/>
    </row>
    <row r="147" spans="1:1" x14ac:dyDescent="0.55000000000000004">
      <c r="A147"/>
    </row>
    <row r="148" spans="1:1" x14ac:dyDescent="0.55000000000000004">
      <c r="A148"/>
    </row>
    <row r="149" spans="1:1" x14ac:dyDescent="0.55000000000000004">
      <c r="A149"/>
    </row>
    <row r="150" spans="1:1" x14ac:dyDescent="0.55000000000000004">
      <c r="A150"/>
    </row>
    <row r="151" spans="1:1" x14ac:dyDescent="0.55000000000000004">
      <c r="A151"/>
    </row>
    <row r="152" spans="1:1" x14ac:dyDescent="0.55000000000000004">
      <c r="A152"/>
    </row>
    <row r="153" spans="1:1" x14ac:dyDescent="0.55000000000000004">
      <c r="A153"/>
    </row>
    <row r="154" spans="1:1" x14ac:dyDescent="0.55000000000000004">
      <c r="A154"/>
    </row>
    <row r="155" spans="1:1" x14ac:dyDescent="0.55000000000000004">
      <c r="A155"/>
    </row>
    <row r="156" spans="1:1" x14ac:dyDescent="0.55000000000000004">
      <c r="A156"/>
    </row>
    <row r="157" spans="1:1" x14ac:dyDescent="0.55000000000000004">
      <c r="A157"/>
    </row>
    <row r="158" spans="1:1" x14ac:dyDescent="0.55000000000000004">
      <c r="A158"/>
    </row>
    <row r="159" spans="1:1" x14ac:dyDescent="0.55000000000000004">
      <c r="A159"/>
    </row>
    <row r="160" spans="1:1" x14ac:dyDescent="0.55000000000000004">
      <c r="A160"/>
    </row>
    <row r="161" spans="1:1" x14ac:dyDescent="0.55000000000000004">
      <c r="A161"/>
    </row>
    <row r="162" spans="1:1" x14ac:dyDescent="0.55000000000000004">
      <c r="A162"/>
    </row>
    <row r="163" spans="1:1" x14ac:dyDescent="0.55000000000000004">
      <c r="A163"/>
    </row>
    <row r="164" spans="1:1" x14ac:dyDescent="0.55000000000000004">
      <c r="A164"/>
    </row>
    <row r="165" spans="1:1" x14ac:dyDescent="0.55000000000000004">
      <c r="A165"/>
    </row>
    <row r="166" spans="1:1" x14ac:dyDescent="0.55000000000000004">
      <c r="A166"/>
    </row>
    <row r="167" spans="1:1" x14ac:dyDescent="0.55000000000000004">
      <c r="A167"/>
    </row>
    <row r="168" spans="1:1" x14ac:dyDescent="0.55000000000000004">
      <c r="A168"/>
    </row>
    <row r="169" spans="1:1" x14ac:dyDescent="0.55000000000000004">
      <c r="A169"/>
    </row>
    <row r="170" spans="1:1" x14ac:dyDescent="0.55000000000000004">
      <c r="A170"/>
    </row>
    <row r="171" spans="1:1" x14ac:dyDescent="0.55000000000000004">
      <c r="A171"/>
    </row>
    <row r="172" spans="1:1" x14ac:dyDescent="0.55000000000000004">
      <c r="A172"/>
    </row>
    <row r="173" spans="1:1" x14ac:dyDescent="0.55000000000000004">
      <c r="A173"/>
    </row>
    <row r="174" spans="1:1" x14ac:dyDescent="0.55000000000000004">
      <c r="A174"/>
    </row>
    <row r="175" spans="1:1" x14ac:dyDescent="0.55000000000000004">
      <c r="A175"/>
    </row>
    <row r="176" spans="1:1" x14ac:dyDescent="0.55000000000000004">
      <c r="A176"/>
    </row>
    <row r="177" spans="1:1" x14ac:dyDescent="0.55000000000000004">
      <c r="A177"/>
    </row>
    <row r="178" spans="1:1" x14ac:dyDescent="0.55000000000000004">
      <c r="A178"/>
    </row>
    <row r="179" spans="1:1" x14ac:dyDescent="0.55000000000000004">
      <c r="A179"/>
    </row>
    <row r="180" spans="1:1" x14ac:dyDescent="0.55000000000000004">
      <c r="A180"/>
    </row>
    <row r="181" spans="1:1" x14ac:dyDescent="0.55000000000000004">
      <c r="A181"/>
    </row>
    <row r="182" spans="1:1" x14ac:dyDescent="0.55000000000000004">
      <c r="A182"/>
    </row>
    <row r="183" spans="1:1" x14ac:dyDescent="0.55000000000000004">
      <c r="A183"/>
    </row>
    <row r="184" spans="1:1" x14ac:dyDescent="0.55000000000000004">
      <c r="A184"/>
    </row>
    <row r="185" spans="1:1" x14ac:dyDescent="0.55000000000000004">
      <c r="A185"/>
    </row>
    <row r="186" spans="1:1" x14ac:dyDescent="0.55000000000000004">
      <c r="A186"/>
    </row>
    <row r="187" spans="1:1" x14ac:dyDescent="0.55000000000000004">
      <c r="A187"/>
    </row>
    <row r="188" spans="1:1" x14ac:dyDescent="0.55000000000000004">
      <c r="A188"/>
    </row>
    <row r="189" spans="1:1" x14ac:dyDescent="0.55000000000000004">
      <c r="A189"/>
    </row>
    <row r="190" spans="1:1" x14ac:dyDescent="0.55000000000000004">
      <c r="A190"/>
    </row>
    <row r="191" spans="1:1" x14ac:dyDescent="0.55000000000000004">
      <c r="A191"/>
    </row>
    <row r="192" spans="1:1" x14ac:dyDescent="0.55000000000000004">
      <c r="A192"/>
    </row>
    <row r="193" spans="1:1" x14ac:dyDescent="0.55000000000000004">
      <c r="A193"/>
    </row>
    <row r="194" spans="1:1" x14ac:dyDescent="0.55000000000000004">
      <c r="A194"/>
    </row>
    <row r="195" spans="1:1" x14ac:dyDescent="0.55000000000000004">
      <c r="A195"/>
    </row>
    <row r="196" spans="1:1" x14ac:dyDescent="0.55000000000000004">
      <c r="A196"/>
    </row>
    <row r="197" spans="1:1" x14ac:dyDescent="0.55000000000000004">
      <c r="A197"/>
    </row>
    <row r="198" spans="1:1" x14ac:dyDescent="0.55000000000000004">
      <c r="A198"/>
    </row>
    <row r="199" spans="1:1" x14ac:dyDescent="0.55000000000000004">
      <c r="A199"/>
    </row>
    <row r="200" spans="1:1" x14ac:dyDescent="0.55000000000000004">
      <c r="A200"/>
    </row>
    <row r="201" spans="1:1" x14ac:dyDescent="0.55000000000000004">
      <c r="A201"/>
    </row>
    <row r="202" spans="1:1" x14ac:dyDescent="0.55000000000000004">
      <c r="A202"/>
    </row>
    <row r="203" spans="1:1" x14ac:dyDescent="0.55000000000000004">
      <c r="A203"/>
    </row>
    <row r="204" spans="1:1" x14ac:dyDescent="0.55000000000000004">
      <c r="A204"/>
    </row>
    <row r="205" spans="1:1" x14ac:dyDescent="0.55000000000000004">
      <c r="A205"/>
    </row>
    <row r="206" spans="1:1" x14ac:dyDescent="0.55000000000000004">
      <c r="A206"/>
    </row>
    <row r="207" spans="1:1" x14ac:dyDescent="0.55000000000000004">
      <c r="A207"/>
    </row>
    <row r="208" spans="1:1" x14ac:dyDescent="0.55000000000000004">
      <c r="A208"/>
    </row>
    <row r="209" spans="1:1" x14ac:dyDescent="0.55000000000000004">
      <c r="A209"/>
    </row>
    <row r="210" spans="1:1" x14ac:dyDescent="0.55000000000000004">
      <c r="A210"/>
    </row>
    <row r="211" spans="1:1" x14ac:dyDescent="0.55000000000000004">
      <c r="A211"/>
    </row>
    <row r="212" spans="1:1" x14ac:dyDescent="0.55000000000000004">
      <c r="A212"/>
    </row>
    <row r="213" spans="1:1" x14ac:dyDescent="0.55000000000000004">
      <c r="A213"/>
    </row>
    <row r="214" spans="1:1" x14ac:dyDescent="0.55000000000000004">
      <c r="A214"/>
    </row>
    <row r="215" spans="1:1" x14ac:dyDescent="0.55000000000000004">
      <c r="A215"/>
    </row>
    <row r="216" spans="1:1" x14ac:dyDescent="0.55000000000000004">
      <c r="A216"/>
    </row>
    <row r="217" spans="1:1" x14ac:dyDescent="0.55000000000000004">
      <c r="A217"/>
    </row>
    <row r="218" spans="1:1" x14ac:dyDescent="0.55000000000000004">
      <c r="A218"/>
    </row>
    <row r="219" spans="1:1" x14ac:dyDescent="0.55000000000000004">
      <c r="A219"/>
    </row>
    <row r="220" spans="1:1" x14ac:dyDescent="0.55000000000000004">
      <c r="A220"/>
    </row>
    <row r="221" spans="1:1" x14ac:dyDescent="0.55000000000000004">
      <c r="A221"/>
    </row>
    <row r="222" spans="1:1" x14ac:dyDescent="0.55000000000000004">
      <c r="A222"/>
    </row>
    <row r="223" spans="1:1" x14ac:dyDescent="0.55000000000000004">
      <c r="A223"/>
    </row>
    <row r="224" spans="1:1" x14ac:dyDescent="0.55000000000000004">
      <c r="A224"/>
    </row>
    <row r="225" spans="1:1" x14ac:dyDescent="0.55000000000000004">
      <c r="A225"/>
    </row>
    <row r="226" spans="1:1" x14ac:dyDescent="0.55000000000000004">
      <c r="A226"/>
    </row>
    <row r="227" spans="1:1" x14ac:dyDescent="0.55000000000000004">
      <c r="A227"/>
    </row>
    <row r="228" spans="1:1" x14ac:dyDescent="0.55000000000000004">
      <c r="A228"/>
    </row>
    <row r="229" spans="1:1" x14ac:dyDescent="0.55000000000000004">
      <c r="A229"/>
    </row>
    <row r="230" spans="1:1" x14ac:dyDescent="0.55000000000000004">
      <c r="A230"/>
    </row>
    <row r="231" spans="1:1" x14ac:dyDescent="0.55000000000000004">
      <c r="A231"/>
    </row>
    <row r="232" spans="1:1" x14ac:dyDescent="0.55000000000000004">
      <c r="A232"/>
    </row>
    <row r="233" spans="1:1" x14ac:dyDescent="0.55000000000000004">
      <c r="A233"/>
    </row>
    <row r="234" spans="1:1" x14ac:dyDescent="0.55000000000000004">
      <c r="A234"/>
    </row>
    <row r="235" spans="1:1" x14ac:dyDescent="0.55000000000000004">
      <c r="A235"/>
    </row>
    <row r="236" spans="1:1" x14ac:dyDescent="0.55000000000000004">
      <c r="A236"/>
    </row>
    <row r="237" spans="1:1" x14ac:dyDescent="0.55000000000000004">
      <c r="A237"/>
    </row>
    <row r="238" spans="1:1" x14ac:dyDescent="0.55000000000000004">
      <c r="A238"/>
    </row>
    <row r="239" spans="1:1" x14ac:dyDescent="0.55000000000000004">
      <c r="A239"/>
    </row>
    <row r="240" spans="1:1" x14ac:dyDescent="0.55000000000000004">
      <c r="A240"/>
    </row>
    <row r="241" spans="1:1" x14ac:dyDescent="0.55000000000000004">
      <c r="A241"/>
    </row>
    <row r="242" spans="1:1" x14ac:dyDescent="0.55000000000000004">
      <c r="A242"/>
    </row>
    <row r="243" spans="1:1" x14ac:dyDescent="0.55000000000000004">
      <c r="A243"/>
    </row>
    <row r="244" spans="1:1" x14ac:dyDescent="0.55000000000000004">
      <c r="A244"/>
    </row>
    <row r="245" spans="1:1" x14ac:dyDescent="0.55000000000000004">
      <c r="A245"/>
    </row>
    <row r="246" spans="1:1" x14ac:dyDescent="0.55000000000000004">
      <c r="A246"/>
    </row>
    <row r="247" spans="1:1" x14ac:dyDescent="0.55000000000000004">
      <c r="A247"/>
    </row>
    <row r="248" spans="1:1" x14ac:dyDescent="0.55000000000000004">
      <c r="A248"/>
    </row>
    <row r="249" spans="1:1" x14ac:dyDescent="0.55000000000000004">
      <c r="A249"/>
    </row>
    <row r="250" spans="1:1" x14ac:dyDescent="0.55000000000000004">
      <c r="A250"/>
    </row>
    <row r="251" spans="1:1" x14ac:dyDescent="0.55000000000000004">
      <c r="A251"/>
    </row>
    <row r="252" spans="1:1" x14ac:dyDescent="0.55000000000000004">
      <c r="A252"/>
    </row>
    <row r="253" spans="1:1" x14ac:dyDescent="0.55000000000000004">
      <c r="A253"/>
    </row>
    <row r="254" spans="1:1" x14ac:dyDescent="0.55000000000000004">
      <c r="A254"/>
    </row>
    <row r="255" spans="1:1" x14ac:dyDescent="0.55000000000000004">
      <c r="A255"/>
    </row>
    <row r="256" spans="1:1" x14ac:dyDescent="0.55000000000000004">
      <c r="A256"/>
    </row>
    <row r="257" spans="1:1" x14ac:dyDescent="0.55000000000000004">
      <c r="A257"/>
    </row>
    <row r="258" spans="1:1" x14ac:dyDescent="0.55000000000000004">
      <c r="A258"/>
    </row>
    <row r="259" spans="1:1" x14ac:dyDescent="0.55000000000000004">
      <c r="A259"/>
    </row>
    <row r="260" spans="1:1" x14ac:dyDescent="0.55000000000000004">
      <c r="A260"/>
    </row>
    <row r="261" spans="1:1" x14ac:dyDescent="0.55000000000000004">
      <c r="A261"/>
    </row>
    <row r="262" spans="1:1" x14ac:dyDescent="0.55000000000000004">
      <c r="A262"/>
    </row>
    <row r="263" spans="1:1" x14ac:dyDescent="0.55000000000000004">
      <c r="A263"/>
    </row>
    <row r="264" spans="1:1" x14ac:dyDescent="0.55000000000000004">
      <c r="A264"/>
    </row>
    <row r="265" spans="1:1" x14ac:dyDescent="0.55000000000000004">
      <c r="A265"/>
    </row>
    <row r="266" spans="1:1" x14ac:dyDescent="0.55000000000000004">
      <c r="A266"/>
    </row>
    <row r="267" spans="1:1" x14ac:dyDescent="0.55000000000000004">
      <c r="A267"/>
    </row>
    <row r="268" spans="1:1" x14ac:dyDescent="0.55000000000000004">
      <c r="A268"/>
    </row>
    <row r="269" spans="1:1" x14ac:dyDescent="0.55000000000000004">
      <c r="A269"/>
    </row>
    <row r="270" spans="1:1" x14ac:dyDescent="0.55000000000000004">
      <c r="A270"/>
    </row>
    <row r="271" spans="1:1" x14ac:dyDescent="0.55000000000000004">
      <c r="A271"/>
    </row>
    <row r="272" spans="1:1" x14ac:dyDescent="0.55000000000000004">
      <c r="A272"/>
    </row>
    <row r="273" spans="1:1" x14ac:dyDescent="0.55000000000000004">
      <c r="A273"/>
    </row>
    <row r="274" spans="1:1" x14ac:dyDescent="0.55000000000000004">
      <c r="A274"/>
    </row>
    <row r="275" spans="1:1" x14ac:dyDescent="0.55000000000000004">
      <c r="A275"/>
    </row>
    <row r="276" spans="1:1" x14ac:dyDescent="0.55000000000000004">
      <c r="A276"/>
    </row>
    <row r="277" spans="1:1" x14ac:dyDescent="0.55000000000000004">
      <c r="A277"/>
    </row>
    <row r="278" spans="1:1" x14ac:dyDescent="0.55000000000000004">
      <c r="A278"/>
    </row>
    <row r="279" spans="1:1" x14ac:dyDescent="0.55000000000000004">
      <c r="A279"/>
    </row>
    <row r="280" spans="1:1" x14ac:dyDescent="0.55000000000000004">
      <c r="A280"/>
    </row>
    <row r="281" spans="1:1" x14ac:dyDescent="0.55000000000000004">
      <c r="A281"/>
    </row>
    <row r="282" spans="1:1" x14ac:dyDescent="0.55000000000000004">
      <c r="A282"/>
    </row>
    <row r="283" spans="1:1" x14ac:dyDescent="0.55000000000000004">
      <c r="A283"/>
    </row>
    <row r="284" spans="1:1" x14ac:dyDescent="0.55000000000000004">
      <c r="A284"/>
    </row>
    <row r="285" spans="1:1" x14ac:dyDescent="0.55000000000000004">
      <c r="A285"/>
    </row>
    <row r="286" spans="1:1" x14ac:dyDescent="0.55000000000000004">
      <c r="A286"/>
    </row>
    <row r="287" spans="1:1" x14ac:dyDescent="0.55000000000000004">
      <c r="A287"/>
    </row>
    <row r="288" spans="1:1" x14ac:dyDescent="0.55000000000000004">
      <c r="A288"/>
    </row>
    <row r="289" spans="1:1" x14ac:dyDescent="0.55000000000000004">
      <c r="A289"/>
    </row>
    <row r="290" spans="1:1" x14ac:dyDescent="0.55000000000000004">
      <c r="A290"/>
    </row>
    <row r="291" spans="1:1" x14ac:dyDescent="0.55000000000000004">
      <c r="A291"/>
    </row>
    <row r="292" spans="1:1" x14ac:dyDescent="0.55000000000000004">
      <c r="A292"/>
    </row>
    <row r="293" spans="1:1" x14ac:dyDescent="0.55000000000000004">
      <c r="A293"/>
    </row>
    <row r="294" spans="1:1" x14ac:dyDescent="0.55000000000000004">
      <c r="A294"/>
    </row>
    <row r="295" spans="1:1" x14ac:dyDescent="0.55000000000000004">
      <c r="A295"/>
    </row>
    <row r="296" spans="1:1" x14ac:dyDescent="0.55000000000000004">
      <c r="A296"/>
    </row>
    <row r="297" spans="1:1" x14ac:dyDescent="0.55000000000000004">
      <c r="A297"/>
    </row>
    <row r="298" spans="1:1" x14ac:dyDescent="0.55000000000000004">
      <c r="A298"/>
    </row>
    <row r="299" spans="1:1" x14ac:dyDescent="0.55000000000000004">
      <c r="A299"/>
    </row>
    <row r="300" spans="1:1" x14ac:dyDescent="0.55000000000000004">
      <c r="A300"/>
    </row>
    <row r="301" spans="1:1" x14ac:dyDescent="0.55000000000000004">
      <c r="A301"/>
    </row>
    <row r="302" spans="1:1" x14ac:dyDescent="0.55000000000000004">
      <c r="A302"/>
    </row>
    <row r="303" spans="1:1" x14ac:dyDescent="0.55000000000000004">
      <c r="A303"/>
    </row>
    <row r="304" spans="1:1" x14ac:dyDescent="0.55000000000000004">
      <c r="A304"/>
    </row>
    <row r="305" spans="1:1" x14ac:dyDescent="0.55000000000000004">
      <c r="A305"/>
    </row>
    <row r="306" spans="1:1" x14ac:dyDescent="0.55000000000000004">
      <c r="A306"/>
    </row>
    <row r="307" spans="1:1" x14ac:dyDescent="0.55000000000000004">
      <c r="A307"/>
    </row>
    <row r="308" spans="1:1" x14ac:dyDescent="0.55000000000000004">
      <c r="A308"/>
    </row>
    <row r="309" spans="1:1" x14ac:dyDescent="0.55000000000000004">
      <c r="A309"/>
    </row>
    <row r="310" spans="1:1" x14ac:dyDescent="0.55000000000000004">
      <c r="A310"/>
    </row>
    <row r="311" spans="1:1" x14ac:dyDescent="0.55000000000000004">
      <c r="A311"/>
    </row>
    <row r="312" spans="1:1" x14ac:dyDescent="0.55000000000000004">
      <c r="A312"/>
    </row>
    <row r="313" spans="1:1" x14ac:dyDescent="0.55000000000000004">
      <c r="A313"/>
    </row>
    <row r="314" spans="1:1" x14ac:dyDescent="0.55000000000000004">
      <c r="A314"/>
    </row>
    <row r="315" spans="1:1" x14ac:dyDescent="0.55000000000000004">
      <c r="A315"/>
    </row>
    <row r="316" spans="1:1" x14ac:dyDescent="0.55000000000000004">
      <c r="A316"/>
    </row>
    <row r="317" spans="1:1" x14ac:dyDescent="0.55000000000000004">
      <c r="A317"/>
    </row>
    <row r="318" spans="1:1" x14ac:dyDescent="0.55000000000000004">
      <c r="A318"/>
    </row>
    <row r="319" spans="1:1" x14ac:dyDescent="0.55000000000000004">
      <c r="A319"/>
    </row>
    <row r="320" spans="1:1" x14ac:dyDescent="0.55000000000000004">
      <c r="A320"/>
    </row>
    <row r="321" spans="1:1" x14ac:dyDescent="0.55000000000000004">
      <c r="A321"/>
    </row>
    <row r="322" spans="1:1" x14ac:dyDescent="0.55000000000000004">
      <c r="A322"/>
    </row>
    <row r="323" spans="1:1" x14ac:dyDescent="0.55000000000000004">
      <c r="A323"/>
    </row>
    <row r="324" spans="1:1" x14ac:dyDescent="0.55000000000000004">
      <c r="A324"/>
    </row>
    <row r="325" spans="1:1" x14ac:dyDescent="0.55000000000000004">
      <c r="A325"/>
    </row>
    <row r="326" spans="1:1" x14ac:dyDescent="0.55000000000000004">
      <c r="A326"/>
    </row>
    <row r="327" spans="1:1" x14ac:dyDescent="0.55000000000000004">
      <c r="A327"/>
    </row>
    <row r="328" spans="1:1" x14ac:dyDescent="0.55000000000000004">
      <c r="A328"/>
    </row>
    <row r="329" spans="1:1" x14ac:dyDescent="0.55000000000000004">
      <c r="A329"/>
    </row>
    <row r="330" spans="1:1" x14ac:dyDescent="0.55000000000000004">
      <c r="A330"/>
    </row>
    <row r="331" spans="1:1" x14ac:dyDescent="0.55000000000000004">
      <c r="A331"/>
    </row>
    <row r="332" spans="1:1" x14ac:dyDescent="0.55000000000000004">
      <c r="A332"/>
    </row>
    <row r="333" spans="1:1" x14ac:dyDescent="0.55000000000000004">
      <c r="A333"/>
    </row>
    <row r="334" spans="1:1" x14ac:dyDescent="0.55000000000000004">
      <c r="A334"/>
    </row>
    <row r="335" spans="1:1" x14ac:dyDescent="0.55000000000000004">
      <c r="A335"/>
    </row>
    <row r="336" spans="1:1" x14ac:dyDescent="0.55000000000000004">
      <c r="A336"/>
    </row>
    <row r="337" spans="1:1" x14ac:dyDescent="0.55000000000000004">
      <c r="A337"/>
    </row>
    <row r="338" spans="1:1" x14ac:dyDescent="0.55000000000000004">
      <c r="A338"/>
    </row>
    <row r="339" spans="1:1" x14ac:dyDescent="0.55000000000000004">
      <c r="A339"/>
    </row>
    <row r="340" spans="1:1" x14ac:dyDescent="0.55000000000000004">
      <c r="A340"/>
    </row>
    <row r="341" spans="1:1" x14ac:dyDescent="0.55000000000000004">
      <c r="A341"/>
    </row>
    <row r="342" spans="1:1" x14ac:dyDescent="0.55000000000000004">
      <c r="A342"/>
    </row>
    <row r="343" spans="1:1" x14ac:dyDescent="0.55000000000000004">
      <c r="A343"/>
    </row>
    <row r="344" spans="1:1" x14ac:dyDescent="0.55000000000000004">
      <c r="A344"/>
    </row>
    <row r="345" spans="1:1" x14ac:dyDescent="0.55000000000000004">
      <c r="A345"/>
    </row>
    <row r="346" spans="1:1" x14ac:dyDescent="0.55000000000000004">
      <c r="A346"/>
    </row>
    <row r="347" spans="1:1" x14ac:dyDescent="0.55000000000000004">
      <c r="A347"/>
    </row>
    <row r="348" spans="1:1" x14ac:dyDescent="0.55000000000000004">
      <c r="A348"/>
    </row>
    <row r="349" spans="1:1" x14ac:dyDescent="0.55000000000000004">
      <c r="A349"/>
    </row>
    <row r="350" spans="1:1" x14ac:dyDescent="0.55000000000000004">
      <c r="A350"/>
    </row>
    <row r="351" spans="1:1" x14ac:dyDescent="0.55000000000000004">
      <c r="A351"/>
    </row>
    <row r="352" spans="1:1" x14ac:dyDescent="0.55000000000000004">
      <c r="A352"/>
    </row>
    <row r="353" spans="1:1" x14ac:dyDescent="0.55000000000000004">
      <c r="A353"/>
    </row>
    <row r="354" spans="1:1" x14ac:dyDescent="0.55000000000000004">
      <c r="A354"/>
    </row>
    <row r="355" spans="1:1" x14ac:dyDescent="0.55000000000000004">
      <c r="A355"/>
    </row>
    <row r="356" spans="1:1" x14ac:dyDescent="0.55000000000000004">
      <c r="A356"/>
    </row>
    <row r="357" spans="1:1" x14ac:dyDescent="0.55000000000000004">
      <c r="A357"/>
    </row>
    <row r="358" spans="1:1" x14ac:dyDescent="0.55000000000000004">
      <c r="A358"/>
    </row>
    <row r="359" spans="1:1" x14ac:dyDescent="0.55000000000000004">
      <c r="A359"/>
    </row>
    <row r="360" spans="1:1" x14ac:dyDescent="0.55000000000000004">
      <c r="A360"/>
    </row>
    <row r="361" spans="1:1" x14ac:dyDescent="0.55000000000000004">
      <c r="A361"/>
    </row>
    <row r="362" spans="1:1" x14ac:dyDescent="0.55000000000000004">
      <c r="A362"/>
    </row>
    <row r="363" spans="1:1" x14ac:dyDescent="0.55000000000000004">
      <c r="A363"/>
    </row>
    <row r="364" spans="1:1" x14ac:dyDescent="0.55000000000000004">
      <c r="A364"/>
    </row>
    <row r="365" spans="1:1" x14ac:dyDescent="0.55000000000000004">
      <c r="A365"/>
    </row>
    <row r="366" spans="1:1" x14ac:dyDescent="0.55000000000000004">
      <c r="A366"/>
    </row>
    <row r="367" spans="1:1" x14ac:dyDescent="0.55000000000000004">
      <c r="A367"/>
    </row>
    <row r="368" spans="1:1" x14ac:dyDescent="0.55000000000000004">
      <c r="A368"/>
    </row>
    <row r="369" spans="1:1" x14ac:dyDescent="0.55000000000000004">
      <c r="A369"/>
    </row>
    <row r="370" spans="1:1" x14ac:dyDescent="0.55000000000000004">
      <c r="A370"/>
    </row>
    <row r="371" spans="1:1" x14ac:dyDescent="0.55000000000000004">
      <c r="A371"/>
    </row>
    <row r="372" spans="1:1" x14ac:dyDescent="0.55000000000000004">
      <c r="A372"/>
    </row>
    <row r="373" spans="1:1" x14ac:dyDescent="0.55000000000000004">
      <c r="A373"/>
    </row>
    <row r="374" spans="1:1" x14ac:dyDescent="0.55000000000000004">
      <c r="A374"/>
    </row>
    <row r="375" spans="1:1" x14ac:dyDescent="0.55000000000000004">
      <c r="A375"/>
    </row>
    <row r="376" spans="1:1" x14ac:dyDescent="0.55000000000000004">
      <c r="A376"/>
    </row>
    <row r="377" spans="1:1" x14ac:dyDescent="0.55000000000000004">
      <c r="A377"/>
    </row>
    <row r="378" spans="1:1" x14ac:dyDescent="0.55000000000000004">
      <c r="A378"/>
    </row>
    <row r="379" spans="1:1" x14ac:dyDescent="0.55000000000000004">
      <c r="A379"/>
    </row>
    <row r="380" spans="1:1" x14ac:dyDescent="0.55000000000000004">
      <c r="A380"/>
    </row>
    <row r="381" spans="1:1" x14ac:dyDescent="0.55000000000000004">
      <c r="A381"/>
    </row>
    <row r="382" spans="1:1" x14ac:dyDescent="0.55000000000000004">
      <c r="A382"/>
    </row>
    <row r="383" spans="1:1" x14ac:dyDescent="0.55000000000000004">
      <c r="A383"/>
    </row>
    <row r="384" spans="1:1" x14ac:dyDescent="0.55000000000000004">
      <c r="A384"/>
    </row>
    <row r="385" spans="1:1" x14ac:dyDescent="0.55000000000000004">
      <c r="A385"/>
    </row>
    <row r="386" spans="1:1" x14ac:dyDescent="0.55000000000000004">
      <c r="A386"/>
    </row>
    <row r="387" spans="1:1" x14ac:dyDescent="0.55000000000000004">
      <c r="A387"/>
    </row>
    <row r="388" spans="1:1" x14ac:dyDescent="0.55000000000000004">
      <c r="A388"/>
    </row>
    <row r="389" spans="1:1" x14ac:dyDescent="0.55000000000000004">
      <c r="A389"/>
    </row>
    <row r="390" spans="1:1" x14ac:dyDescent="0.55000000000000004">
      <c r="A390"/>
    </row>
    <row r="391" spans="1:1" x14ac:dyDescent="0.55000000000000004">
      <c r="A391"/>
    </row>
    <row r="392" spans="1:1" x14ac:dyDescent="0.55000000000000004">
      <c r="A392"/>
    </row>
    <row r="393" spans="1:1" x14ac:dyDescent="0.55000000000000004">
      <c r="A393"/>
    </row>
    <row r="394" spans="1:1" x14ac:dyDescent="0.55000000000000004">
      <c r="A394"/>
    </row>
    <row r="395" spans="1:1" x14ac:dyDescent="0.55000000000000004">
      <c r="A395"/>
    </row>
    <row r="396" spans="1:1" x14ac:dyDescent="0.55000000000000004">
      <c r="A396"/>
    </row>
    <row r="397" spans="1:1" x14ac:dyDescent="0.55000000000000004">
      <c r="A397"/>
    </row>
    <row r="398" spans="1:1" x14ac:dyDescent="0.55000000000000004">
      <c r="A398"/>
    </row>
    <row r="399" spans="1:1" x14ac:dyDescent="0.55000000000000004">
      <c r="A399"/>
    </row>
    <row r="400" spans="1:1" x14ac:dyDescent="0.55000000000000004">
      <c r="A400"/>
    </row>
    <row r="401" spans="1:1" x14ac:dyDescent="0.55000000000000004">
      <c r="A401"/>
    </row>
    <row r="402" spans="1:1" x14ac:dyDescent="0.55000000000000004">
      <c r="A402"/>
    </row>
    <row r="403" spans="1:1" x14ac:dyDescent="0.55000000000000004">
      <c r="A403"/>
    </row>
    <row r="404" spans="1:1" x14ac:dyDescent="0.55000000000000004">
      <c r="A404"/>
    </row>
    <row r="405" spans="1:1" x14ac:dyDescent="0.55000000000000004">
      <c r="A405"/>
    </row>
    <row r="406" spans="1:1" x14ac:dyDescent="0.55000000000000004">
      <c r="A406"/>
    </row>
    <row r="407" spans="1:1" x14ac:dyDescent="0.55000000000000004">
      <c r="A407"/>
    </row>
    <row r="408" spans="1:1" x14ac:dyDescent="0.55000000000000004">
      <c r="A408"/>
    </row>
    <row r="409" spans="1:1" x14ac:dyDescent="0.55000000000000004">
      <c r="A409"/>
    </row>
    <row r="410" spans="1:1" x14ac:dyDescent="0.55000000000000004">
      <c r="A410"/>
    </row>
    <row r="411" spans="1:1" x14ac:dyDescent="0.55000000000000004">
      <c r="A411"/>
    </row>
    <row r="412" spans="1:1" x14ac:dyDescent="0.55000000000000004">
      <c r="A412"/>
    </row>
    <row r="413" spans="1:1" x14ac:dyDescent="0.55000000000000004">
      <c r="A413"/>
    </row>
    <row r="414" spans="1:1" x14ac:dyDescent="0.55000000000000004">
      <c r="A414"/>
    </row>
    <row r="415" spans="1:1" x14ac:dyDescent="0.55000000000000004">
      <c r="A415"/>
    </row>
    <row r="416" spans="1:1" x14ac:dyDescent="0.55000000000000004">
      <c r="A416"/>
    </row>
    <row r="417" spans="1:1" x14ac:dyDescent="0.55000000000000004">
      <c r="A417"/>
    </row>
    <row r="418" spans="1:1" x14ac:dyDescent="0.55000000000000004">
      <c r="A418"/>
    </row>
    <row r="419" spans="1:1" x14ac:dyDescent="0.55000000000000004">
      <c r="A419"/>
    </row>
    <row r="420" spans="1:1" x14ac:dyDescent="0.55000000000000004">
      <c r="A420"/>
    </row>
    <row r="421" spans="1:1" x14ac:dyDescent="0.55000000000000004">
      <c r="A421"/>
    </row>
    <row r="422" spans="1:1" x14ac:dyDescent="0.55000000000000004">
      <c r="A422"/>
    </row>
    <row r="423" spans="1:1" x14ac:dyDescent="0.55000000000000004">
      <c r="A423"/>
    </row>
    <row r="424" spans="1:1" x14ac:dyDescent="0.55000000000000004">
      <c r="A424"/>
    </row>
    <row r="425" spans="1:1" x14ac:dyDescent="0.55000000000000004">
      <c r="A425"/>
    </row>
    <row r="426" spans="1:1" x14ac:dyDescent="0.55000000000000004">
      <c r="A426"/>
    </row>
    <row r="427" spans="1:1" x14ac:dyDescent="0.55000000000000004">
      <c r="A427"/>
    </row>
    <row r="428" spans="1:1" x14ac:dyDescent="0.55000000000000004">
      <c r="A428"/>
    </row>
    <row r="429" spans="1:1" x14ac:dyDescent="0.55000000000000004">
      <c r="A429"/>
    </row>
    <row r="430" spans="1:1" x14ac:dyDescent="0.55000000000000004">
      <c r="A430"/>
    </row>
    <row r="431" spans="1:1" x14ac:dyDescent="0.55000000000000004">
      <c r="A431"/>
    </row>
    <row r="432" spans="1:1" x14ac:dyDescent="0.55000000000000004">
      <c r="A432"/>
    </row>
    <row r="433" spans="1:1" x14ac:dyDescent="0.55000000000000004">
      <c r="A433"/>
    </row>
    <row r="434" spans="1:1" x14ac:dyDescent="0.55000000000000004">
      <c r="A434"/>
    </row>
    <row r="435" spans="1:1" x14ac:dyDescent="0.55000000000000004">
      <c r="A435"/>
    </row>
    <row r="436" spans="1:1" x14ac:dyDescent="0.55000000000000004">
      <c r="A436"/>
    </row>
    <row r="437" spans="1:1" x14ac:dyDescent="0.55000000000000004">
      <c r="A437"/>
    </row>
    <row r="438" spans="1:1" x14ac:dyDescent="0.55000000000000004">
      <c r="A438"/>
    </row>
    <row r="439" spans="1:1" x14ac:dyDescent="0.55000000000000004">
      <c r="A439"/>
    </row>
    <row r="440" spans="1:1" x14ac:dyDescent="0.55000000000000004">
      <c r="A440"/>
    </row>
    <row r="441" spans="1:1" x14ac:dyDescent="0.55000000000000004">
      <c r="A441"/>
    </row>
    <row r="442" spans="1:1" x14ac:dyDescent="0.55000000000000004">
      <c r="A442"/>
    </row>
    <row r="443" spans="1:1" x14ac:dyDescent="0.55000000000000004">
      <c r="A443"/>
    </row>
    <row r="444" spans="1:1" x14ac:dyDescent="0.55000000000000004">
      <c r="A444"/>
    </row>
    <row r="445" spans="1:1" x14ac:dyDescent="0.55000000000000004">
      <c r="A445"/>
    </row>
    <row r="446" spans="1:1" x14ac:dyDescent="0.55000000000000004">
      <c r="A446"/>
    </row>
    <row r="447" spans="1:1" x14ac:dyDescent="0.55000000000000004">
      <c r="A447"/>
    </row>
    <row r="448" spans="1:1" x14ac:dyDescent="0.55000000000000004">
      <c r="A448"/>
    </row>
    <row r="449" spans="1:1" x14ac:dyDescent="0.55000000000000004">
      <c r="A449"/>
    </row>
    <row r="450" spans="1:1" x14ac:dyDescent="0.55000000000000004">
      <c r="A450"/>
    </row>
    <row r="451" spans="1:1" x14ac:dyDescent="0.55000000000000004">
      <c r="A451"/>
    </row>
    <row r="452" spans="1:1" x14ac:dyDescent="0.55000000000000004">
      <c r="A452"/>
    </row>
    <row r="453" spans="1:1" x14ac:dyDescent="0.55000000000000004">
      <c r="A453"/>
    </row>
    <row r="454" spans="1:1" x14ac:dyDescent="0.55000000000000004">
      <c r="A454"/>
    </row>
    <row r="455" spans="1:1" x14ac:dyDescent="0.55000000000000004">
      <c r="A455"/>
    </row>
    <row r="456" spans="1:1" x14ac:dyDescent="0.55000000000000004">
      <c r="A456"/>
    </row>
    <row r="457" spans="1:1" x14ac:dyDescent="0.55000000000000004">
      <c r="A457"/>
    </row>
    <row r="458" spans="1:1" x14ac:dyDescent="0.55000000000000004">
      <c r="A458"/>
    </row>
    <row r="459" spans="1:1" x14ac:dyDescent="0.55000000000000004">
      <c r="A459"/>
    </row>
    <row r="460" spans="1:1" x14ac:dyDescent="0.55000000000000004">
      <c r="A460"/>
    </row>
    <row r="461" spans="1:1" x14ac:dyDescent="0.55000000000000004">
      <c r="A461"/>
    </row>
    <row r="462" spans="1:1" x14ac:dyDescent="0.55000000000000004">
      <c r="A462"/>
    </row>
    <row r="463" spans="1:1" x14ac:dyDescent="0.55000000000000004">
      <c r="A463"/>
    </row>
    <row r="464" spans="1:1" x14ac:dyDescent="0.55000000000000004">
      <c r="A464"/>
    </row>
    <row r="465" spans="1:1" x14ac:dyDescent="0.55000000000000004">
      <c r="A465"/>
    </row>
    <row r="466" spans="1:1" x14ac:dyDescent="0.55000000000000004">
      <c r="A466"/>
    </row>
    <row r="467" spans="1:1" x14ac:dyDescent="0.55000000000000004">
      <c r="A467"/>
    </row>
    <row r="468" spans="1:1" x14ac:dyDescent="0.55000000000000004">
      <c r="A468"/>
    </row>
    <row r="469" spans="1:1" x14ac:dyDescent="0.55000000000000004">
      <c r="A469"/>
    </row>
    <row r="470" spans="1:1" x14ac:dyDescent="0.55000000000000004">
      <c r="A470"/>
    </row>
    <row r="471" spans="1:1" x14ac:dyDescent="0.55000000000000004">
      <c r="A471"/>
    </row>
    <row r="472" spans="1:1" x14ac:dyDescent="0.55000000000000004">
      <c r="A472"/>
    </row>
    <row r="473" spans="1:1" x14ac:dyDescent="0.55000000000000004">
      <c r="A473"/>
    </row>
    <row r="474" spans="1:1" x14ac:dyDescent="0.55000000000000004">
      <c r="A474"/>
    </row>
    <row r="475" spans="1:1" x14ac:dyDescent="0.55000000000000004">
      <c r="A475"/>
    </row>
    <row r="476" spans="1:1" x14ac:dyDescent="0.55000000000000004">
      <c r="A476"/>
    </row>
    <row r="477" spans="1:1" x14ac:dyDescent="0.55000000000000004">
      <c r="A477"/>
    </row>
    <row r="478" spans="1:1" x14ac:dyDescent="0.55000000000000004">
      <c r="A478"/>
    </row>
    <row r="479" spans="1:1" x14ac:dyDescent="0.55000000000000004">
      <c r="A479"/>
    </row>
    <row r="480" spans="1:1" x14ac:dyDescent="0.55000000000000004">
      <c r="A480"/>
    </row>
    <row r="481" spans="1:1" x14ac:dyDescent="0.55000000000000004">
      <c r="A481"/>
    </row>
    <row r="482" spans="1:1" x14ac:dyDescent="0.55000000000000004">
      <c r="A482"/>
    </row>
    <row r="483" spans="1:1" x14ac:dyDescent="0.55000000000000004">
      <c r="A483"/>
    </row>
    <row r="484" spans="1:1" x14ac:dyDescent="0.55000000000000004">
      <c r="A484"/>
    </row>
    <row r="485" spans="1:1" x14ac:dyDescent="0.55000000000000004">
      <c r="A485"/>
    </row>
    <row r="486" spans="1:1" x14ac:dyDescent="0.55000000000000004">
      <c r="A486"/>
    </row>
    <row r="487" spans="1:1" x14ac:dyDescent="0.55000000000000004">
      <c r="A487"/>
    </row>
    <row r="488" spans="1:1" x14ac:dyDescent="0.55000000000000004">
      <c r="A488"/>
    </row>
    <row r="489" spans="1:1" x14ac:dyDescent="0.55000000000000004">
      <c r="A489"/>
    </row>
    <row r="490" spans="1:1" x14ac:dyDescent="0.55000000000000004">
      <c r="A490"/>
    </row>
    <row r="491" spans="1:1" x14ac:dyDescent="0.55000000000000004">
      <c r="A491"/>
    </row>
    <row r="492" spans="1:1" x14ac:dyDescent="0.55000000000000004">
      <c r="A492"/>
    </row>
    <row r="493" spans="1:1" x14ac:dyDescent="0.55000000000000004">
      <c r="A493"/>
    </row>
    <row r="494" spans="1:1" x14ac:dyDescent="0.55000000000000004">
      <c r="A494"/>
    </row>
    <row r="495" spans="1:1" x14ac:dyDescent="0.55000000000000004">
      <c r="A495"/>
    </row>
    <row r="496" spans="1:1" x14ac:dyDescent="0.55000000000000004">
      <c r="A496"/>
    </row>
    <row r="497" spans="1:1" x14ac:dyDescent="0.55000000000000004">
      <c r="A497"/>
    </row>
    <row r="498" spans="1:1" x14ac:dyDescent="0.55000000000000004">
      <c r="A498"/>
    </row>
    <row r="499" spans="1:1" x14ac:dyDescent="0.55000000000000004">
      <c r="A499"/>
    </row>
    <row r="500" spans="1:1" x14ac:dyDescent="0.55000000000000004">
      <c r="A500"/>
    </row>
    <row r="501" spans="1:1" x14ac:dyDescent="0.55000000000000004">
      <c r="A501"/>
    </row>
    <row r="502" spans="1:1" x14ac:dyDescent="0.55000000000000004">
      <c r="A502"/>
    </row>
    <row r="503" spans="1:1" x14ac:dyDescent="0.55000000000000004">
      <c r="A503"/>
    </row>
    <row r="504" spans="1:1" x14ac:dyDescent="0.55000000000000004">
      <c r="A504"/>
    </row>
    <row r="505" spans="1:1" x14ac:dyDescent="0.55000000000000004">
      <c r="A505"/>
    </row>
    <row r="506" spans="1:1" x14ac:dyDescent="0.55000000000000004">
      <c r="A506"/>
    </row>
    <row r="507" spans="1:1" x14ac:dyDescent="0.55000000000000004">
      <c r="A507"/>
    </row>
    <row r="508" spans="1:1" x14ac:dyDescent="0.55000000000000004">
      <c r="A508"/>
    </row>
    <row r="509" spans="1:1" x14ac:dyDescent="0.55000000000000004">
      <c r="A509"/>
    </row>
    <row r="510" spans="1:1" x14ac:dyDescent="0.55000000000000004">
      <c r="A510"/>
    </row>
    <row r="511" spans="1:1" x14ac:dyDescent="0.55000000000000004">
      <c r="A511"/>
    </row>
    <row r="512" spans="1:1" x14ac:dyDescent="0.55000000000000004">
      <c r="A512"/>
    </row>
    <row r="513" spans="1:1" x14ac:dyDescent="0.55000000000000004">
      <c r="A513"/>
    </row>
    <row r="514" spans="1:1" x14ac:dyDescent="0.55000000000000004">
      <c r="A514"/>
    </row>
    <row r="515" spans="1:1" x14ac:dyDescent="0.55000000000000004">
      <c r="A515"/>
    </row>
    <row r="516" spans="1:1" x14ac:dyDescent="0.55000000000000004">
      <c r="A516"/>
    </row>
    <row r="517" spans="1:1" x14ac:dyDescent="0.55000000000000004">
      <c r="A517"/>
    </row>
    <row r="518" spans="1:1" x14ac:dyDescent="0.55000000000000004">
      <c r="A518"/>
    </row>
    <row r="519" spans="1:1" x14ac:dyDescent="0.55000000000000004">
      <c r="A519"/>
    </row>
    <row r="520" spans="1:1" x14ac:dyDescent="0.55000000000000004">
      <c r="A520"/>
    </row>
    <row r="521" spans="1:1" x14ac:dyDescent="0.55000000000000004">
      <c r="A521"/>
    </row>
    <row r="522" spans="1:1" x14ac:dyDescent="0.55000000000000004">
      <c r="A522"/>
    </row>
    <row r="523" spans="1:1" x14ac:dyDescent="0.55000000000000004">
      <c r="A523"/>
    </row>
    <row r="524" spans="1:1" x14ac:dyDescent="0.55000000000000004">
      <c r="A524"/>
    </row>
    <row r="525" spans="1:1" x14ac:dyDescent="0.55000000000000004">
      <c r="A525"/>
    </row>
    <row r="526" spans="1:1" x14ac:dyDescent="0.55000000000000004">
      <c r="A526"/>
    </row>
    <row r="527" spans="1:1" x14ac:dyDescent="0.55000000000000004">
      <c r="A527"/>
    </row>
    <row r="528" spans="1:1" x14ac:dyDescent="0.55000000000000004">
      <c r="A528"/>
    </row>
    <row r="529" spans="1:1" x14ac:dyDescent="0.55000000000000004">
      <c r="A529"/>
    </row>
    <row r="530" spans="1:1" x14ac:dyDescent="0.55000000000000004">
      <c r="A530"/>
    </row>
    <row r="531" spans="1:1" x14ac:dyDescent="0.55000000000000004">
      <c r="A531"/>
    </row>
    <row r="532" spans="1:1" x14ac:dyDescent="0.55000000000000004">
      <c r="A532"/>
    </row>
    <row r="533" spans="1:1" x14ac:dyDescent="0.55000000000000004">
      <c r="A533"/>
    </row>
    <row r="534" spans="1:1" x14ac:dyDescent="0.55000000000000004">
      <c r="A534"/>
    </row>
    <row r="535" spans="1:1" x14ac:dyDescent="0.55000000000000004">
      <c r="A535"/>
    </row>
    <row r="536" spans="1:1" x14ac:dyDescent="0.55000000000000004">
      <c r="A536"/>
    </row>
    <row r="537" spans="1:1" x14ac:dyDescent="0.55000000000000004">
      <c r="A537"/>
    </row>
    <row r="538" spans="1:1" x14ac:dyDescent="0.55000000000000004">
      <c r="A538"/>
    </row>
    <row r="539" spans="1:1" x14ac:dyDescent="0.55000000000000004">
      <c r="A539"/>
    </row>
    <row r="540" spans="1:1" x14ac:dyDescent="0.55000000000000004">
      <c r="A540"/>
    </row>
    <row r="541" spans="1:1" x14ac:dyDescent="0.55000000000000004">
      <c r="A541"/>
    </row>
    <row r="542" spans="1:1" x14ac:dyDescent="0.55000000000000004">
      <c r="A542"/>
    </row>
    <row r="543" spans="1:1" x14ac:dyDescent="0.55000000000000004">
      <c r="A543"/>
    </row>
    <row r="544" spans="1:1" x14ac:dyDescent="0.55000000000000004">
      <c r="A544"/>
    </row>
    <row r="545" spans="1:1" x14ac:dyDescent="0.55000000000000004">
      <c r="A545"/>
    </row>
    <row r="546" spans="1:1" x14ac:dyDescent="0.55000000000000004">
      <c r="A546"/>
    </row>
    <row r="547" spans="1:1" x14ac:dyDescent="0.55000000000000004">
      <c r="A547"/>
    </row>
    <row r="548" spans="1:1" x14ac:dyDescent="0.55000000000000004">
      <c r="A548"/>
    </row>
    <row r="549" spans="1:1" x14ac:dyDescent="0.55000000000000004">
      <c r="A549"/>
    </row>
    <row r="550" spans="1:1" x14ac:dyDescent="0.55000000000000004">
      <c r="A550"/>
    </row>
    <row r="551" spans="1:1" x14ac:dyDescent="0.55000000000000004">
      <c r="A551"/>
    </row>
    <row r="552" spans="1:1" x14ac:dyDescent="0.55000000000000004">
      <c r="A552"/>
    </row>
    <row r="553" spans="1:1" x14ac:dyDescent="0.55000000000000004">
      <c r="A553"/>
    </row>
    <row r="554" spans="1:1" x14ac:dyDescent="0.55000000000000004">
      <c r="A554"/>
    </row>
    <row r="555" spans="1:1" x14ac:dyDescent="0.55000000000000004">
      <c r="A555"/>
    </row>
    <row r="556" spans="1:1" x14ac:dyDescent="0.55000000000000004">
      <c r="A556"/>
    </row>
    <row r="557" spans="1:1" x14ac:dyDescent="0.55000000000000004">
      <c r="A557"/>
    </row>
    <row r="558" spans="1:1" x14ac:dyDescent="0.55000000000000004">
      <c r="A558"/>
    </row>
    <row r="559" spans="1:1" x14ac:dyDescent="0.55000000000000004">
      <c r="A559"/>
    </row>
    <row r="560" spans="1:1" x14ac:dyDescent="0.55000000000000004">
      <c r="A560"/>
    </row>
    <row r="561" spans="1:1" x14ac:dyDescent="0.55000000000000004">
      <c r="A561"/>
    </row>
    <row r="562" spans="1:1" x14ac:dyDescent="0.55000000000000004">
      <c r="A562"/>
    </row>
    <row r="563" spans="1:1" x14ac:dyDescent="0.55000000000000004">
      <c r="A563"/>
    </row>
    <row r="564" spans="1:1" x14ac:dyDescent="0.55000000000000004">
      <c r="A564"/>
    </row>
    <row r="565" spans="1:1" x14ac:dyDescent="0.55000000000000004">
      <c r="A565"/>
    </row>
    <row r="566" spans="1:1" x14ac:dyDescent="0.55000000000000004">
      <c r="A566"/>
    </row>
    <row r="567" spans="1:1" x14ac:dyDescent="0.55000000000000004">
      <c r="A567"/>
    </row>
    <row r="568" spans="1:1" x14ac:dyDescent="0.55000000000000004">
      <c r="A568"/>
    </row>
    <row r="569" spans="1:1" x14ac:dyDescent="0.55000000000000004">
      <c r="A569"/>
    </row>
    <row r="570" spans="1:1" x14ac:dyDescent="0.55000000000000004">
      <c r="A570"/>
    </row>
    <row r="571" spans="1:1" x14ac:dyDescent="0.55000000000000004">
      <c r="A571"/>
    </row>
    <row r="572" spans="1:1" x14ac:dyDescent="0.55000000000000004">
      <c r="A572"/>
    </row>
    <row r="573" spans="1:1" x14ac:dyDescent="0.55000000000000004">
      <c r="A573"/>
    </row>
    <row r="574" spans="1:1" x14ac:dyDescent="0.55000000000000004">
      <c r="A574"/>
    </row>
    <row r="575" spans="1:1" x14ac:dyDescent="0.55000000000000004">
      <c r="A575"/>
    </row>
    <row r="576" spans="1:1" x14ac:dyDescent="0.55000000000000004">
      <c r="A576"/>
    </row>
    <row r="577" spans="1:1" x14ac:dyDescent="0.55000000000000004">
      <c r="A577"/>
    </row>
    <row r="578" spans="1:1" x14ac:dyDescent="0.55000000000000004">
      <c r="A578"/>
    </row>
    <row r="579" spans="1:1" x14ac:dyDescent="0.55000000000000004">
      <c r="A579"/>
    </row>
    <row r="580" spans="1:1" x14ac:dyDescent="0.55000000000000004">
      <c r="A580"/>
    </row>
    <row r="581" spans="1:1" x14ac:dyDescent="0.55000000000000004">
      <c r="A581"/>
    </row>
    <row r="582" spans="1:1" x14ac:dyDescent="0.55000000000000004">
      <c r="A582"/>
    </row>
    <row r="583" spans="1:1" x14ac:dyDescent="0.55000000000000004">
      <c r="A583"/>
    </row>
    <row r="584" spans="1:1" x14ac:dyDescent="0.55000000000000004">
      <c r="A584"/>
    </row>
    <row r="585" spans="1:1" x14ac:dyDescent="0.55000000000000004">
      <c r="A585"/>
    </row>
    <row r="586" spans="1:1" x14ac:dyDescent="0.55000000000000004">
      <c r="A586"/>
    </row>
    <row r="587" spans="1:1" x14ac:dyDescent="0.55000000000000004">
      <c r="A587"/>
    </row>
    <row r="588" spans="1:1" x14ac:dyDescent="0.55000000000000004">
      <c r="A588"/>
    </row>
    <row r="589" spans="1:1" x14ac:dyDescent="0.55000000000000004">
      <c r="A589"/>
    </row>
    <row r="590" spans="1:1" x14ac:dyDescent="0.55000000000000004">
      <c r="A590"/>
    </row>
    <row r="591" spans="1:1" x14ac:dyDescent="0.55000000000000004">
      <c r="A591"/>
    </row>
    <row r="592" spans="1:1" x14ac:dyDescent="0.55000000000000004">
      <c r="A592"/>
    </row>
    <row r="593" spans="1:1" x14ac:dyDescent="0.55000000000000004">
      <c r="A593"/>
    </row>
    <row r="594" spans="1:1" x14ac:dyDescent="0.55000000000000004">
      <c r="A594"/>
    </row>
    <row r="595" spans="1:1" x14ac:dyDescent="0.55000000000000004">
      <c r="A595"/>
    </row>
    <row r="596" spans="1:1" x14ac:dyDescent="0.55000000000000004">
      <c r="A596"/>
    </row>
    <row r="597" spans="1:1" x14ac:dyDescent="0.55000000000000004">
      <c r="A597"/>
    </row>
    <row r="598" spans="1:1" x14ac:dyDescent="0.55000000000000004">
      <c r="A598"/>
    </row>
    <row r="599" spans="1:1" x14ac:dyDescent="0.55000000000000004">
      <c r="A599"/>
    </row>
    <row r="600" spans="1:1" x14ac:dyDescent="0.55000000000000004">
      <c r="A600"/>
    </row>
    <row r="601" spans="1:1" x14ac:dyDescent="0.55000000000000004">
      <c r="A601"/>
    </row>
    <row r="602" spans="1:1" x14ac:dyDescent="0.55000000000000004">
      <c r="A602"/>
    </row>
    <row r="603" spans="1:1" x14ac:dyDescent="0.55000000000000004">
      <c r="A603"/>
    </row>
    <row r="604" spans="1:1" x14ac:dyDescent="0.55000000000000004">
      <c r="A604"/>
    </row>
    <row r="605" spans="1:1" x14ac:dyDescent="0.55000000000000004">
      <c r="A605"/>
    </row>
    <row r="606" spans="1:1" x14ac:dyDescent="0.55000000000000004">
      <c r="A606"/>
    </row>
    <row r="607" spans="1:1" x14ac:dyDescent="0.55000000000000004">
      <c r="A607"/>
    </row>
    <row r="608" spans="1:1" x14ac:dyDescent="0.55000000000000004">
      <c r="A608"/>
    </row>
    <row r="609" spans="1:1" x14ac:dyDescent="0.55000000000000004">
      <c r="A609"/>
    </row>
    <row r="610" spans="1:1" x14ac:dyDescent="0.55000000000000004">
      <c r="A610"/>
    </row>
    <row r="611" spans="1:1" x14ac:dyDescent="0.55000000000000004">
      <c r="A611"/>
    </row>
    <row r="612" spans="1:1" x14ac:dyDescent="0.55000000000000004">
      <c r="A612"/>
    </row>
    <row r="613" spans="1:1" x14ac:dyDescent="0.55000000000000004">
      <c r="A613"/>
    </row>
    <row r="614" spans="1:1" x14ac:dyDescent="0.55000000000000004">
      <c r="A614"/>
    </row>
    <row r="615" spans="1:1" x14ac:dyDescent="0.55000000000000004">
      <c r="A615"/>
    </row>
    <row r="616" spans="1:1" x14ac:dyDescent="0.55000000000000004">
      <c r="A616"/>
    </row>
    <row r="617" spans="1:1" x14ac:dyDescent="0.55000000000000004">
      <c r="A617"/>
    </row>
    <row r="618" spans="1:1" x14ac:dyDescent="0.55000000000000004">
      <c r="A618"/>
    </row>
    <row r="619" spans="1:1" x14ac:dyDescent="0.55000000000000004">
      <c r="A619"/>
    </row>
    <row r="620" spans="1:1" x14ac:dyDescent="0.55000000000000004">
      <c r="A620"/>
    </row>
    <row r="621" spans="1:1" x14ac:dyDescent="0.55000000000000004">
      <c r="A621"/>
    </row>
    <row r="622" spans="1:1" x14ac:dyDescent="0.55000000000000004">
      <c r="A622"/>
    </row>
    <row r="623" spans="1:1" x14ac:dyDescent="0.55000000000000004">
      <c r="A623"/>
    </row>
    <row r="624" spans="1:1" x14ac:dyDescent="0.55000000000000004">
      <c r="A624"/>
    </row>
    <row r="625" spans="1:1" x14ac:dyDescent="0.55000000000000004">
      <c r="A625"/>
    </row>
    <row r="626" spans="1:1" x14ac:dyDescent="0.55000000000000004">
      <c r="A626"/>
    </row>
    <row r="627" spans="1:1" x14ac:dyDescent="0.55000000000000004">
      <c r="A627"/>
    </row>
    <row r="628" spans="1:1" x14ac:dyDescent="0.55000000000000004">
      <c r="A628"/>
    </row>
    <row r="629" spans="1:1" x14ac:dyDescent="0.55000000000000004">
      <c r="A629"/>
    </row>
    <row r="630" spans="1:1" x14ac:dyDescent="0.55000000000000004">
      <c r="A630"/>
    </row>
    <row r="631" spans="1:1" x14ac:dyDescent="0.55000000000000004">
      <c r="A631"/>
    </row>
    <row r="632" spans="1:1" x14ac:dyDescent="0.55000000000000004">
      <c r="A632"/>
    </row>
    <row r="633" spans="1:1" x14ac:dyDescent="0.55000000000000004">
      <c r="A633"/>
    </row>
    <row r="634" spans="1:1" x14ac:dyDescent="0.55000000000000004">
      <c r="A634"/>
    </row>
    <row r="635" spans="1:1" x14ac:dyDescent="0.55000000000000004">
      <c r="A635"/>
    </row>
    <row r="636" spans="1:1" x14ac:dyDescent="0.55000000000000004">
      <c r="A636"/>
    </row>
    <row r="637" spans="1:1" x14ac:dyDescent="0.55000000000000004">
      <c r="A637"/>
    </row>
    <row r="638" spans="1:1" x14ac:dyDescent="0.55000000000000004">
      <c r="A638"/>
    </row>
    <row r="639" spans="1:1" x14ac:dyDescent="0.55000000000000004">
      <c r="A639"/>
    </row>
    <row r="640" spans="1:1" x14ac:dyDescent="0.55000000000000004">
      <c r="A640"/>
    </row>
    <row r="641" spans="1:1" x14ac:dyDescent="0.55000000000000004">
      <c r="A641"/>
    </row>
    <row r="642" spans="1:1" x14ac:dyDescent="0.55000000000000004">
      <c r="A642"/>
    </row>
    <row r="643" spans="1:1" x14ac:dyDescent="0.55000000000000004">
      <c r="A643"/>
    </row>
    <row r="644" spans="1:1" x14ac:dyDescent="0.55000000000000004">
      <c r="A644"/>
    </row>
    <row r="645" spans="1:1" x14ac:dyDescent="0.55000000000000004">
      <c r="A645"/>
    </row>
    <row r="646" spans="1:1" x14ac:dyDescent="0.55000000000000004">
      <c r="A646"/>
    </row>
    <row r="647" spans="1:1" x14ac:dyDescent="0.55000000000000004">
      <c r="A647"/>
    </row>
    <row r="648" spans="1:1" x14ac:dyDescent="0.55000000000000004">
      <c r="A648"/>
    </row>
    <row r="649" spans="1:1" x14ac:dyDescent="0.55000000000000004">
      <c r="A649"/>
    </row>
    <row r="650" spans="1:1" x14ac:dyDescent="0.55000000000000004">
      <c r="A650"/>
    </row>
    <row r="651" spans="1:1" x14ac:dyDescent="0.55000000000000004">
      <c r="A651"/>
    </row>
    <row r="652" spans="1:1" x14ac:dyDescent="0.55000000000000004">
      <c r="A652"/>
    </row>
    <row r="653" spans="1:1" x14ac:dyDescent="0.55000000000000004">
      <c r="A653"/>
    </row>
    <row r="654" spans="1:1" x14ac:dyDescent="0.55000000000000004">
      <c r="A654"/>
    </row>
    <row r="655" spans="1:1" x14ac:dyDescent="0.55000000000000004">
      <c r="A655"/>
    </row>
    <row r="656" spans="1:1" x14ac:dyDescent="0.55000000000000004">
      <c r="A656"/>
    </row>
    <row r="657" spans="1:1" x14ac:dyDescent="0.55000000000000004">
      <c r="A657"/>
    </row>
    <row r="658" spans="1:1" x14ac:dyDescent="0.55000000000000004">
      <c r="A658"/>
    </row>
    <row r="659" spans="1:1" x14ac:dyDescent="0.55000000000000004">
      <c r="A659"/>
    </row>
    <row r="660" spans="1:1" x14ac:dyDescent="0.55000000000000004">
      <c r="A660"/>
    </row>
    <row r="661" spans="1:1" x14ac:dyDescent="0.55000000000000004">
      <c r="A661"/>
    </row>
    <row r="662" spans="1:1" x14ac:dyDescent="0.55000000000000004">
      <c r="A662"/>
    </row>
    <row r="663" spans="1:1" x14ac:dyDescent="0.55000000000000004">
      <c r="A663"/>
    </row>
    <row r="664" spans="1:1" x14ac:dyDescent="0.55000000000000004">
      <c r="A664"/>
    </row>
    <row r="665" spans="1:1" x14ac:dyDescent="0.55000000000000004">
      <c r="A665"/>
    </row>
    <row r="666" spans="1:1" x14ac:dyDescent="0.55000000000000004">
      <c r="A666"/>
    </row>
    <row r="667" spans="1:1" x14ac:dyDescent="0.55000000000000004">
      <c r="A667"/>
    </row>
    <row r="668" spans="1:1" x14ac:dyDescent="0.55000000000000004">
      <c r="A668"/>
    </row>
    <row r="669" spans="1:1" x14ac:dyDescent="0.55000000000000004">
      <c r="A669"/>
    </row>
    <row r="670" spans="1:1" x14ac:dyDescent="0.55000000000000004">
      <c r="A670"/>
    </row>
    <row r="671" spans="1:1" x14ac:dyDescent="0.55000000000000004">
      <c r="A671"/>
    </row>
    <row r="672" spans="1:1" x14ac:dyDescent="0.55000000000000004">
      <c r="A672"/>
    </row>
    <row r="673" spans="1:1" x14ac:dyDescent="0.55000000000000004">
      <c r="A673"/>
    </row>
    <row r="674" spans="1:1" x14ac:dyDescent="0.55000000000000004">
      <c r="A674"/>
    </row>
    <row r="675" spans="1:1" x14ac:dyDescent="0.55000000000000004">
      <c r="A675"/>
    </row>
    <row r="676" spans="1:1" x14ac:dyDescent="0.55000000000000004">
      <c r="A676"/>
    </row>
    <row r="677" spans="1:1" x14ac:dyDescent="0.55000000000000004">
      <c r="A677"/>
    </row>
    <row r="678" spans="1:1" x14ac:dyDescent="0.55000000000000004">
      <c r="A678"/>
    </row>
    <row r="679" spans="1:1" x14ac:dyDescent="0.55000000000000004">
      <c r="A679"/>
    </row>
    <row r="680" spans="1:1" x14ac:dyDescent="0.55000000000000004">
      <c r="A680"/>
    </row>
    <row r="681" spans="1:1" x14ac:dyDescent="0.55000000000000004">
      <c r="A681"/>
    </row>
    <row r="682" spans="1:1" x14ac:dyDescent="0.55000000000000004">
      <c r="A682"/>
    </row>
    <row r="683" spans="1:1" x14ac:dyDescent="0.55000000000000004">
      <c r="A683"/>
    </row>
    <row r="684" spans="1:1" x14ac:dyDescent="0.55000000000000004">
      <c r="A684"/>
    </row>
    <row r="685" spans="1:1" x14ac:dyDescent="0.55000000000000004">
      <c r="A685"/>
    </row>
    <row r="686" spans="1:1" x14ac:dyDescent="0.55000000000000004">
      <c r="A686"/>
    </row>
    <row r="687" spans="1:1" x14ac:dyDescent="0.55000000000000004">
      <c r="A687"/>
    </row>
    <row r="688" spans="1:1" x14ac:dyDescent="0.55000000000000004">
      <c r="A688"/>
    </row>
    <row r="689" spans="1:1" x14ac:dyDescent="0.55000000000000004">
      <c r="A689"/>
    </row>
    <row r="690" spans="1:1" x14ac:dyDescent="0.55000000000000004">
      <c r="A690"/>
    </row>
    <row r="691" spans="1:1" x14ac:dyDescent="0.55000000000000004">
      <c r="A691"/>
    </row>
    <row r="692" spans="1:1" x14ac:dyDescent="0.55000000000000004">
      <c r="A692"/>
    </row>
    <row r="693" spans="1:1" x14ac:dyDescent="0.55000000000000004">
      <c r="A693"/>
    </row>
    <row r="694" spans="1:1" x14ac:dyDescent="0.55000000000000004">
      <c r="A694"/>
    </row>
    <row r="695" spans="1:1" x14ac:dyDescent="0.55000000000000004">
      <c r="A695"/>
    </row>
    <row r="696" spans="1:1" x14ac:dyDescent="0.55000000000000004">
      <c r="A696"/>
    </row>
    <row r="697" spans="1:1" x14ac:dyDescent="0.55000000000000004">
      <c r="A697"/>
    </row>
    <row r="698" spans="1:1" x14ac:dyDescent="0.55000000000000004">
      <c r="A698"/>
    </row>
    <row r="699" spans="1:1" x14ac:dyDescent="0.55000000000000004">
      <c r="A699"/>
    </row>
    <row r="700" spans="1:1" x14ac:dyDescent="0.55000000000000004">
      <c r="A700"/>
    </row>
    <row r="701" spans="1:1" x14ac:dyDescent="0.55000000000000004">
      <c r="A701"/>
    </row>
    <row r="702" spans="1:1" x14ac:dyDescent="0.55000000000000004">
      <c r="A702"/>
    </row>
    <row r="703" spans="1:1" x14ac:dyDescent="0.55000000000000004">
      <c r="A703"/>
    </row>
    <row r="704" spans="1:1" x14ac:dyDescent="0.55000000000000004">
      <c r="A704"/>
    </row>
    <row r="705" spans="1:1" x14ac:dyDescent="0.55000000000000004">
      <c r="A705"/>
    </row>
    <row r="706" spans="1:1" x14ac:dyDescent="0.55000000000000004">
      <c r="A706"/>
    </row>
    <row r="707" spans="1:1" x14ac:dyDescent="0.55000000000000004">
      <c r="A707"/>
    </row>
    <row r="708" spans="1:1" x14ac:dyDescent="0.55000000000000004">
      <c r="A708"/>
    </row>
    <row r="709" spans="1:1" x14ac:dyDescent="0.55000000000000004">
      <c r="A709"/>
    </row>
    <row r="710" spans="1:1" x14ac:dyDescent="0.55000000000000004">
      <c r="A710"/>
    </row>
    <row r="711" spans="1:1" x14ac:dyDescent="0.55000000000000004">
      <c r="A711"/>
    </row>
    <row r="712" spans="1:1" x14ac:dyDescent="0.55000000000000004">
      <c r="A712"/>
    </row>
    <row r="713" spans="1:1" x14ac:dyDescent="0.55000000000000004">
      <c r="A713"/>
    </row>
    <row r="714" spans="1:1" x14ac:dyDescent="0.55000000000000004">
      <c r="A714"/>
    </row>
    <row r="715" spans="1:1" x14ac:dyDescent="0.55000000000000004">
      <c r="A715"/>
    </row>
    <row r="716" spans="1:1" x14ac:dyDescent="0.55000000000000004">
      <c r="A716"/>
    </row>
    <row r="717" spans="1:1" x14ac:dyDescent="0.55000000000000004">
      <c r="A717"/>
    </row>
    <row r="718" spans="1:1" x14ac:dyDescent="0.55000000000000004">
      <c r="A718"/>
    </row>
    <row r="719" spans="1:1" x14ac:dyDescent="0.55000000000000004">
      <c r="A719"/>
    </row>
    <row r="720" spans="1:1" x14ac:dyDescent="0.55000000000000004">
      <c r="A720"/>
    </row>
    <row r="721" spans="1:1" x14ac:dyDescent="0.55000000000000004">
      <c r="A721"/>
    </row>
    <row r="722" spans="1:1" x14ac:dyDescent="0.55000000000000004">
      <c r="A722"/>
    </row>
    <row r="723" spans="1:1" x14ac:dyDescent="0.55000000000000004">
      <c r="A723"/>
    </row>
    <row r="724" spans="1:1" x14ac:dyDescent="0.55000000000000004">
      <c r="A724"/>
    </row>
    <row r="725" spans="1:1" x14ac:dyDescent="0.55000000000000004">
      <c r="A725"/>
    </row>
    <row r="726" spans="1:1" x14ac:dyDescent="0.55000000000000004">
      <c r="A726"/>
    </row>
    <row r="727" spans="1:1" x14ac:dyDescent="0.55000000000000004">
      <c r="A727"/>
    </row>
    <row r="728" spans="1:1" x14ac:dyDescent="0.55000000000000004">
      <c r="A728"/>
    </row>
    <row r="729" spans="1:1" x14ac:dyDescent="0.55000000000000004">
      <c r="A729"/>
    </row>
    <row r="730" spans="1:1" x14ac:dyDescent="0.55000000000000004">
      <c r="A730"/>
    </row>
    <row r="731" spans="1:1" x14ac:dyDescent="0.55000000000000004">
      <c r="A731"/>
    </row>
    <row r="732" spans="1:1" x14ac:dyDescent="0.55000000000000004">
      <c r="A732"/>
    </row>
    <row r="733" spans="1:1" x14ac:dyDescent="0.55000000000000004">
      <c r="A733"/>
    </row>
    <row r="734" spans="1:1" x14ac:dyDescent="0.55000000000000004">
      <c r="A734"/>
    </row>
    <row r="735" spans="1:1" x14ac:dyDescent="0.55000000000000004">
      <c r="A735"/>
    </row>
    <row r="736" spans="1:1" x14ac:dyDescent="0.55000000000000004">
      <c r="A736"/>
    </row>
    <row r="737" spans="1:1" x14ac:dyDescent="0.55000000000000004">
      <c r="A737"/>
    </row>
    <row r="738" spans="1:1" x14ac:dyDescent="0.55000000000000004">
      <c r="A738"/>
    </row>
    <row r="739" spans="1:1" x14ac:dyDescent="0.55000000000000004">
      <c r="A739"/>
    </row>
    <row r="740" spans="1:1" x14ac:dyDescent="0.55000000000000004">
      <c r="A740"/>
    </row>
    <row r="741" spans="1:1" x14ac:dyDescent="0.55000000000000004">
      <c r="A741"/>
    </row>
    <row r="742" spans="1:1" x14ac:dyDescent="0.55000000000000004">
      <c r="A742"/>
    </row>
    <row r="743" spans="1:1" x14ac:dyDescent="0.55000000000000004">
      <c r="A743"/>
    </row>
    <row r="744" spans="1:1" x14ac:dyDescent="0.55000000000000004">
      <c r="A744"/>
    </row>
    <row r="745" spans="1:1" x14ac:dyDescent="0.55000000000000004">
      <c r="A745"/>
    </row>
    <row r="746" spans="1:1" x14ac:dyDescent="0.55000000000000004">
      <c r="A746"/>
    </row>
    <row r="747" spans="1:1" x14ac:dyDescent="0.55000000000000004">
      <c r="A747"/>
    </row>
    <row r="748" spans="1:1" x14ac:dyDescent="0.55000000000000004">
      <c r="A748"/>
    </row>
    <row r="749" spans="1:1" x14ac:dyDescent="0.55000000000000004">
      <c r="A749"/>
    </row>
    <row r="750" spans="1:1" x14ac:dyDescent="0.55000000000000004">
      <c r="A750"/>
    </row>
    <row r="751" spans="1:1" x14ac:dyDescent="0.55000000000000004">
      <c r="A751"/>
    </row>
    <row r="752" spans="1:1" x14ac:dyDescent="0.55000000000000004">
      <c r="A752"/>
    </row>
    <row r="753" spans="1:1" x14ac:dyDescent="0.55000000000000004">
      <c r="A753"/>
    </row>
    <row r="754" spans="1:1" x14ac:dyDescent="0.55000000000000004">
      <c r="A754"/>
    </row>
    <row r="755" spans="1:1" x14ac:dyDescent="0.55000000000000004">
      <c r="A755"/>
    </row>
    <row r="756" spans="1:1" x14ac:dyDescent="0.55000000000000004">
      <c r="A756"/>
    </row>
    <row r="757" spans="1:1" x14ac:dyDescent="0.55000000000000004">
      <c r="A757"/>
    </row>
    <row r="758" spans="1:1" x14ac:dyDescent="0.55000000000000004">
      <c r="A758"/>
    </row>
    <row r="759" spans="1:1" x14ac:dyDescent="0.55000000000000004">
      <c r="A759"/>
    </row>
    <row r="760" spans="1:1" x14ac:dyDescent="0.55000000000000004">
      <c r="A760"/>
    </row>
    <row r="761" spans="1:1" x14ac:dyDescent="0.55000000000000004">
      <c r="A761"/>
    </row>
    <row r="762" spans="1:1" x14ac:dyDescent="0.55000000000000004">
      <c r="A762"/>
    </row>
    <row r="763" spans="1:1" x14ac:dyDescent="0.55000000000000004">
      <c r="A763"/>
    </row>
    <row r="764" spans="1:1" x14ac:dyDescent="0.55000000000000004">
      <c r="A764"/>
    </row>
    <row r="765" spans="1:1" x14ac:dyDescent="0.55000000000000004">
      <c r="A765"/>
    </row>
    <row r="766" spans="1:1" x14ac:dyDescent="0.55000000000000004">
      <c r="A766"/>
    </row>
    <row r="767" spans="1:1" x14ac:dyDescent="0.55000000000000004">
      <c r="A767"/>
    </row>
    <row r="768" spans="1:1" x14ac:dyDescent="0.55000000000000004">
      <c r="A768"/>
    </row>
    <row r="769" spans="1:1" x14ac:dyDescent="0.55000000000000004">
      <c r="A769"/>
    </row>
    <row r="770" spans="1:1" x14ac:dyDescent="0.55000000000000004">
      <c r="A770"/>
    </row>
    <row r="771" spans="1:1" x14ac:dyDescent="0.55000000000000004">
      <c r="A771"/>
    </row>
    <row r="772" spans="1:1" x14ac:dyDescent="0.55000000000000004">
      <c r="A772"/>
    </row>
    <row r="773" spans="1:1" x14ac:dyDescent="0.55000000000000004">
      <c r="A773"/>
    </row>
    <row r="774" spans="1:1" x14ac:dyDescent="0.55000000000000004">
      <c r="A774"/>
    </row>
    <row r="775" spans="1:1" x14ac:dyDescent="0.55000000000000004">
      <c r="A775"/>
    </row>
    <row r="776" spans="1:1" x14ac:dyDescent="0.55000000000000004">
      <c r="A776"/>
    </row>
    <row r="777" spans="1:1" x14ac:dyDescent="0.55000000000000004">
      <c r="A777"/>
    </row>
    <row r="778" spans="1:1" x14ac:dyDescent="0.55000000000000004">
      <c r="A778"/>
    </row>
    <row r="779" spans="1:1" x14ac:dyDescent="0.55000000000000004">
      <c r="A779"/>
    </row>
    <row r="780" spans="1:1" x14ac:dyDescent="0.55000000000000004">
      <c r="A780"/>
    </row>
    <row r="781" spans="1:1" x14ac:dyDescent="0.55000000000000004">
      <c r="A781"/>
    </row>
    <row r="782" spans="1:1" x14ac:dyDescent="0.55000000000000004">
      <c r="A782"/>
    </row>
    <row r="783" spans="1:1" x14ac:dyDescent="0.55000000000000004">
      <c r="A783"/>
    </row>
    <row r="784" spans="1:1" x14ac:dyDescent="0.55000000000000004">
      <c r="A784"/>
    </row>
    <row r="785" spans="1:1" x14ac:dyDescent="0.55000000000000004">
      <c r="A785"/>
    </row>
    <row r="786" spans="1:1" x14ac:dyDescent="0.55000000000000004">
      <c r="A786"/>
    </row>
    <row r="787" spans="1:1" x14ac:dyDescent="0.55000000000000004">
      <c r="A787"/>
    </row>
    <row r="788" spans="1:1" x14ac:dyDescent="0.55000000000000004">
      <c r="A788"/>
    </row>
    <row r="789" spans="1:1" x14ac:dyDescent="0.55000000000000004">
      <c r="A789"/>
    </row>
    <row r="790" spans="1:1" x14ac:dyDescent="0.55000000000000004">
      <c r="A790"/>
    </row>
    <row r="791" spans="1:1" x14ac:dyDescent="0.55000000000000004">
      <c r="A791"/>
    </row>
    <row r="792" spans="1:1" x14ac:dyDescent="0.55000000000000004">
      <c r="A792"/>
    </row>
    <row r="793" spans="1:1" x14ac:dyDescent="0.55000000000000004">
      <c r="A793"/>
    </row>
    <row r="794" spans="1:1" x14ac:dyDescent="0.55000000000000004">
      <c r="A794"/>
    </row>
    <row r="795" spans="1:1" x14ac:dyDescent="0.55000000000000004">
      <c r="A795"/>
    </row>
    <row r="796" spans="1:1" x14ac:dyDescent="0.55000000000000004">
      <c r="A796"/>
    </row>
    <row r="797" spans="1:1" x14ac:dyDescent="0.55000000000000004">
      <c r="A797"/>
    </row>
    <row r="798" spans="1:1" x14ac:dyDescent="0.55000000000000004">
      <c r="A798"/>
    </row>
    <row r="799" spans="1:1" x14ac:dyDescent="0.55000000000000004">
      <c r="A799"/>
    </row>
    <row r="800" spans="1:1" x14ac:dyDescent="0.55000000000000004">
      <c r="A800"/>
    </row>
    <row r="801" spans="1:1" x14ac:dyDescent="0.55000000000000004">
      <c r="A801"/>
    </row>
    <row r="802" spans="1:1" x14ac:dyDescent="0.55000000000000004">
      <c r="A802"/>
    </row>
    <row r="803" spans="1:1" x14ac:dyDescent="0.55000000000000004">
      <c r="A803"/>
    </row>
    <row r="804" spans="1:1" x14ac:dyDescent="0.55000000000000004">
      <c r="A804"/>
    </row>
    <row r="805" spans="1:1" x14ac:dyDescent="0.55000000000000004">
      <c r="A805"/>
    </row>
    <row r="806" spans="1:1" x14ac:dyDescent="0.55000000000000004">
      <c r="A806"/>
    </row>
    <row r="807" spans="1:1" x14ac:dyDescent="0.55000000000000004">
      <c r="A807"/>
    </row>
    <row r="808" spans="1:1" x14ac:dyDescent="0.55000000000000004">
      <c r="A808"/>
    </row>
    <row r="809" spans="1:1" x14ac:dyDescent="0.55000000000000004">
      <c r="A809"/>
    </row>
    <row r="810" spans="1:1" x14ac:dyDescent="0.55000000000000004">
      <c r="A810"/>
    </row>
    <row r="811" spans="1:1" x14ac:dyDescent="0.55000000000000004">
      <c r="A811"/>
    </row>
    <row r="812" spans="1:1" x14ac:dyDescent="0.55000000000000004">
      <c r="A812"/>
    </row>
    <row r="813" spans="1:1" x14ac:dyDescent="0.55000000000000004">
      <c r="A813"/>
    </row>
    <row r="814" spans="1:1" x14ac:dyDescent="0.55000000000000004">
      <c r="A814"/>
    </row>
    <row r="815" spans="1:1" x14ac:dyDescent="0.55000000000000004">
      <c r="A815"/>
    </row>
    <row r="816" spans="1:1" x14ac:dyDescent="0.55000000000000004">
      <c r="A816"/>
    </row>
    <row r="817" spans="1:1" x14ac:dyDescent="0.55000000000000004">
      <c r="A817"/>
    </row>
    <row r="818" spans="1:1" x14ac:dyDescent="0.55000000000000004">
      <c r="A818"/>
    </row>
    <row r="819" spans="1:1" x14ac:dyDescent="0.55000000000000004">
      <c r="A819"/>
    </row>
    <row r="820" spans="1:1" x14ac:dyDescent="0.55000000000000004">
      <c r="A820"/>
    </row>
    <row r="821" spans="1:1" x14ac:dyDescent="0.55000000000000004">
      <c r="A821"/>
    </row>
    <row r="822" spans="1:1" x14ac:dyDescent="0.55000000000000004">
      <c r="A822"/>
    </row>
    <row r="823" spans="1:1" x14ac:dyDescent="0.55000000000000004">
      <c r="A823"/>
    </row>
    <row r="824" spans="1:1" x14ac:dyDescent="0.55000000000000004">
      <c r="A824"/>
    </row>
    <row r="825" spans="1:1" x14ac:dyDescent="0.55000000000000004">
      <c r="A825"/>
    </row>
    <row r="826" spans="1:1" x14ac:dyDescent="0.55000000000000004">
      <c r="A826"/>
    </row>
    <row r="827" spans="1:1" x14ac:dyDescent="0.55000000000000004">
      <c r="A827"/>
    </row>
    <row r="828" spans="1:1" x14ac:dyDescent="0.55000000000000004">
      <c r="A828"/>
    </row>
    <row r="829" spans="1:1" x14ac:dyDescent="0.55000000000000004">
      <c r="A829"/>
    </row>
    <row r="830" spans="1:1" x14ac:dyDescent="0.55000000000000004">
      <c r="A830"/>
    </row>
    <row r="831" spans="1:1" x14ac:dyDescent="0.55000000000000004">
      <c r="A831"/>
    </row>
    <row r="832" spans="1:1" x14ac:dyDescent="0.55000000000000004">
      <c r="A832"/>
    </row>
    <row r="833" spans="1:1" x14ac:dyDescent="0.55000000000000004">
      <c r="A833"/>
    </row>
    <row r="834" spans="1:1" x14ac:dyDescent="0.55000000000000004">
      <c r="A834"/>
    </row>
    <row r="835" spans="1:1" x14ac:dyDescent="0.55000000000000004">
      <c r="A835"/>
    </row>
    <row r="836" spans="1:1" x14ac:dyDescent="0.55000000000000004">
      <c r="A836"/>
    </row>
    <row r="837" spans="1:1" x14ac:dyDescent="0.55000000000000004">
      <c r="A837"/>
    </row>
    <row r="838" spans="1:1" x14ac:dyDescent="0.55000000000000004">
      <c r="A838"/>
    </row>
    <row r="839" spans="1:1" x14ac:dyDescent="0.55000000000000004">
      <c r="A839"/>
    </row>
    <row r="840" spans="1:1" x14ac:dyDescent="0.55000000000000004">
      <c r="A840"/>
    </row>
    <row r="841" spans="1:1" x14ac:dyDescent="0.55000000000000004">
      <c r="A841"/>
    </row>
    <row r="842" spans="1:1" x14ac:dyDescent="0.55000000000000004">
      <c r="A842"/>
    </row>
    <row r="843" spans="1:1" x14ac:dyDescent="0.55000000000000004">
      <c r="A843"/>
    </row>
    <row r="844" spans="1:1" x14ac:dyDescent="0.55000000000000004">
      <c r="A844"/>
    </row>
    <row r="845" spans="1:1" x14ac:dyDescent="0.55000000000000004">
      <c r="A845"/>
    </row>
    <row r="846" spans="1:1" x14ac:dyDescent="0.55000000000000004">
      <c r="A846"/>
    </row>
    <row r="847" spans="1:1" x14ac:dyDescent="0.55000000000000004">
      <c r="A847"/>
    </row>
    <row r="848" spans="1:1" x14ac:dyDescent="0.55000000000000004">
      <c r="A848"/>
    </row>
    <row r="849" spans="1:1" x14ac:dyDescent="0.55000000000000004">
      <c r="A849"/>
    </row>
    <row r="850" spans="1:1" x14ac:dyDescent="0.55000000000000004">
      <c r="A850"/>
    </row>
    <row r="851" spans="1:1" x14ac:dyDescent="0.55000000000000004">
      <c r="A851"/>
    </row>
    <row r="852" spans="1:1" x14ac:dyDescent="0.55000000000000004">
      <c r="A852"/>
    </row>
    <row r="853" spans="1:1" x14ac:dyDescent="0.55000000000000004">
      <c r="A853"/>
    </row>
    <row r="854" spans="1:1" x14ac:dyDescent="0.55000000000000004">
      <c r="A854"/>
    </row>
    <row r="855" spans="1:1" x14ac:dyDescent="0.55000000000000004">
      <c r="A855"/>
    </row>
    <row r="856" spans="1:1" x14ac:dyDescent="0.55000000000000004">
      <c r="A856"/>
    </row>
    <row r="857" spans="1:1" x14ac:dyDescent="0.55000000000000004">
      <c r="A857"/>
    </row>
    <row r="858" spans="1:1" x14ac:dyDescent="0.55000000000000004">
      <c r="A858"/>
    </row>
    <row r="859" spans="1:1" x14ac:dyDescent="0.55000000000000004">
      <c r="A859"/>
    </row>
    <row r="860" spans="1:1" x14ac:dyDescent="0.55000000000000004">
      <c r="A860"/>
    </row>
    <row r="861" spans="1:1" x14ac:dyDescent="0.55000000000000004">
      <c r="A861"/>
    </row>
    <row r="862" spans="1:1" x14ac:dyDescent="0.55000000000000004">
      <c r="A862"/>
    </row>
    <row r="863" spans="1:1" x14ac:dyDescent="0.55000000000000004">
      <c r="A863"/>
    </row>
    <row r="864" spans="1:1" x14ac:dyDescent="0.55000000000000004">
      <c r="A864"/>
    </row>
    <row r="865" spans="1:1" x14ac:dyDescent="0.55000000000000004">
      <c r="A865"/>
    </row>
    <row r="866" spans="1:1" x14ac:dyDescent="0.55000000000000004">
      <c r="A866"/>
    </row>
    <row r="867" spans="1:1" x14ac:dyDescent="0.55000000000000004">
      <c r="A867"/>
    </row>
    <row r="868" spans="1:1" x14ac:dyDescent="0.55000000000000004">
      <c r="A868"/>
    </row>
    <row r="869" spans="1:1" x14ac:dyDescent="0.55000000000000004">
      <c r="A869"/>
    </row>
    <row r="870" spans="1:1" x14ac:dyDescent="0.55000000000000004">
      <c r="A870"/>
    </row>
    <row r="871" spans="1:1" x14ac:dyDescent="0.55000000000000004">
      <c r="A871"/>
    </row>
    <row r="872" spans="1:1" x14ac:dyDescent="0.55000000000000004">
      <c r="A872"/>
    </row>
    <row r="873" spans="1:1" x14ac:dyDescent="0.55000000000000004">
      <c r="A873"/>
    </row>
    <row r="874" spans="1:1" x14ac:dyDescent="0.55000000000000004">
      <c r="A874"/>
    </row>
    <row r="875" spans="1:1" x14ac:dyDescent="0.55000000000000004">
      <c r="A875"/>
    </row>
    <row r="876" spans="1:1" x14ac:dyDescent="0.55000000000000004">
      <c r="A876"/>
    </row>
    <row r="877" spans="1:1" x14ac:dyDescent="0.55000000000000004">
      <c r="A877"/>
    </row>
    <row r="878" spans="1:1" x14ac:dyDescent="0.55000000000000004">
      <c r="A878"/>
    </row>
    <row r="879" spans="1:1" x14ac:dyDescent="0.55000000000000004">
      <c r="A879"/>
    </row>
    <row r="880" spans="1:1" x14ac:dyDescent="0.55000000000000004">
      <c r="A880"/>
    </row>
    <row r="881" spans="1:1" x14ac:dyDescent="0.55000000000000004">
      <c r="A881"/>
    </row>
    <row r="882" spans="1:1" x14ac:dyDescent="0.55000000000000004">
      <c r="A882"/>
    </row>
    <row r="883" spans="1:1" x14ac:dyDescent="0.55000000000000004">
      <c r="A883"/>
    </row>
    <row r="884" spans="1:1" x14ac:dyDescent="0.55000000000000004">
      <c r="A884"/>
    </row>
    <row r="885" spans="1:1" x14ac:dyDescent="0.55000000000000004">
      <c r="A885"/>
    </row>
    <row r="886" spans="1:1" x14ac:dyDescent="0.55000000000000004">
      <c r="A886"/>
    </row>
    <row r="887" spans="1:1" x14ac:dyDescent="0.55000000000000004">
      <c r="A887"/>
    </row>
    <row r="888" spans="1:1" x14ac:dyDescent="0.55000000000000004">
      <c r="A888"/>
    </row>
    <row r="889" spans="1:1" x14ac:dyDescent="0.55000000000000004">
      <c r="A889"/>
    </row>
    <row r="890" spans="1:1" x14ac:dyDescent="0.55000000000000004">
      <c r="A890"/>
    </row>
    <row r="891" spans="1:1" x14ac:dyDescent="0.55000000000000004">
      <c r="A891"/>
    </row>
    <row r="892" spans="1:1" x14ac:dyDescent="0.55000000000000004">
      <c r="A892"/>
    </row>
    <row r="893" spans="1:1" x14ac:dyDescent="0.55000000000000004">
      <c r="A893"/>
    </row>
    <row r="894" spans="1:1" x14ac:dyDescent="0.55000000000000004">
      <c r="A894"/>
    </row>
    <row r="895" spans="1:1" x14ac:dyDescent="0.55000000000000004">
      <c r="A895"/>
    </row>
    <row r="896" spans="1:1" x14ac:dyDescent="0.55000000000000004">
      <c r="A896"/>
    </row>
    <row r="897" spans="1:1" x14ac:dyDescent="0.55000000000000004">
      <c r="A897"/>
    </row>
    <row r="898" spans="1:1" x14ac:dyDescent="0.55000000000000004">
      <c r="A898"/>
    </row>
    <row r="899" spans="1:1" x14ac:dyDescent="0.55000000000000004">
      <c r="A899"/>
    </row>
    <row r="900" spans="1:1" x14ac:dyDescent="0.55000000000000004">
      <c r="A900"/>
    </row>
    <row r="901" spans="1:1" x14ac:dyDescent="0.55000000000000004">
      <c r="A901"/>
    </row>
    <row r="902" spans="1:1" x14ac:dyDescent="0.55000000000000004">
      <c r="A902"/>
    </row>
    <row r="903" spans="1:1" x14ac:dyDescent="0.55000000000000004">
      <c r="A903"/>
    </row>
    <row r="904" spans="1:1" x14ac:dyDescent="0.55000000000000004">
      <c r="A904"/>
    </row>
    <row r="905" spans="1:1" x14ac:dyDescent="0.55000000000000004">
      <c r="A905"/>
    </row>
    <row r="906" spans="1:1" x14ac:dyDescent="0.55000000000000004">
      <c r="A906"/>
    </row>
    <row r="907" spans="1:1" x14ac:dyDescent="0.55000000000000004">
      <c r="A907"/>
    </row>
    <row r="908" spans="1:1" x14ac:dyDescent="0.55000000000000004">
      <c r="A908"/>
    </row>
    <row r="909" spans="1:1" x14ac:dyDescent="0.55000000000000004">
      <c r="A909"/>
    </row>
    <row r="910" spans="1:1" x14ac:dyDescent="0.55000000000000004">
      <c r="A910"/>
    </row>
    <row r="911" spans="1:1" x14ac:dyDescent="0.55000000000000004">
      <c r="A911"/>
    </row>
    <row r="912" spans="1:1" x14ac:dyDescent="0.55000000000000004">
      <c r="A912"/>
    </row>
    <row r="913" spans="1:1" x14ac:dyDescent="0.55000000000000004">
      <c r="A913"/>
    </row>
    <row r="914" spans="1:1" x14ac:dyDescent="0.55000000000000004">
      <c r="A914"/>
    </row>
    <row r="915" spans="1:1" x14ac:dyDescent="0.55000000000000004">
      <c r="A915"/>
    </row>
    <row r="916" spans="1:1" x14ac:dyDescent="0.55000000000000004">
      <c r="A916"/>
    </row>
    <row r="917" spans="1:1" x14ac:dyDescent="0.55000000000000004">
      <c r="A917"/>
    </row>
    <row r="918" spans="1:1" x14ac:dyDescent="0.55000000000000004">
      <c r="A918"/>
    </row>
    <row r="919" spans="1:1" x14ac:dyDescent="0.55000000000000004">
      <c r="A919"/>
    </row>
    <row r="920" spans="1:1" x14ac:dyDescent="0.55000000000000004">
      <c r="A920"/>
    </row>
    <row r="921" spans="1:1" x14ac:dyDescent="0.55000000000000004">
      <c r="A921"/>
    </row>
    <row r="922" spans="1:1" x14ac:dyDescent="0.55000000000000004">
      <c r="A922"/>
    </row>
    <row r="923" spans="1:1" x14ac:dyDescent="0.55000000000000004">
      <c r="A923"/>
    </row>
    <row r="924" spans="1:1" x14ac:dyDescent="0.55000000000000004">
      <c r="A924"/>
    </row>
    <row r="925" spans="1:1" x14ac:dyDescent="0.55000000000000004">
      <c r="A925"/>
    </row>
    <row r="926" spans="1:1" x14ac:dyDescent="0.55000000000000004">
      <c r="A926"/>
    </row>
    <row r="927" spans="1:1" x14ac:dyDescent="0.55000000000000004">
      <c r="A927"/>
    </row>
    <row r="928" spans="1:1" x14ac:dyDescent="0.55000000000000004">
      <c r="A928"/>
    </row>
    <row r="929" spans="1:1" x14ac:dyDescent="0.55000000000000004">
      <c r="A929"/>
    </row>
    <row r="930" spans="1:1" x14ac:dyDescent="0.55000000000000004">
      <c r="A930"/>
    </row>
    <row r="931" spans="1:1" x14ac:dyDescent="0.55000000000000004">
      <c r="A931"/>
    </row>
    <row r="932" spans="1:1" x14ac:dyDescent="0.55000000000000004">
      <c r="A932"/>
    </row>
    <row r="933" spans="1:1" x14ac:dyDescent="0.55000000000000004">
      <c r="A933"/>
    </row>
    <row r="934" spans="1:1" x14ac:dyDescent="0.55000000000000004">
      <c r="A934"/>
    </row>
    <row r="935" spans="1:1" x14ac:dyDescent="0.55000000000000004">
      <c r="A935"/>
    </row>
    <row r="936" spans="1:1" x14ac:dyDescent="0.55000000000000004">
      <c r="A936"/>
    </row>
    <row r="937" spans="1:1" x14ac:dyDescent="0.55000000000000004">
      <c r="A937"/>
    </row>
    <row r="938" spans="1:1" x14ac:dyDescent="0.55000000000000004">
      <c r="A938"/>
    </row>
    <row r="939" spans="1:1" x14ac:dyDescent="0.55000000000000004">
      <c r="A939"/>
    </row>
    <row r="940" spans="1:1" x14ac:dyDescent="0.55000000000000004">
      <c r="A940"/>
    </row>
    <row r="941" spans="1:1" x14ac:dyDescent="0.55000000000000004">
      <c r="A941"/>
    </row>
    <row r="942" spans="1:1" x14ac:dyDescent="0.55000000000000004">
      <c r="A942"/>
    </row>
    <row r="943" spans="1:1" x14ac:dyDescent="0.55000000000000004">
      <c r="A943"/>
    </row>
    <row r="944" spans="1:1" x14ac:dyDescent="0.55000000000000004">
      <c r="A944"/>
    </row>
    <row r="945" spans="1:1" x14ac:dyDescent="0.55000000000000004">
      <c r="A945"/>
    </row>
    <row r="946" spans="1:1" x14ac:dyDescent="0.55000000000000004">
      <c r="A946"/>
    </row>
    <row r="947" spans="1:1" x14ac:dyDescent="0.55000000000000004">
      <c r="A947"/>
    </row>
    <row r="948" spans="1:1" x14ac:dyDescent="0.55000000000000004">
      <c r="A948"/>
    </row>
    <row r="949" spans="1:1" x14ac:dyDescent="0.55000000000000004">
      <c r="A949"/>
    </row>
    <row r="950" spans="1:1" x14ac:dyDescent="0.55000000000000004">
      <c r="A950"/>
    </row>
    <row r="951" spans="1:1" x14ac:dyDescent="0.55000000000000004">
      <c r="A951"/>
    </row>
    <row r="952" spans="1:1" x14ac:dyDescent="0.55000000000000004">
      <c r="A952"/>
    </row>
    <row r="953" spans="1:1" x14ac:dyDescent="0.55000000000000004">
      <c r="A953"/>
    </row>
    <row r="954" spans="1:1" x14ac:dyDescent="0.55000000000000004">
      <c r="A954"/>
    </row>
    <row r="955" spans="1:1" x14ac:dyDescent="0.55000000000000004">
      <c r="A955"/>
    </row>
    <row r="956" spans="1:1" x14ac:dyDescent="0.55000000000000004">
      <c r="A956"/>
    </row>
    <row r="957" spans="1:1" x14ac:dyDescent="0.55000000000000004">
      <c r="A957"/>
    </row>
    <row r="958" spans="1:1" x14ac:dyDescent="0.55000000000000004">
      <c r="A958"/>
    </row>
    <row r="959" spans="1:1" x14ac:dyDescent="0.55000000000000004">
      <c r="A959"/>
    </row>
    <row r="960" spans="1:1" x14ac:dyDescent="0.55000000000000004">
      <c r="A960"/>
    </row>
    <row r="961" spans="1:1" x14ac:dyDescent="0.55000000000000004">
      <c r="A961"/>
    </row>
    <row r="962" spans="1:1" x14ac:dyDescent="0.55000000000000004">
      <c r="A962"/>
    </row>
    <row r="963" spans="1:1" x14ac:dyDescent="0.55000000000000004">
      <c r="A963"/>
    </row>
    <row r="964" spans="1:1" x14ac:dyDescent="0.55000000000000004">
      <c r="A964"/>
    </row>
    <row r="965" spans="1:1" x14ac:dyDescent="0.55000000000000004">
      <c r="A965"/>
    </row>
    <row r="966" spans="1:1" x14ac:dyDescent="0.55000000000000004">
      <c r="A966"/>
    </row>
    <row r="967" spans="1:1" x14ac:dyDescent="0.55000000000000004">
      <c r="A967"/>
    </row>
    <row r="968" spans="1:1" x14ac:dyDescent="0.55000000000000004">
      <c r="A968"/>
    </row>
    <row r="969" spans="1:1" x14ac:dyDescent="0.55000000000000004">
      <c r="A969"/>
    </row>
    <row r="970" spans="1:1" x14ac:dyDescent="0.55000000000000004">
      <c r="A970"/>
    </row>
    <row r="971" spans="1:1" x14ac:dyDescent="0.55000000000000004">
      <c r="A971"/>
    </row>
    <row r="972" spans="1:1" x14ac:dyDescent="0.55000000000000004">
      <c r="A972"/>
    </row>
    <row r="973" spans="1:1" x14ac:dyDescent="0.55000000000000004">
      <c r="A973"/>
    </row>
    <row r="974" spans="1:1" x14ac:dyDescent="0.55000000000000004">
      <c r="A974"/>
    </row>
    <row r="975" spans="1:1" x14ac:dyDescent="0.55000000000000004">
      <c r="A975"/>
    </row>
    <row r="976" spans="1:1" x14ac:dyDescent="0.55000000000000004">
      <c r="A976"/>
    </row>
    <row r="977" spans="1:1" x14ac:dyDescent="0.55000000000000004">
      <c r="A977"/>
    </row>
    <row r="978" spans="1:1" x14ac:dyDescent="0.55000000000000004">
      <c r="A978"/>
    </row>
    <row r="979" spans="1:1" x14ac:dyDescent="0.55000000000000004">
      <c r="A979"/>
    </row>
    <row r="980" spans="1:1" x14ac:dyDescent="0.55000000000000004">
      <c r="A980"/>
    </row>
    <row r="981" spans="1:1" x14ac:dyDescent="0.55000000000000004">
      <c r="A981"/>
    </row>
    <row r="982" spans="1:1" x14ac:dyDescent="0.55000000000000004">
      <c r="A982"/>
    </row>
    <row r="983" spans="1:1" x14ac:dyDescent="0.55000000000000004">
      <c r="A983"/>
    </row>
    <row r="984" spans="1:1" x14ac:dyDescent="0.55000000000000004">
      <c r="A984"/>
    </row>
    <row r="985" spans="1:1" x14ac:dyDescent="0.55000000000000004">
      <c r="A985"/>
    </row>
    <row r="986" spans="1:1" x14ac:dyDescent="0.55000000000000004">
      <c r="A986"/>
    </row>
    <row r="987" spans="1:1" x14ac:dyDescent="0.55000000000000004">
      <c r="A987"/>
    </row>
    <row r="988" spans="1:1" x14ac:dyDescent="0.55000000000000004">
      <c r="A988"/>
    </row>
    <row r="989" spans="1:1" x14ac:dyDescent="0.55000000000000004">
      <c r="A989"/>
    </row>
    <row r="990" spans="1:1" x14ac:dyDescent="0.55000000000000004">
      <c r="A990"/>
    </row>
    <row r="991" spans="1:1" x14ac:dyDescent="0.55000000000000004">
      <c r="A991"/>
    </row>
    <row r="992" spans="1:1" x14ac:dyDescent="0.55000000000000004">
      <c r="A992"/>
    </row>
    <row r="993" spans="1:1" x14ac:dyDescent="0.55000000000000004">
      <c r="A993"/>
    </row>
    <row r="994" spans="1:1" x14ac:dyDescent="0.55000000000000004">
      <c r="A994"/>
    </row>
    <row r="995" spans="1:1" x14ac:dyDescent="0.55000000000000004">
      <c r="A995"/>
    </row>
    <row r="996" spans="1:1" x14ac:dyDescent="0.55000000000000004">
      <c r="A996"/>
    </row>
    <row r="997" spans="1:1" x14ac:dyDescent="0.55000000000000004">
      <c r="A997"/>
    </row>
    <row r="998" spans="1:1" x14ac:dyDescent="0.55000000000000004">
      <c r="A998"/>
    </row>
    <row r="999" spans="1:1" x14ac:dyDescent="0.55000000000000004">
      <c r="A999"/>
    </row>
    <row r="1000" spans="1:1" x14ac:dyDescent="0.55000000000000004">
      <c r="A1000"/>
    </row>
    <row r="1001" spans="1:1" x14ac:dyDescent="0.55000000000000004">
      <c r="A1001"/>
    </row>
    <row r="1002" spans="1:1" x14ac:dyDescent="0.55000000000000004">
      <c r="A1002"/>
    </row>
    <row r="1003" spans="1:1" x14ac:dyDescent="0.55000000000000004">
      <c r="A1003"/>
    </row>
    <row r="1004" spans="1:1" x14ac:dyDescent="0.55000000000000004">
      <c r="A1004"/>
    </row>
    <row r="1005" spans="1:1" x14ac:dyDescent="0.55000000000000004">
      <c r="A1005"/>
    </row>
    <row r="1006" spans="1:1" x14ac:dyDescent="0.55000000000000004">
      <c r="A1006"/>
    </row>
    <row r="1007" spans="1:1" x14ac:dyDescent="0.55000000000000004">
      <c r="A1007"/>
    </row>
    <row r="1008" spans="1:1" x14ac:dyDescent="0.55000000000000004">
      <c r="A1008"/>
    </row>
    <row r="1009" spans="1:1" x14ac:dyDescent="0.55000000000000004">
      <c r="A1009"/>
    </row>
    <row r="1010" spans="1:1" x14ac:dyDescent="0.55000000000000004">
      <c r="A1010"/>
    </row>
    <row r="1011" spans="1:1" x14ac:dyDescent="0.55000000000000004">
      <c r="A1011"/>
    </row>
    <row r="1012" spans="1:1" x14ac:dyDescent="0.55000000000000004">
      <c r="A1012"/>
    </row>
    <row r="1013" spans="1:1" x14ac:dyDescent="0.55000000000000004">
      <c r="A1013"/>
    </row>
    <row r="1014" spans="1:1" x14ac:dyDescent="0.55000000000000004">
      <c r="A1014"/>
    </row>
    <row r="1015" spans="1:1" x14ac:dyDescent="0.55000000000000004">
      <c r="A1015"/>
    </row>
    <row r="1016" spans="1:1" x14ac:dyDescent="0.55000000000000004">
      <c r="A1016"/>
    </row>
    <row r="1017" spans="1:1" x14ac:dyDescent="0.55000000000000004">
      <c r="A1017"/>
    </row>
    <row r="1018" spans="1:1" x14ac:dyDescent="0.55000000000000004">
      <c r="A1018"/>
    </row>
    <row r="1019" spans="1:1" x14ac:dyDescent="0.55000000000000004">
      <c r="A1019"/>
    </row>
    <row r="1020" spans="1:1" x14ac:dyDescent="0.55000000000000004">
      <c r="A1020"/>
    </row>
    <row r="1021" spans="1:1" x14ac:dyDescent="0.55000000000000004">
      <c r="A1021"/>
    </row>
    <row r="1022" spans="1:1" x14ac:dyDescent="0.55000000000000004">
      <c r="A1022"/>
    </row>
    <row r="1023" spans="1:1" x14ac:dyDescent="0.55000000000000004">
      <c r="A1023"/>
    </row>
    <row r="1024" spans="1:1" x14ac:dyDescent="0.55000000000000004">
      <c r="A1024"/>
    </row>
    <row r="1025" spans="1:1" x14ac:dyDescent="0.55000000000000004">
      <c r="A1025"/>
    </row>
    <row r="1026" spans="1:1" x14ac:dyDescent="0.55000000000000004">
      <c r="A1026"/>
    </row>
    <row r="1027" spans="1:1" x14ac:dyDescent="0.55000000000000004">
      <c r="A1027"/>
    </row>
    <row r="1028" spans="1:1" x14ac:dyDescent="0.55000000000000004">
      <c r="A1028"/>
    </row>
    <row r="1029" spans="1:1" x14ac:dyDescent="0.55000000000000004">
      <c r="A1029"/>
    </row>
    <row r="1030" spans="1:1" x14ac:dyDescent="0.55000000000000004">
      <c r="A1030"/>
    </row>
    <row r="1031" spans="1:1" x14ac:dyDescent="0.55000000000000004">
      <c r="A1031"/>
    </row>
    <row r="1032" spans="1:1" x14ac:dyDescent="0.55000000000000004">
      <c r="A1032"/>
    </row>
    <row r="1033" spans="1:1" x14ac:dyDescent="0.55000000000000004">
      <c r="A1033"/>
    </row>
    <row r="1034" spans="1:1" x14ac:dyDescent="0.55000000000000004">
      <c r="A1034"/>
    </row>
    <row r="1035" spans="1:1" x14ac:dyDescent="0.55000000000000004">
      <c r="A1035"/>
    </row>
    <row r="1036" spans="1:1" x14ac:dyDescent="0.55000000000000004">
      <c r="A1036"/>
    </row>
    <row r="1037" spans="1:1" x14ac:dyDescent="0.55000000000000004">
      <c r="A1037"/>
    </row>
    <row r="1038" spans="1:1" x14ac:dyDescent="0.55000000000000004">
      <c r="A1038"/>
    </row>
    <row r="1039" spans="1:1" x14ac:dyDescent="0.55000000000000004">
      <c r="A1039"/>
    </row>
    <row r="1040" spans="1:1" x14ac:dyDescent="0.55000000000000004">
      <c r="A1040"/>
    </row>
    <row r="1041" spans="1:1" x14ac:dyDescent="0.55000000000000004">
      <c r="A1041"/>
    </row>
    <row r="1042" spans="1:1" x14ac:dyDescent="0.55000000000000004">
      <c r="A1042"/>
    </row>
    <row r="1043" spans="1:1" x14ac:dyDescent="0.55000000000000004">
      <c r="A1043"/>
    </row>
    <row r="1044" spans="1:1" x14ac:dyDescent="0.55000000000000004">
      <c r="A1044"/>
    </row>
    <row r="1045" spans="1:1" x14ac:dyDescent="0.55000000000000004">
      <c r="A1045"/>
    </row>
    <row r="1046" spans="1:1" x14ac:dyDescent="0.55000000000000004">
      <c r="A1046"/>
    </row>
    <row r="1047" spans="1:1" x14ac:dyDescent="0.55000000000000004">
      <c r="A1047"/>
    </row>
    <row r="1048" spans="1:1" x14ac:dyDescent="0.55000000000000004">
      <c r="A1048"/>
    </row>
    <row r="1049" spans="1:1" x14ac:dyDescent="0.55000000000000004">
      <c r="A1049"/>
    </row>
    <row r="1050" spans="1:1" x14ac:dyDescent="0.55000000000000004">
      <c r="A1050"/>
    </row>
    <row r="1051" spans="1:1" x14ac:dyDescent="0.55000000000000004">
      <c r="A1051"/>
    </row>
    <row r="1052" spans="1:1" x14ac:dyDescent="0.55000000000000004">
      <c r="A1052"/>
    </row>
    <row r="1053" spans="1:1" x14ac:dyDescent="0.55000000000000004">
      <c r="A1053"/>
    </row>
    <row r="1054" spans="1:1" x14ac:dyDescent="0.55000000000000004">
      <c r="A1054"/>
    </row>
    <row r="1055" spans="1:1" x14ac:dyDescent="0.55000000000000004">
      <c r="A1055"/>
    </row>
    <row r="1056" spans="1:1" x14ac:dyDescent="0.55000000000000004">
      <c r="A1056"/>
    </row>
    <row r="1057" spans="1:1" x14ac:dyDescent="0.55000000000000004">
      <c r="A1057"/>
    </row>
    <row r="1058" spans="1:1" x14ac:dyDescent="0.55000000000000004">
      <c r="A1058"/>
    </row>
    <row r="1059" spans="1:1" x14ac:dyDescent="0.55000000000000004">
      <c r="A1059"/>
    </row>
    <row r="1060" spans="1:1" x14ac:dyDescent="0.55000000000000004">
      <c r="A1060"/>
    </row>
    <row r="1061" spans="1:1" x14ac:dyDescent="0.55000000000000004">
      <c r="A1061"/>
    </row>
    <row r="1062" spans="1:1" x14ac:dyDescent="0.55000000000000004">
      <c r="A1062"/>
    </row>
    <row r="1063" spans="1:1" x14ac:dyDescent="0.55000000000000004">
      <c r="A1063"/>
    </row>
    <row r="1064" spans="1:1" x14ac:dyDescent="0.55000000000000004">
      <c r="A1064"/>
    </row>
    <row r="1065" spans="1:1" x14ac:dyDescent="0.55000000000000004">
      <c r="A1065"/>
    </row>
    <row r="1066" spans="1:1" x14ac:dyDescent="0.55000000000000004">
      <c r="A1066"/>
    </row>
    <row r="1067" spans="1:1" x14ac:dyDescent="0.55000000000000004">
      <c r="A1067"/>
    </row>
    <row r="1068" spans="1:1" x14ac:dyDescent="0.55000000000000004">
      <c r="A1068"/>
    </row>
    <row r="1069" spans="1:1" x14ac:dyDescent="0.55000000000000004">
      <c r="A1069"/>
    </row>
    <row r="1070" spans="1:1" x14ac:dyDescent="0.55000000000000004">
      <c r="A1070"/>
    </row>
    <row r="1071" spans="1:1" x14ac:dyDescent="0.55000000000000004">
      <c r="A1071"/>
    </row>
    <row r="1072" spans="1:1" x14ac:dyDescent="0.55000000000000004">
      <c r="A1072"/>
    </row>
    <row r="1073" spans="1:1" x14ac:dyDescent="0.55000000000000004">
      <c r="A1073"/>
    </row>
    <row r="1074" spans="1:1" x14ac:dyDescent="0.55000000000000004">
      <c r="A1074"/>
    </row>
    <row r="1075" spans="1:1" x14ac:dyDescent="0.55000000000000004">
      <c r="A1075"/>
    </row>
    <row r="1076" spans="1:1" x14ac:dyDescent="0.55000000000000004">
      <c r="A1076"/>
    </row>
    <row r="1077" spans="1:1" x14ac:dyDescent="0.55000000000000004">
      <c r="A1077"/>
    </row>
    <row r="1078" spans="1:1" x14ac:dyDescent="0.55000000000000004">
      <c r="A1078"/>
    </row>
    <row r="1079" spans="1:1" x14ac:dyDescent="0.55000000000000004">
      <c r="A1079"/>
    </row>
    <row r="1080" spans="1:1" x14ac:dyDescent="0.55000000000000004">
      <c r="A1080"/>
    </row>
    <row r="1081" spans="1:1" x14ac:dyDescent="0.55000000000000004">
      <c r="A1081"/>
    </row>
    <row r="1082" spans="1:1" x14ac:dyDescent="0.55000000000000004">
      <c r="A1082"/>
    </row>
    <row r="1083" spans="1:1" x14ac:dyDescent="0.55000000000000004">
      <c r="A1083"/>
    </row>
    <row r="1084" spans="1:1" x14ac:dyDescent="0.55000000000000004">
      <c r="A1084"/>
    </row>
    <row r="1085" spans="1:1" x14ac:dyDescent="0.55000000000000004">
      <c r="A1085"/>
    </row>
    <row r="1086" spans="1:1" x14ac:dyDescent="0.55000000000000004">
      <c r="A1086"/>
    </row>
    <row r="1087" spans="1:1" x14ac:dyDescent="0.55000000000000004">
      <c r="A1087"/>
    </row>
    <row r="1088" spans="1:1" x14ac:dyDescent="0.55000000000000004">
      <c r="A1088"/>
    </row>
    <row r="1089" spans="1:1" x14ac:dyDescent="0.55000000000000004">
      <c r="A1089"/>
    </row>
    <row r="1090" spans="1:1" x14ac:dyDescent="0.55000000000000004">
      <c r="A1090"/>
    </row>
    <row r="1091" spans="1:1" x14ac:dyDescent="0.55000000000000004">
      <c r="A1091"/>
    </row>
    <row r="1092" spans="1:1" x14ac:dyDescent="0.55000000000000004">
      <c r="A1092"/>
    </row>
    <row r="1093" spans="1:1" x14ac:dyDescent="0.55000000000000004">
      <c r="A1093"/>
    </row>
    <row r="1094" spans="1:1" x14ac:dyDescent="0.55000000000000004">
      <c r="A1094"/>
    </row>
    <row r="1095" spans="1:1" x14ac:dyDescent="0.55000000000000004">
      <c r="A1095"/>
    </row>
    <row r="1096" spans="1:1" x14ac:dyDescent="0.55000000000000004">
      <c r="A1096"/>
    </row>
    <row r="1097" spans="1:1" x14ac:dyDescent="0.55000000000000004">
      <c r="A1097"/>
    </row>
    <row r="1098" spans="1:1" x14ac:dyDescent="0.55000000000000004">
      <c r="A1098"/>
    </row>
    <row r="1099" spans="1:1" x14ac:dyDescent="0.55000000000000004">
      <c r="A1099"/>
    </row>
    <row r="1100" spans="1:1" x14ac:dyDescent="0.55000000000000004">
      <c r="A1100"/>
    </row>
    <row r="1101" spans="1:1" x14ac:dyDescent="0.55000000000000004">
      <c r="A1101"/>
    </row>
    <row r="1102" spans="1:1" x14ac:dyDescent="0.55000000000000004">
      <c r="A1102"/>
    </row>
    <row r="1103" spans="1:1" x14ac:dyDescent="0.55000000000000004">
      <c r="A1103"/>
    </row>
    <row r="1104" spans="1:1" x14ac:dyDescent="0.55000000000000004">
      <c r="A1104"/>
    </row>
    <row r="1105" spans="1:1" x14ac:dyDescent="0.55000000000000004">
      <c r="A1105"/>
    </row>
    <row r="1106" spans="1:1" x14ac:dyDescent="0.55000000000000004">
      <c r="A1106"/>
    </row>
    <row r="1107" spans="1:1" x14ac:dyDescent="0.55000000000000004">
      <c r="A1107"/>
    </row>
    <row r="1108" spans="1:1" x14ac:dyDescent="0.55000000000000004">
      <c r="A1108"/>
    </row>
    <row r="1109" spans="1:1" x14ac:dyDescent="0.55000000000000004">
      <c r="A1109"/>
    </row>
    <row r="1110" spans="1:1" x14ac:dyDescent="0.55000000000000004">
      <c r="A1110"/>
    </row>
    <row r="1111" spans="1:1" x14ac:dyDescent="0.55000000000000004">
      <c r="A1111"/>
    </row>
    <row r="1112" spans="1:1" x14ac:dyDescent="0.55000000000000004">
      <c r="A1112"/>
    </row>
    <row r="1113" spans="1:1" x14ac:dyDescent="0.55000000000000004">
      <c r="A1113"/>
    </row>
    <row r="1114" spans="1:1" x14ac:dyDescent="0.55000000000000004">
      <c r="A1114"/>
    </row>
    <row r="1115" spans="1:1" x14ac:dyDescent="0.55000000000000004">
      <c r="A1115"/>
    </row>
    <row r="1116" spans="1:1" x14ac:dyDescent="0.55000000000000004">
      <c r="A1116"/>
    </row>
    <row r="1117" spans="1:1" x14ac:dyDescent="0.55000000000000004">
      <c r="A1117"/>
    </row>
    <row r="1118" spans="1:1" x14ac:dyDescent="0.55000000000000004">
      <c r="A1118"/>
    </row>
    <row r="1119" spans="1:1" x14ac:dyDescent="0.55000000000000004">
      <c r="A1119"/>
    </row>
    <row r="1120" spans="1:1" x14ac:dyDescent="0.55000000000000004">
      <c r="A1120"/>
    </row>
    <row r="1121" spans="1:1" x14ac:dyDescent="0.55000000000000004">
      <c r="A1121"/>
    </row>
    <row r="1122" spans="1:1" x14ac:dyDescent="0.55000000000000004">
      <c r="A1122"/>
    </row>
    <row r="1123" spans="1:1" x14ac:dyDescent="0.55000000000000004">
      <c r="A1123"/>
    </row>
    <row r="1124" spans="1:1" x14ac:dyDescent="0.55000000000000004">
      <c r="A1124"/>
    </row>
    <row r="1125" spans="1:1" x14ac:dyDescent="0.55000000000000004">
      <c r="A1125"/>
    </row>
    <row r="1126" spans="1:1" x14ac:dyDescent="0.55000000000000004">
      <c r="A1126"/>
    </row>
    <row r="1127" spans="1:1" x14ac:dyDescent="0.55000000000000004">
      <c r="A1127"/>
    </row>
    <row r="1128" spans="1:1" x14ac:dyDescent="0.55000000000000004">
      <c r="A1128"/>
    </row>
    <row r="1129" spans="1:1" x14ac:dyDescent="0.55000000000000004">
      <c r="A1129"/>
    </row>
    <row r="1130" spans="1:1" x14ac:dyDescent="0.55000000000000004">
      <c r="A1130"/>
    </row>
    <row r="1131" spans="1:1" x14ac:dyDescent="0.55000000000000004">
      <c r="A1131"/>
    </row>
    <row r="1132" spans="1:1" x14ac:dyDescent="0.55000000000000004">
      <c r="A1132"/>
    </row>
    <row r="1133" spans="1:1" x14ac:dyDescent="0.55000000000000004">
      <c r="A1133"/>
    </row>
    <row r="1134" spans="1:1" x14ac:dyDescent="0.55000000000000004">
      <c r="A1134"/>
    </row>
    <row r="1135" spans="1:1" x14ac:dyDescent="0.55000000000000004">
      <c r="A1135"/>
    </row>
    <row r="1136" spans="1:1" x14ac:dyDescent="0.55000000000000004">
      <c r="A1136"/>
    </row>
    <row r="1137" spans="1:1" x14ac:dyDescent="0.55000000000000004">
      <c r="A1137"/>
    </row>
    <row r="1138" spans="1:1" x14ac:dyDescent="0.55000000000000004">
      <c r="A1138"/>
    </row>
    <row r="1139" spans="1:1" x14ac:dyDescent="0.55000000000000004">
      <c r="A1139"/>
    </row>
    <row r="1140" spans="1:1" x14ac:dyDescent="0.55000000000000004">
      <c r="A1140"/>
    </row>
    <row r="1141" spans="1:1" x14ac:dyDescent="0.55000000000000004">
      <c r="A1141"/>
    </row>
    <row r="1142" spans="1:1" x14ac:dyDescent="0.55000000000000004">
      <c r="A1142"/>
    </row>
    <row r="1143" spans="1:1" x14ac:dyDescent="0.55000000000000004">
      <c r="A1143"/>
    </row>
    <row r="1144" spans="1:1" x14ac:dyDescent="0.55000000000000004">
      <c r="A1144"/>
    </row>
    <row r="1145" spans="1:1" x14ac:dyDescent="0.55000000000000004">
      <c r="A1145"/>
    </row>
    <row r="1146" spans="1:1" x14ac:dyDescent="0.55000000000000004">
      <c r="A1146"/>
    </row>
    <row r="1147" spans="1:1" x14ac:dyDescent="0.55000000000000004">
      <c r="A1147"/>
    </row>
    <row r="1148" spans="1:1" x14ac:dyDescent="0.55000000000000004">
      <c r="A1148"/>
    </row>
    <row r="1149" spans="1:1" x14ac:dyDescent="0.55000000000000004">
      <c r="A1149"/>
    </row>
    <row r="1150" spans="1:1" x14ac:dyDescent="0.55000000000000004">
      <c r="A1150"/>
    </row>
    <row r="1151" spans="1:1" x14ac:dyDescent="0.55000000000000004">
      <c r="A1151"/>
    </row>
    <row r="1152" spans="1:1" x14ac:dyDescent="0.55000000000000004">
      <c r="A1152"/>
    </row>
    <row r="1153" spans="1:1" x14ac:dyDescent="0.55000000000000004">
      <c r="A1153"/>
    </row>
    <row r="1154" spans="1:1" x14ac:dyDescent="0.55000000000000004">
      <c r="A1154"/>
    </row>
    <row r="1155" spans="1:1" x14ac:dyDescent="0.55000000000000004">
      <c r="A1155"/>
    </row>
    <row r="1156" spans="1:1" x14ac:dyDescent="0.55000000000000004">
      <c r="A1156"/>
    </row>
    <row r="1157" spans="1:1" x14ac:dyDescent="0.55000000000000004">
      <c r="A1157"/>
    </row>
    <row r="1158" spans="1:1" x14ac:dyDescent="0.55000000000000004">
      <c r="A1158"/>
    </row>
    <row r="1159" spans="1:1" x14ac:dyDescent="0.55000000000000004">
      <c r="A1159"/>
    </row>
    <row r="1160" spans="1:1" x14ac:dyDescent="0.55000000000000004">
      <c r="A1160"/>
    </row>
    <row r="1161" spans="1:1" x14ac:dyDescent="0.55000000000000004">
      <c r="A1161"/>
    </row>
    <row r="1162" spans="1:1" x14ac:dyDescent="0.55000000000000004">
      <c r="A1162"/>
    </row>
    <row r="1163" spans="1:1" x14ac:dyDescent="0.55000000000000004">
      <c r="A1163"/>
    </row>
    <row r="1164" spans="1:1" x14ac:dyDescent="0.55000000000000004">
      <c r="A1164"/>
    </row>
    <row r="1165" spans="1:1" x14ac:dyDescent="0.55000000000000004">
      <c r="A1165"/>
    </row>
    <row r="1166" spans="1:1" x14ac:dyDescent="0.55000000000000004">
      <c r="A1166"/>
    </row>
    <row r="1167" spans="1:1" x14ac:dyDescent="0.55000000000000004">
      <c r="A1167"/>
    </row>
    <row r="1168" spans="1:1" x14ac:dyDescent="0.55000000000000004">
      <c r="A1168"/>
    </row>
    <row r="1169" spans="1:1" x14ac:dyDescent="0.55000000000000004">
      <c r="A1169"/>
    </row>
    <row r="1170" spans="1:1" x14ac:dyDescent="0.55000000000000004">
      <c r="A1170"/>
    </row>
    <row r="1171" spans="1:1" x14ac:dyDescent="0.55000000000000004">
      <c r="A1171"/>
    </row>
    <row r="1172" spans="1:1" x14ac:dyDescent="0.55000000000000004">
      <c r="A1172"/>
    </row>
    <row r="1173" spans="1:1" x14ac:dyDescent="0.55000000000000004">
      <c r="A1173"/>
    </row>
    <row r="1174" spans="1:1" x14ac:dyDescent="0.55000000000000004">
      <c r="A1174"/>
    </row>
    <row r="1175" spans="1:1" x14ac:dyDescent="0.55000000000000004">
      <c r="A1175"/>
    </row>
    <row r="1176" spans="1:1" x14ac:dyDescent="0.55000000000000004">
      <c r="A1176"/>
    </row>
    <row r="1177" spans="1:1" x14ac:dyDescent="0.55000000000000004">
      <c r="A1177"/>
    </row>
    <row r="1178" spans="1:1" x14ac:dyDescent="0.55000000000000004">
      <c r="A1178"/>
    </row>
    <row r="1179" spans="1:1" x14ac:dyDescent="0.55000000000000004">
      <c r="A1179"/>
    </row>
    <row r="1180" spans="1:1" x14ac:dyDescent="0.55000000000000004">
      <c r="A1180"/>
    </row>
    <row r="1181" spans="1:1" x14ac:dyDescent="0.55000000000000004">
      <c r="A1181"/>
    </row>
    <row r="1182" spans="1:1" x14ac:dyDescent="0.55000000000000004">
      <c r="A1182"/>
    </row>
    <row r="1183" spans="1:1" x14ac:dyDescent="0.55000000000000004">
      <c r="A1183"/>
    </row>
    <row r="1184" spans="1:1" x14ac:dyDescent="0.55000000000000004">
      <c r="A1184"/>
    </row>
    <row r="1185" spans="1:1" x14ac:dyDescent="0.55000000000000004">
      <c r="A1185"/>
    </row>
    <row r="1186" spans="1:1" x14ac:dyDescent="0.55000000000000004">
      <c r="A1186"/>
    </row>
    <row r="1187" spans="1:1" x14ac:dyDescent="0.55000000000000004">
      <c r="A1187"/>
    </row>
    <row r="1188" spans="1:1" x14ac:dyDescent="0.55000000000000004">
      <c r="A1188"/>
    </row>
    <row r="1189" spans="1:1" x14ac:dyDescent="0.55000000000000004">
      <c r="A1189"/>
    </row>
    <row r="1190" spans="1:1" x14ac:dyDescent="0.55000000000000004">
      <c r="A1190"/>
    </row>
    <row r="1191" spans="1:1" x14ac:dyDescent="0.55000000000000004">
      <c r="A1191"/>
    </row>
    <row r="1192" spans="1:1" x14ac:dyDescent="0.55000000000000004">
      <c r="A1192"/>
    </row>
    <row r="1193" spans="1:1" x14ac:dyDescent="0.55000000000000004">
      <c r="A1193"/>
    </row>
    <row r="1194" spans="1:1" x14ac:dyDescent="0.55000000000000004">
      <c r="A1194"/>
    </row>
    <row r="1195" spans="1:1" x14ac:dyDescent="0.55000000000000004">
      <c r="A1195"/>
    </row>
    <row r="1196" spans="1:1" x14ac:dyDescent="0.55000000000000004">
      <c r="A1196"/>
    </row>
    <row r="1197" spans="1:1" x14ac:dyDescent="0.55000000000000004">
      <c r="A1197"/>
    </row>
    <row r="1198" spans="1:1" x14ac:dyDescent="0.55000000000000004">
      <c r="A1198"/>
    </row>
    <row r="1199" spans="1:1" x14ac:dyDescent="0.55000000000000004">
      <c r="A1199"/>
    </row>
    <row r="1200" spans="1:1" x14ac:dyDescent="0.55000000000000004">
      <c r="A1200"/>
    </row>
    <row r="1201" spans="1:1" x14ac:dyDescent="0.55000000000000004">
      <c r="A1201"/>
    </row>
    <row r="1202" spans="1:1" x14ac:dyDescent="0.55000000000000004">
      <c r="A1202"/>
    </row>
    <row r="1203" spans="1:1" x14ac:dyDescent="0.55000000000000004">
      <c r="A1203"/>
    </row>
    <row r="1204" spans="1:1" x14ac:dyDescent="0.55000000000000004">
      <c r="A1204"/>
    </row>
    <row r="1205" spans="1:1" x14ac:dyDescent="0.55000000000000004">
      <c r="A1205"/>
    </row>
    <row r="1206" spans="1:1" x14ac:dyDescent="0.55000000000000004">
      <c r="A1206"/>
    </row>
    <row r="1207" spans="1:1" x14ac:dyDescent="0.55000000000000004">
      <c r="A1207"/>
    </row>
    <row r="1208" spans="1:1" x14ac:dyDescent="0.55000000000000004">
      <c r="A1208"/>
    </row>
    <row r="1209" spans="1:1" x14ac:dyDescent="0.55000000000000004">
      <c r="A1209"/>
    </row>
    <row r="1210" spans="1:1" x14ac:dyDescent="0.55000000000000004">
      <c r="A1210"/>
    </row>
    <row r="1211" spans="1:1" x14ac:dyDescent="0.55000000000000004">
      <c r="A1211"/>
    </row>
    <row r="1212" spans="1:1" x14ac:dyDescent="0.55000000000000004">
      <c r="A1212"/>
    </row>
    <row r="1213" spans="1:1" x14ac:dyDescent="0.55000000000000004">
      <c r="A1213"/>
    </row>
    <row r="1214" spans="1:1" x14ac:dyDescent="0.55000000000000004">
      <c r="A1214"/>
    </row>
    <row r="1215" spans="1:1" x14ac:dyDescent="0.55000000000000004">
      <c r="A1215"/>
    </row>
    <row r="1216" spans="1:1" x14ac:dyDescent="0.55000000000000004">
      <c r="A1216"/>
    </row>
    <row r="1217" spans="1:1" x14ac:dyDescent="0.55000000000000004">
      <c r="A1217"/>
    </row>
    <row r="1218" spans="1:1" x14ac:dyDescent="0.55000000000000004">
      <c r="A1218"/>
    </row>
    <row r="1219" spans="1:1" x14ac:dyDescent="0.55000000000000004">
      <c r="A1219"/>
    </row>
    <row r="1220" spans="1:1" x14ac:dyDescent="0.55000000000000004">
      <c r="A1220"/>
    </row>
    <row r="1221" spans="1:1" x14ac:dyDescent="0.55000000000000004">
      <c r="A1221"/>
    </row>
    <row r="1222" spans="1:1" x14ac:dyDescent="0.55000000000000004">
      <c r="A1222"/>
    </row>
    <row r="1223" spans="1:1" x14ac:dyDescent="0.55000000000000004">
      <c r="A1223"/>
    </row>
    <row r="1224" spans="1:1" x14ac:dyDescent="0.55000000000000004">
      <c r="A1224"/>
    </row>
    <row r="1225" spans="1:1" x14ac:dyDescent="0.55000000000000004">
      <c r="A1225"/>
    </row>
    <row r="1226" spans="1:1" x14ac:dyDescent="0.55000000000000004">
      <c r="A1226"/>
    </row>
    <row r="1227" spans="1:1" x14ac:dyDescent="0.55000000000000004">
      <c r="A1227"/>
    </row>
    <row r="1228" spans="1:1" x14ac:dyDescent="0.55000000000000004">
      <c r="A1228"/>
    </row>
    <row r="1229" spans="1:1" x14ac:dyDescent="0.55000000000000004">
      <c r="A1229"/>
    </row>
    <row r="1230" spans="1:1" x14ac:dyDescent="0.55000000000000004">
      <c r="A1230"/>
    </row>
    <row r="1231" spans="1:1" x14ac:dyDescent="0.55000000000000004">
      <c r="A1231"/>
    </row>
    <row r="1232" spans="1:1" x14ac:dyDescent="0.55000000000000004">
      <c r="A1232"/>
    </row>
    <row r="1233" spans="1:1" x14ac:dyDescent="0.55000000000000004">
      <c r="A1233"/>
    </row>
    <row r="1234" spans="1:1" x14ac:dyDescent="0.55000000000000004">
      <c r="A1234"/>
    </row>
    <row r="1235" spans="1:1" x14ac:dyDescent="0.55000000000000004">
      <c r="A1235"/>
    </row>
    <row r="1236" spans="1:1" x14ac:dyDescent="0.55000000000000004">
      <c r="A1236"/>
    </row>
    <row r="1237" spans="1:1" x14ac:dyDescent="0.55000000000000004">
      <c r="A1237"/>
    </row>
    <row r="1238" spans="1:1" x14ac:dyDescent="0.55000000000000004">
      <c r="A1238"/>
    </row>
    <row r="1239" spans="1:1" x14ac:dyDescent="0.55000000000000004">
      <c r="A1239"/>
    </row>
    <row r="1240" spans="1:1" x14ac:dyDescent="0.55000000000000004">
      <c r="A1240"/>
    </row>
    <row r="1241" spans="1:1" x14ac:dyDescent="0.55000000000000004">
      <c r="A1241"/>
    </row>
    <row r="1242" spans="1:1" x14ac:dyDescent="0.55000000000000004">
      <c r="A1242"/>
    </row>
    <row r="1243" spans="1:1" x14ac:dyDescent="0.55000000000000004">
      <c r="A1243"/>
    </row>
    <row r="1244" spans="1:1" x14ac:dyDescent="0.55000000000000004">
      <c r="A1244"/>
    </row>
    <row r="1245" spans="1:1" x14ac:dyDescent="0.55000000000000004">
      <c r="A1245"/>
    </row>
    <row r="1246" spans="1:1" x14ac:dyDescent="0.55000000000000004">
      <c r="A1246"/>
    </row>
    <row r="1247" spans="1:1" x14ac:dyDescent="0.55000000000000004">
      <c r="A1247"/>
    </row>
    <row r="1248" spans="1:1" x14ac:dyDescent="0.55000000000000004">
      <c r="A1248"/>
    </row>
    <row r="1249" spans="1:1" x14ac:dyDescent="0.55000000000000004">
      <c r="A1249"/>
    </row>
    <row r="1250" spans="1:1" x14ac:dyDescent="0.55000000000000004">
      <c r="A1250"/>
    </row>
    <row r="1251" spans="1:1" x14ac:dyDescent="0.55000000000000004">
      <c r="A1251"/>
    </row>
    <row r="1252" spans="1:1" x14ac:dyDescent="0.55000000000000004">
      <c r="A1252"/>
    </row>
    <row r="1253" spans="1:1" x14ac:dyDescent="0.55000000000000004">
      <c r="A1253"/>
    </row>
    <row r="1254" spans="1:1" x14ac:dyDescent="0.55000000000000004">
      <c r="A1254"/>
    </row>
    <row r="1255" spans="1:1" x14ac:dyDescent="0.55000000000000004">
      <c r="A1255"/>
    </row>
    <row r="1256" spans="1:1" x14ac:dyDescent="0.55000000000000004">
      <c r="A1256"/>
    </row>
    <row r="1257" spans="1:1" x14ac:dyDescent="0.55000000000000004">
      <c r="A1257"/>
    </row>
    <row r="1258" spans="1:1" x14ac:dyDescent="0.55000000000000004">
      <c r="A1258"/>
    </row>
    <row r="1259" spans="1:1" x14ac:dyDescent="0.55000000000000004">
      <c r="A1259"/>
    </row>
    <row r="1260" spans="1:1" x14ac:dyDescent="0.55000000000000004">
      <c r="A1260"/>
    </row>
    <row r="1261" spans="1:1" x14ac:dyDescent="0.55000000000000004">
      <c r="A1261"/>
    </row>
    <row r="1262" spans="1:1" x14ac:dyDescent="0.55000000000000004">
      <c r="A1262"/>
    </row>
    <row r="1263" spans="1:1" x14ac:dyDescent="0.55000000000000004">
      <c r="A1263"/>
    </row>
    <row r="1264" spans="1:1" x14ac:dyDescent="0.55000000000000004">
      <c r="A1264"/>
    </row>
    <row r="1265" spans="1:1" x14ac:dyDescent="0.55000000000000004">
      <c r="A1265"/>
    </row>
    <row r="1266" spans="1:1" x14ac:dyDescent="0.55000000000000004">
      <c r="A1266"/>
    </row>
    <row r="1267" spans="1:1" x14ac:dyDescent="0.55000000000000004">
      <c r="A1267"/>
    </row>
    <row r="1268" spans="1:1" x14ac:dyDescent="0.55000000000000004">
      <c r="A1268"/>
    </row>
    <row r="1269" spans="1:1" x14ac:dyDescent="0.55000000000000004">
      <c r="A1269"/>
    </row>
    <row r="1270" spans="1:1" x14ac:dyDescent="0.55000000000000004">
      <c r="A1270"/>
    </row>
    <row r="1271" spans="1:1" x14ac:dyDescent="0.55000000000000004">
      <c r="A1271"/>
    </row>
    <row r="1272" spans="1:1" x14ac:dyDescent="0.55000000000000004">
      <c r="A1272"/>
    </row>
    <row r="1273" spans="1:1" x14ac:dyDescent="0.55000000000000004">
      <c r="A1273"/>
    </row>
    <row r="1274" spans="1:1" x14ac:dyDescent="0.55000000000000004">
      <c r="A1274"/>
    </row>
    <row r="1275" spans="1:1" x14ac:dyDescent="0.55000000000000004">
      <c r="A1275"/>
    </row>
    <row r="1276" spans="1:1" x14ac:dyDescent="0.55000000000000004">
      <c r="A1276"/>
    </row>
    <row r="1277" spans="1:1" x14ac:dyDescent="0.55000000000000004">
      <c r="A1277"/>
    </row>
    <row r="1278" spans="1:1" x14ac:dyDescent="0.55000000000000004">
      <c r="A1278"/>
    </row>
    <row r="1279" spans="1:1" x14ac:dyDescent="0.55000000000000004">
      <c r="A1279"/>
    </row>
    <row r="1280" spans="1:1" x14ac:dyDescent="0.55000000000000004">
      <c r="A1280"/>
    </row>
    <row r="1281" spans="1:1" x14ac:dyDescent="0.55000000000000004">
      <c r="A1281"/>
    </row>
    <row r="1282" spans="1:1" x14ac:dyDescent="0.55000000000000004">
      <c r="A1282"/>
    </row>
    <row r="1283" spans="1:1" x14ac:dyDescent="0.55000000000000004">
      <c r="A1283"/>
    </row>
    <row r="1284" spans="1:1" x14ac:dyDescent="0.55000000000000004">
      <c r="A1284"/>
    </row>
    <row r="1285" spans="1:1" x14ac:dyDescent="0.55000000000000004">
      <c r="A1285"/>
    </row>
    <row r="1286" spans="1:1" x14ac:dyDescent="0.55000000000000004">
      <c r="A1286"/>
    </row>
    <row r="1287" spans="1:1" x14ac:dyDescent="0.55000000000000004">
      <c r="A1287"/>
    </row>
    <row r="1288" spans="1:1" x14ac:dyDescent="0.55000000000000004">
      <c r="A1288"/>
    </row>
    <row r="1289" spans="1:1" x14ac:dyDescent="0.55000000000000004">
      <c r="A1289"/>
    </row>
    <row r="1290" spans="1:1" x14ac:dyDescent="0.55000000000000004">
      <c r="A1290"/>
    </row>
    <row r="1291" spans="1:1" x14ac:dyDescent="0.55000000000000004">
      <c r="A1291"/>
    </row>
    <row r="1292" spans="1:1" x14ac:dyDescent="0.55000000000000004">
      <c r="A1292"/>
    </row>
    <row r="1293" spans="1:1" x14ac:dyDescent="0.55000000000000004">
      <c r="A1293"/>
    </row>
    <row r="1294" spans="1:1" x14ac:dyDescent="0.55000000000000004">
      <c r="A1294"/>
    </row>
    <row r="1295" spans="1:1" x14ac:dyDescent="0.55000000000000004">
      <c r="A1295"/>
    </row>
    <row r="1296" spans="1:1" x14ac:dyDescent="0.55000000000000004">
      <c r="A1296"/>
    </row>
    <row r="1297" spans="1:1" x14ac:dyDescent="0.55000000000000004">
      <c r="A1297"/>
    </row>
    <row r="1298" spans="1:1" x14ac:dyDescent="0.55000000000000004">
      <c r="A1298"/>
    </row>
    <row r="1299" spans="1:1" x14ac:dyDescent="0.55000000000000004">
      <c r="A1299"/>
    </row>
    <row r="1300" spans="1:1" x14ac:dyDescent="0.55000000000000004">
      <c r="A1300"/>
    </row>
    <row r="1301" spans="1:1" x14ac:dyDescent="0.55000000000000004">
      <c r="A1301"/>
    </row>
    <row r="1302" spans="1:1" x14ac:dyDescent="0.55000000000000004">
      <c r="A1302"/>
    </row>
    <row r="1303" spans="1:1" x14ac:dyDescent="0.55000000000000004">
      <c r="A1303"/>
    </row>
    <row r="1304" spans="1:1" x14ac:dyDescent="0.55000000000000004">
      <c r="A1304"/>
    </row>
    <row r="1305" spans="1:1" x14ac:dyDescent="0.55000000000000004">
      <c r="A1305"/>
    </row>
    <row r="1306" spans="1:1" x14ac:dyDescent="0.55000000000000004">
      <c r="A1306"/>
    </row>
    <row r="1307" spans="1:1" x14ac:dyDescent="0.55000000000000004">
      <c r="A1307"/>
    </row>
    <row r="1308" spans="1:1" x14ac:dyDescent="0.55000000000000004">
      <c r="A1308"/>
    </row>
    <row r="1309" spans="1:1" x14ac:dyDescent="0.55000000000000004">
      <c r="A1309"/>
    </row>
  </sheetData>
  <conditionalFormatting sqref="A1:A1048576">
    <cfRule type="dataBar" priority="1">
      <dataBar>
        <cfvo type="min"/>
        <cfvo type="max"/>
        <color rgb="FFFFB628"/>
      </dataBar>
      <extLst>
        <ext xmlns:x14="http://schemas.microsoft.com/office/spreadsheetml/2009/9/main" uri="{B025F937-C7B1-47D3-B67F-A62EFF666E3E}">
          <x14:id>{6DF5E967-2FF9-4740-B207-67D19FAFA493}</x14:id>
        </ext>
      </extLst>
    </cfRule>
  </conditionalFormatting>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6DF5E967-2FF9-4740-B207-67D19FAFA493}">
            <x14:dataBar minLength="0" maxLength="100" border="1" negativeBarBorderColorSameAsPositive="0">
              <x14:cfvo type="autoMin"/>
              <x14:cfvo type="autoMax"/>
              <x14:borderColor rgb="FFFFB628"/>
              <x14:negativeFillColor rgb="FFFF0000"/>
              <x14:negativeBorderColor rgb="FFFF0000"/>
              <x14:axisColor rgb="FF000000"/>
            </x14:dataBar>
          </x14:cfRule>
          <xm:sqref>A1:A1048576</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theme="9"/>
  </sheetPr>
  <dimension ref="A1:U8788"/>
  <sheetViews>
    <sheetView zoomScale="80" zoomScaleNormal="80" workbookViewId="0">
      <selection sqref="A1:B36"/>
    </sheetView>
  </sheetViews>
  <sheetFormatPr defaultColWidth="9.15625" defaultRowHeight="14.4" x14ac:dyDescent="0.55000000000000004"/>
  <cols>
    <col min="1" max="1" width="19.5234375" style="63" bestFit="1" customWidth="1"/>
    <col min="2" max="2" width="18.20703125" style="80" bestFit="1" customWidth="1"/>
    <col min="3" max="3" width="3.5234375" style="80" customWidth="1"/>
    <col min="4" max="4" width="3" style="80" customWidth="1"/>
    <col min="5" max="9" width="4.5234375" style="80" customWidth="1"/>
    <col min="10" max="11" width="3" style="80" customWidth="1"/>
    <col min="12" max="12" width="24.26171875" style="80" customWidth="1"/>
    <col min="13" max="13" width="14.734375" style="80" customWidth="1"/>
    <col min="14" max="14" width="18.5234375" style="80" customWidth="1"/>
    <col min="15" max="15" width="14.734375" style="80" customWidth="1"/>
    <col min="16" max="16" width="19" style="80" bestFit="1" customWidth="1"/>
    <col min="17" max="17" width="14.734375" style="80" customWidth="1"/>
    <col min="18" max="18" width="19" style="80" bestFit="1" customWidth="1"/>
    <col min="19" max="19" width="13.734375" style="80" customWidth="1"/>
    <col min="20" max="20" width="18.7890625" style="80" customWidth="1"/>
    <col min="21" max="21" width="14.734375" style="80" customWidth="1"/>
    <col min="22" max="72" width="19" style="80" bestFit="1" customWidth="1"/>
    <col min="73" max="73" width="11.26171875" style="80" bestFit="1" customWidth="1"/>
    <col min="74" max="16384" width="9.15625" style="80"/>
  </cols>
  <sheetData>
    <row r="1" spans="1:21" x14ac:dyDescent="0.55000000000000004">
      <c r="A1" s="98" t="s">
        <v>122</v>
      </c>
      <c r="B1" s="63" t="s">
        <v>423</v>
      </c>
    </row>
    <row r="2" spans="1:21" ht="49.5" customHeight="1" x14ac:dyDescent="0.55000000000000004">
      <c r="A2" s="244" t="s">
        <v>214</v>
      </c>
      <c r="B2" s="244"/>
      <c r="E2" s="99"/>
    </row>
    <row r="3" spans="1:21" x14ac:dyDescent="0.55000000000000004">
      <c r="A3" s="98" t="s">
        <v>213</v>
      </c>
      <c r="B3"/>
      <c r="C3"/>
      <c r="D3"/>
      <c r="E3" s="99"/>
      <c r="F3"/>
      <c r="G3"/>
      <c r="H3"/>
      <c r="I3"/>
      <c r="J3"/>
      <c r="K3"/>
      <c r="L3"/>
      <c r="M3"/>
      <c r="N3"/>
      <c r="O3"/>
      <c r="P3"/>
      <c r="Q3"/>
      <c r="R3"/>
      <c r="S3"/>
      <c r="T3"/>
      <c r="U3"/>
    </row>
    <row r="4" spans="1:21" x14ac:dyDescent="0.55000000000000004">
      <c r="A4" s="63">
        <v>1</v>
      </c>
      <c r="B4"/>
      <c r="C4"/>
      <c r="D4"/>
      <c r="E4" s="99"/>
      <c r="F4"/>
      <c r="G4"/>
      <c r="H4"/>
      <c r="I4"/>
      <c r="J4"/>
      <c r="K4"/>
      <c r="L4"/>
      <c r="M4"/>
      <c r="N4"/>
      <c r="O4"/>
      <c r="P4"/>
      <c r="Q4"/>
      <c r="R4"/>
      <c r="S4"/>
      <c r="T4"/>
      <c r="U4"/>
    </row>
    <row r="5" spans="1:21" x14ac:dyDescent="0.55000000000000004">
      <c r="A5" s="63" t="s">
        <v>314</v>
      </c>
      <c r="B5"/>
      <c r="C5"/>
      <c r="D5"/>
      <c r="E5" s="99"/>
      <c r="F5"/>
      <c r="G5"/>
      <c r="H5"/>
      <c r="I5"/>
      <c r="J5"/>
      <c r="K5"/>
      <c r="L5"/>
      <c r="M5"/>
      <c r="N5"/>
      <c r="O5"/>
      <c r="P5"/>
      <c r="Q5"/>
      <c r="R5"/>
      <c r="S5"/>
      <c r="T5"/>
      <c r="U5"/>
    </row>
    <row r="6" spans="1:21" x14ac:dyDescent="0.55000000000000004">
      <c r="A6" s="63" t="s">
        <v>314</v>
      </c>
      <c r="B6"/>
      <c r="C6"/>
      <c r="D6"/>
      <c r="E6" s="78"/>
      <c r="F6"/>
      <c r="G6"/>
      <c r="H6"/>
      <c r="I6"/>
      <c r="J6"/>
      <c r="K6"/>
      <c r="L6"/>
      <c r="M6"/>
      <c r="N6"/>
      <c r="O6"/>
      <c r="P6"/>
      <c r="Q6"/>
      <c r="R6"/>
      <c r="S6"/>
      <c r="T6"/>
      <c r="U6"/>
    </row>
    <row r="7" spans="1:21" x14ac:dyDescent="0.55000000000000004">
      <c r="A7" s="63" t="s">
        <v>314</v>
      </c>
      <c r="B7"/>
      <c r="C7"/>
      <c r="D7"/>
      <c r="E7" s="99"/>
      <c r="F7"/>
      <c r="G7"/>
      <c r="H7"/>
      <c r="I7"/>
      <c r="J7"/>
      <c r="K7"/>
      <c r="L7"/>
      <c r="M7"/>
      <c r="N7"/>
      <c r="O7"/>
      <c r="P7"/>
      <c r="Q7"/>
      <c r="R7"/>
      <c r="S7"/>
      <c r="T7"/>
      <c r="U7"/>
    </row>
    <row r="8" spans="1:21" x14ac:dyDescent="0.55000000000000004">
      <c r="A8" s="63" t="s">
        <v>314</v>
      </c>
      <c r="B8"/>
      <c r="C8"/>
      <c r="D8"/>
      <c r="E8" s="99"/>
      <c r="F8"/>
      <c r="G8"/>
      <c r="H8"/>
      <c r="I8"/>
      <c r="J8"/>
      <c r="K8"/>
      <c r="L8"/>
      <c r="M8"/>
      <c r="N8"/>
      <c r="O8"/>
      <c r="P8"/>
      <c r="Q8"/>
      <c r="R8"/>
      <c r="S8"/>
      <c r="T8"/>
      <c r="U8"/>
    </row>
    <row r="9" spans="1:21" x14ac:dyDescent="0.55000000000000004">
      <c r="A9" s="63" t="s">
        <v>314</v>
      </c>
      <c r="B9"/>
      <c r="C9"/>
      <c r="D9"/>
      <c r="F9"/>
      <c r="G9"/>
      <c r="H9"/>
      <c r="I9"/>
      <c r="J9"/>
      <c r="K9"/>
      <c r="L9"/>
      <c r="M9"/>
      <c r="N9"/>
      <c r="O9"/>
      <c r="P9"/>
      <c r="Q9"/>
      <c r="R9"/>
      <c r="S9"/>
      <c r="T9"/>
      <c r="U9"/>
    </row>
    <row r="10" spans="1:21" x14ac:dyDescent="0.55000000000000004">
      <c r="A10" s="63" t="s">
        <v>314</v>
      </c>
      <c r="B10"/>
      <c r="C10"/>
      <c r="D10"/>
      <c r="E10" s="99"/>
      <c r="F10"/>
      <c r="G10"/>
      <c r="H10"/>
      <c r="I10"/>
      <c r="J10"/>
      <c r="K10"/>
      <c r="L10"/>
      <c r="M10"/>
      <c r="N10"/>
      <c r="O10"/>
      <c r="P10"/>
      <c r="Q10"/>
      <c r="R10"/>
      <c r="S10"/>
      <c r="T10"/>
      <c r="U10"/>
    </row>
    <row r="11" spans="1:21" x14ac:dyDescent="0.55000000000000004">
      <c r="A11" s="63" t="s">
        <v>314</v>
      </c>
      <c r="B11"/>
      <c r="C11"/>
      <c r="D11"/>
      <c r="E11" s="99"/>
      <c r="F11"/>
      <c r="G11"/>
      <c r="H11"/>
      <c r="I11"/>
      <c r="J11"/>
      <c r="K11"/>
      <c r="L11"/>
      <c r="M11"/>
      <c r="N11"/>
      <c r="O11"/>
      <c r="P11"/>
      <c r="Q11"/>
      <c r="R11"/>
      <c r="S11"/>
      <c r="T11"/>
      <c r="U11"/>
    </row>
    <row r="12" spans="1:21" x14ac:dyDescent="0.55000000000000004">
      <c r="A12" s="63" t="s">
        <v>314</v>
      </c>
      <c r="B12"/>
      <c r="C12"/>
      <c r="D12"/>
      <c r="E12" s="99"/>
      <c r="F12"/>
      <c r="G12"/>
      <c r="H12"/>
      <c r="I12"/>
      <c r="J12"/>
      <c r="K12"/>
      <c r="L12"/>
      <c r="M12"/>
      <c r="N12"/>
      <c r="O12"/>
      <c r="P12"/>
      <c r="Q12"/>
      <c r="R12"/>
      <c r="S12"/>
      <c r="T12"/>
      <c r="U12"/>
    </row>
    <row r="13" spans="1:21" x14ac:dyDescent="0.55000000000000004">
      <c r="A13" s="63" t="s">
        <v>314</v>
      </c>
      <c r="B13"/>
      <c r="C13"/>
      <c r="D13"/>
      <c r="E13" s="99"/>
      <c r="F13"/>
      <c r="G13"/>
      <c r="H13"/>
      <c r="I13"/>
      <c r="J13"/>
      <c r="K13"/>
      <c r="L13"/>
      <c r="M13"/>
      <c r="N13"/>
      <c r="O13"/>
      <c r="P13"/>
      <c r="Q13"/>
      <c r="R13"/>
      <c r="S13"/>
      <c r="T13"/>
      <c r="U13"/>
    </row>
    <row r="14" spans="1:21" x14ac:dyDescent="0.55000000000000004">
      <c r="B14"/>
      <c r="C14"/>
      <c r="D14"/>
      <c r="E14" s="78"/>
      <c r="F14"/>
      <c r="G14"/>
      <c r="H14"/>
      <c r="I14"/>
      <c r="J14"/>
      <c r="K14"/>
      <c r="L14"/>
      <c r="M14"/>
      <c r="N14"/>
      <c r="O14"/>
      <c r="P14"/>
      <c r="Q14"/>
      <c r="R14"/>
      <c r="S14"/>
      <c r="T14"/>
      <c r="U14"/>
    </row>
    <row r="15" spans="1:21" x14ac:dyDescent="0.55000000000000004">
      <c r="A15"/>
      <c r="B15"/>
      <c r="C15"/>
      <c r="D15"/>
      <c r="E15" s="99"/>
      <c r="F15"/>
      <c r="G15"/>
      <c r="H15"/>
      <c r="I15"/>
      <c r="J15"/>
      <c r="K15"/>
      <c r="L15"/>
      <c r="M15"/>
      <c r="N15"/>
      <c r="O15"/>
      <c r="P15"/>
      <c r="Q15"/>
      <c r="R15"/>
      <c r="S15"/>
      <c r="T15"/>
      <c r="U15"/>
    </row>
    <row r="16" spans="1:21" x14ac:dyDescent="0.55000000000000004">
      <c r="A16"/>
      <c r="B16"/>
      <c r="C16"/>
      <c r="D16"/>
      <c r="E16" s="99"/>
      <c r="F16"/>
      <c r="G16"/>
      <c r="H16"/>
      <c r="I16"/>
      <c r="J16"/>
      <c r="K16"/>
      <c r="L16"/>
      <c r="M16"/>
      <c r="N16"/>
      <c r="O16"/>
      <c r="P16"/>
      <c r="Q16"/>
      <c r="R16"/>
      <c r="S16"/>
      <c r="T16"/>
      <c r="U16"/>
    </row>
    <row r="17" spans="1:21" x14ac:dyDescent="0.55000000000000004">
      <c r="A17"/>
      <c r="B17"/>
      <c r="C17"/>
      <c r="D17"/>
      <c r="F17"/>
      <c r="G17"/>
      <c r="H17"/>
      <c r="I17"/>
      <c r="J17"/>
      <c r="K17"/>
      <c r="L17"/>
      <c r="M17"/>
      <c r="N17"/>
      <c r="O17"/>
      <c r="P17"/>
      <c r="Q17"/>
      <c r="R17"/>
      <c r="S17"/>
      <c r="T17"/>
      <c r="U17"/>
    </row>
    <row r="18" spans="1:21" x14ac:dyDescent="0.55000000000000004">
      <c r="A18"/>
      <c r="B18"/>
      <c r="C18"/>
      <c r="D18"/>
      <c r="E18" s="99"/>
      <c r="F18"/>
      <c r="G18"/>
      <c r="H18"/>
      <c r="I18"/>
      <c r="J18"/>
      <c r="K18"/>
      <c r="L18"/>
      <c r="M18"/>
      <c r="N18"/>
      <c r="O18"/>
      <c r="P18"/>
      <c r="Q18"/>
      <c r="R18"/>
      <c r="S18"/>
      <c r="T18"/>
      <c r="U18"/>
    </row>
    <row r="19" spans="1:21" x14ac:dyDescent="0.55000000000000004">
      <c r="A19"/>
      <c r="B19"/>
      <c r="C19"/>
      <c r="D19"/>
      <c r="E19" s="99"/>
      <c r="F19"/>
      <c r="G19"/>
      <c r="H19"/>
      <c r="I19"/>
      <c r="J19"/>
      <c r="K19"/>
      <c r="L19"/>
      <c r="M19"/>
      <c r="N19"/>
      <c r="O19"/>
      <c r="P19"/>
      <c r="Q19"/>
      <c r="R19"/>
      <c r="S19"/>
      <c r="T19"/>
      <c r="U19"/>
    </row>
    <row r="20" spans="1:21" x14ac:dyDescent="0.55000000000000004">
      <c r="A20"/>
      <c r="B20"/>
      <c r="C20"/>
      <c r="D20"/>
      <c r="E20" s="99"/>
      <c r="F20"/>
      <c r="G20"/>
      <c r="H20"/>
      <c r="I20"/>
      <c r="J20"/>
      <c r="K20"/>
      <c r="L20"/>
      <c r="M20"/>
      <c r="N20"/>
      <c r="O20"/>
      <c r="P20"/>
      <c r="Q20"/>
      <c r="R20"/>
      <c r="S20"/>
      <c r="T20"/>
      <c r="U20"/>
    </row>
    <row r="21" spans="1:21" x14ac:dyDescent="0.55000000000000004">
      <c r="A21"/>
      <c r="B21"/>
      <c r="C21"/>
      <c r="D21"/>
      <c r="E21" s="99"/>
      <c r="F21"/>
      <c r="G21"/>
      <c r="H21"/>
      <c r="I21"/>
      <c r="J21"/>
      <c r="K21"/>
      <c r="L21"/>
      <c r="M21"/>
      <c r="N21"/>
      <c r="O21"/>
      <c r="P21"/>
      <c r="Q21"/>
      <c r="R21"/>
      <c r="S21"/>
      <c r="T21"/>
      <c r="U21"/>
    </row>
    <row r="22" spans="1:21" x14ac:dyDescent="0.55000000000000004">
      <c r="A22"/>
      <c r="B22"/>
      <c r="C22"/>
      <c r="D22"/>
      <c r="E22" s="78"/>
      <c r="F22"/>
      <c r="G22"/>
      <c r="H22"/>
      <c r="I22"/>
      <c r="J22"/>
      <c r="K22"/>
      <c r="L22"/>
      <c r="M22"/>
      <c r="N22"/>
      <c r="O22"/>
      <c r="P22"/>
      <c r="Q22"/>
      <c r="R22"/>
      <c r="S22"/>
      <c r="T22"/>
      <c r="U22"/>
    </row>
    <row r="23" spans="1:21" x14ac:dyDescent="0.55000000000000004">
      <c r="A23"/>
      <c r="B23"/>
      <c r="C23"/>
      <c r="D23"/>
      <c r="E23" s="99"/>
      <c r="F23"/>
      <c r="G23"/>
      <c r="H23"/>
      <c r="I23"/>
      <c r="J23"/>
      <c r="K23"/>
      <c r="L23"/>
      <c r="M23"/>
      <c r="N23"/>
      <c r="O23"/>
      <c r="P23"/>
      <c r="Q23"/>
      <c r="R23"/>
      <c r="S23"/>
      <c r="T23"/>
      <c r="U23"/>
    </row>
    <row r="24" spans="1:21" x14ac:dyDescent="0.55000000000000004">
      <c r="A24"/>
      <c r="B24"/>
      <c r="C24"/>
      <c r="D24"/>
      <c r="E24" s="99"/>
      <c r="F24"/>
      <c r="G24"/>
      <c r="H24"/>
      <c r="I24"/>
      <c r="J24"/>
      <c r="K24"/>
      <c r="L24"/>
      <c r="M24"/>
      <c r="N24"/>
      <c r="O24"/>
      <c r="P24"/>
      <c r="Q24"/>
      <c r="R24"/>
      <c r="S24"/>
      <c r="T24"/>
      <c r="U24"/>
    </row>
    <row r="25" spans="1:21" x14ac:dyDescent="0.55000000000000004">
      <c r="A25"/>
      <c r="B25"/>
      <c r="C25"/>
      <c r="D25"/>
      <c r="F25"/>
      <c r="G25"/>
      <c r="H25"/>
      <c r="I25"/>
      <c r="J25"/>
      <c r="K25"/>
      <c r="L25"/>
      <c r="M25"/>
      <c r="N25"/>
      <c r="O25"/>
      <c r="P25"/>
      <c r="Q25"/>
      <c r="R25"/>
      <c r="S25"/>
      <c r="T25"/>
      <c r="U25"/>
    </row>
    <row r="26" spans="1:21" x14ac:dyDescent="0.55000000000000004">
      <c r="A26"/>
      <c r="B26"/>
      <c r="C26"/>
      <c r="D26"/>
      <c r="E26" s="99"/>
      <c r="F26"/>
      <c r="G26"/>
      <c r="H26"/>
      <c r="I26"/>
      <c r="J26"/>
      <c r="K26"/>
      <c r="L26"/>
      <c r="M26"/>
      <c r="N26"/>
      <c r="O26"/>
      <c r="P26"/>
      <c r="Q26"/>
      <c r="R26"/>
      <c r="S26"/>
      <c r="T26"/>
      <c r="U26"/>
    </row>
    <row r="27" spans="1:21" x14ac:dyDescent="0.55000000000000004">
      <c r="A27"/>
      <c r="B27"/>
      <c r="C27"/>
      <c r="D27"/>
      <c r="E27" s="99"/>
      <c r="F27"/>
      <c r="G27"/>
      <c r="H27"/>
      <c r="I27"/>
      <c r="J27"/>
      <c r="K27"/>
      <c r="L27"/>
      <c r="M27"/>
      <c r="N27"/>
      <c r="O27"/>
      <c r="P27"/>
      <c r="Q27"/>
      <c r="R27"/>
      <c r="S27"/>
      <c r="T27"/>
      <c r="U27"/>
    </row>
    <row r="28" spans="1:21" x14ac:dyDescent="0.55000000000000004">
      <c r="A28"/>
      <c r="B28"/>
      <c r="C28"/>
      <c r="D28"/>
      <c r="E28" s="99"/>
      <c r="F28"/>
      <c r="G28"/>
      <c r="H28"/>
      <c r="I28"/>
      <c r="J28"/>
      <c r="K28"/>
      <c r="L28"/>
      <c r="M28"/>
      <c r="N28"/>
      <c r="O28"/>
      <c r="P28"/>
      <c r="Q28"/>
      <c r="R28"/>
      <c r="S28"/>
      <c r="T28"/>
      <c r="U28"/>
    </row>
    <row r="29" spans="1:21" x14ac:dyDescent="0.55000000000000004">
      <c r="A29"/>
      <c r="B29"/>
      <c r="C29"/>
      <c r="D29"/>
      <c r="E29" s="99"/>
      <c r="F29"/>
      <c r="G29"/>
      <c r="H29"/>
      <c r="I29"/>
      <c r="J29"/>
      <c r="K29"/>
      <c r="L29"/>
      <c r="M29"/>
      <c r="N29"/>
      <c r="O29"/>
      <c r="P29"/>
      <c r="Q29"/>
      <c r="R29"/>
      <c r="S29"/>
      <c r="T29"/>
      <c r="U29"/>
    </row>
    <row r="30" spans="1:21" x14ac:dyDescent="0.55000000000000004">
      <c r="A30"/>
      <c r="B30"/>
      <c r="C30"/>
      <c r="D30"/>
      <c r="E30" s="78"/>
      <c r="F30"/>
      <c r="G30"/>
      <c r="H30"/>
      <c r="I30"/>
      <c r="J30"/>
      <c r="K30"/>
      <c r="L30"/>
      <c r="M30"/>
      <c r="N30"/>
      <c r="O30"/>
      <c r="P30"/>
      <c r="Q30"/>
      <c r="R30"/>
      <c r="S30"/>
      <c r="T30"/>
      <c r="U30"/>
    </row>
    <row r="31" spans="1:21" x14ac:dyDescent="0.55000000000000004">
      <c r="A31"/>
      <c r="B31"/>
      <c r="C31"/>
      <c r="D31"/>
      <c r="E31" s="99"/>
      <c r="F31"/>
      <c r="G31"/>
      <c r="H31"/>
      <c r="I31"/>
      <c r="J31"/>
      <c r="K31"/>
      <c r="L31"/>
      <c r="M31"/>
      <c r="N31"/>
      <c r="O31"/>
      <c r="P31"/>
      <c r="Q31"/>
      <c r="R31"/>
      <c r="S31"/>
      <c r="T31"/>
      <c r="U31"/>
    </row>
    <row r="32" spans="1:21" x14ac:dyDescent="0.55000000000000004">
      <c r="A32"/>
      <c r="B32"/>
      <c r="C32"/>
      <c r="D32"/>
      <c r="E32" s="99"/>
      <c r="F32"/>
      <c r="G32"/>
      <c r="H32"/>
      <c r="I32"/>
      <c r="J32"/>
      <c r="K32"/>
      <c r="L32"/>
      <c r="M32"/>
      <c r="N32"/>
      <c r="O32"/>
      <c r="P32"/>
      <c r="Q32"/>
      <c r="R32"/>
      <c r="S32"/>
      <c r="T32"/>
      <c r="U32"/>
    </row>
    <row r="33" spans="1:21" x14ac:dyDescent="0.55000000000000004">
      <c r="A33"/>
      <c r="B33"/>
      <c r="C33"/>
      <c r="D33"/>
      <c r="F33"/>
      <c r="G33"/>
      <c r="H33"/>
      <c r="I33"/>
      <c r="J33"/>
      <c r="K33"/>
      <c r="L33"/>
      <c r="M33"/>
      <c r="N33"/>
      <c r="O33"/>
      <c r="P33"/>
      <c r="Q33"/>
      <c r="R33"/>
      <c r="S33"/>
      <c r="T33"/>
      <c r="U33"/>
    </row>
    <row r="34" spans="1:21" x14ac:dyDescent="0.55000000000000004">
      <c r="A34"/>
      <c r="B34"/>
      <c r="C34"/>
      <c r="D34"/>
      <c r="E34" s="99"/>
      <c r="F34"/>
      <c r="G34"/>
      <c r="H34"/>
      <c r="I34"/>
      <c r="J34"/>
      <c r="K34"/>
      <c r="L34"/>
      <c r="M34"/>
      <c r="N34"/>
      <c r="O34"/>
      <c r="P34"/>
      <c r="Q34"/>
      <c r="R34"/>
      <c r="S34"/>
      <c r="T34"/>
      <c r="U34"/>
    </row>
    <row r="35" spans="1:21" x14ac:dyDescent="0.55000000000000004">
      <c r="A35"/>
      <c r="B35"/>
      <c r="C35"/>
      <c r="D35"/>
      <c r="E35" s="99"/>
      <c r="F35"/>
      <c r="G35"/>
      <c r="H35"/>
      <c r="I35"/>
      <c r="J35"/>
      <c r="K35"/>
      <c r="L35"/>
      <c r="M35"/>
      <c r="N35"/>
      <c r="O35"/>
      <c r="P35"/>
      <c r="Q35"/>
      <c r="R35"/>
      <c r="S35"/>
      <c r="T35"/>
      <c r="U35"/>
    </row>
    <row r="36" spans="1:21" x14ac:dyDescent="0.55000000000000004">
      <c r="A36"/>
      <c r="B36"/>
      <c r="C36"/>
      <c r="D36"/>
      <c r="E36" s="99"/>
      <c r="F36"/>
      <c r="G36"/>
      <c r="H36"/>
      <c r="I36"/>
      <c r="J36"/>
      <c r="K36"/>
      <c r="L36"/>
      <c r="M36"/>
      <c r="N36"/>
      <c r="O36"/>
      <c r="P36"/>
      <c r="Q36"/>
      <c r="R36"/>
      <c r="S36"/>
      <c r="T36"/>
      <c r="U36"/>
    </row>
    <row r="37" spans="1:21" x14ac:dyDescent="0.55000000000000004">
      <c r="A37"/>
      <c r="B37"/>
      <c r="C37"/>
      <c r="D37"/>
      <c r="E37" s="99"/>
      <c r="F37"/>
      <c r="G37"/>
      <c r="H37"/>
      <c r="I37"/>
      <c r="J37"/>
      <c r="K37"/>
      <c r="L37"/>
      <c r="M37"/>
      <c r="N37"/>
      <c r="O37"/>
      <c r="P37"/>
      <c r="Q37"/>
      <c r="R37"/>
      <c r="S37"/>
      <c r="T37"/>
      <c r="U37"/>
    </row>
    <row r="38" spans="1:21" x14ac:dyDescent="0.55000000000000004">
      <c r="A38"/>
      <c r="B38"/>
      <c r="C38"/>
      <c r="D38"/>
      <c r="E38" s="78"/>
      <c r="F38"/>
      <c r="G38"/>
      <c r="H38"/>
      <c r="I38"/>
      <c r="J38"/>
      <c r="K38"/>
      <c r="L38"/>
      <c r="M38"/>
      <c r="N38"/>
      <c r="O38"/>
      <c r="P38"/>
      <c r="Q38"/>
      <c r="R38"/>
      <c r="S38"/>
      <c r="T38"/>
      <c r="U38"/>
    </row>
    <row r="39" spans="1:21" x14ac:dyDescent="0.55000000000000004">
      <c r="A39"/>
      <c r="B39"/>
      <c r="C39"/>
      <c r="D39"/>
      <c r="E39" s="99"/>
      <c r="F39"/>
      <c r="G39"/>
      <c r="H39"/>
      <c r="I39"/>
      <c r="J39"/>
      <c r="K39"/>
      <c r="L39"/>
      <c r="M39"/>
      <c r="N39"/>
      <c r="O39"/>
      <c r="P39"/>
      <c r="Q39"/>
      <c r="R39"/>
      <c r="S39"/>
      <c r="T39"/>
      <c r="U39"/>
    </row>
    <row r="40" spans="1:21" x14ac:dyDescent="0.55000000000000004">
      <c r="A40"/>
      <c r="B40"/>
      <c r="C40"/>
      <c r="D40"/>
      <c r="E40" s="99"/>
      <c r="F40"/>
      <c r="G40"/>
      <c r="H40"/>
      <c r="I40"/>
      <c r="J40"/>
      <c r="K40"/>
      <c r="L40"/>
      <c r="M40"/>
      <c r="N40"/>
      <c r="O40"/>
      <c r="P40"/>
      <c r="Q40"/>
      <c r="R40"/>
      <c r="S40"/>
      <c r="T40"/>
      <c r="U40"/>
    </row>
    <row r="41" spans="1:21" x14ac:dyDescent="0.55000000000000004">
      <c r="A41"/>
      <c r="B41"/>
      <c r="C41"/>
      <c r="D41"/>
      <c r="F41"/>
      <c r="G41"/>
      <c r="H41"/>
      <c r="I41"/>
      <c r="J41"/>
      <c r="K41"/>
      <c r="L41"/>
      <c r="M41"/>
      <c r="N41"/>
      <c r="O41"/>
      <c r="P41"/>
      <c r="Q41"/>
      <c r="R41"/>
      <c r="S41"/>
      <c r="T41"/>
      <c r="U41"/>
    </row>
    <row r="42" spans="1:21" x14ac:dyDescent="0.55000000000000004">
      <c r="A42"/>
      <c r="B42"/>
      <c r="C42"/>
      <c r="D42"/>
      <c r="E42" s="99"/>
      <c r="F42"/>
      <c r="G42"/>
      <c r="H42"/>
      <c r="I42"/>
      <c r="J42"/>
      <c r="K42"/>
    </row>
    <row r="43" spans="1:21" x14ac:dyDescent="0.55000000000000004">
      <c r="A43"/>
      <c r="B43"/>
      <c r="C43"/>
      <c r="D43"/>
      <c r="E43" s="99"/>
      <c r="F43"/>
      <c r="G43"/>
      <c r="H43"/>
      <c r="I43"/>
      <c r="J43"/>
      <c r="K43"/>
    </row>
    <row r="44" spans="1:21" x14ac:dyDescent="0.55000000000000004">
      <c r="A44"/>
      <c r="B44"/>
      <c r="C44"/>
      <c r="D44"/>
      <c r="E44" s="99"/>
      <c r="F44"/>
      <c r="G44"/>
      <c r="H44"/>
      <c r="I44"/>
      <c r="J44"/>
      <c r="K44"/>
    </row>
    <row r="45" spans="1:21" x14ac:dyDescent="0.55000000000000004">
      <c r="A45"/>
      <c r="B45"/>
      <c r="C45"/>
      <c r="D45"/>
      <c r="E45" s="99"/>
      <c r="F45"/>
      <c r="G45"/>
      <c r="H45"/>
      <c r="I45"/>
      <c r="J45"/>
      <c r="K45"/>
    </row>
    <row r="46" spans="1:21" x14ac:dyDescent="0.55000000000000004">
      <c r="A46"/>
      <c r="B46"/>
      <c r="C46"/>
      <c r="D46"/>
      <c r="F46"/>
      <c r="G46"/>
      <c r="H46"/>
      <c r="I46"/>
      <c r="J46"/>
      <c r="K46"/>
    </row>
    <row r="47" spans="1:21" x14ac:dyDescent="0.55000000000000004">
      <c r="A47"/>
      <c r="B47"/>
      <c r="C47"/>
      <c r="D47"/>
      <c r="F47"/>
      <c r="G47"/>
      <c r="H47"/>
      <c r="I47"/>
      <c r="J47"/>
      <c r="K47"/>
    </row>
    <row r="48" spans="1:21" x14ac:dyDescent="0.55000000000000004">
      <c r="A48"/>
      <c r="B48"/>
      <c r="C48"/>
      <c r="D48"/>
      <c r="E48" s="99"/>
      <c r="F48"/>
      <c r="G48"/>
      <c r="H48"/>
      <c r="I48"/>
      <c r="J48"/>
      <c r="K48"/>
    </row>
    <row r="49" spans="1:11" x14ac:dyDescent="0.55000000000000004">
      <c r="A49"/>
      <c r="B49"/>
      <c r="C49"/>
      <c r="D49"/>
      <c r="F49"/>
      <c r="G49"/>
      <c r="H49"/>
      <c r="I49"/>
      <c r="J49"/>
      <c r="K49"/>
    </row>
    <row r="50" spans="1:11" x14ac:dyDescent="0.55000000000000004">
      <c r="A50"/>
      <c r="B50"/>
      <c r="C50"/>
      <c r="D50"/>
      <c r="E50" s="99"/>
      <c r="F50"/>
      <c r="G50"/>
      <c r="H50"/>
      <c r="I50"/>
      <c r="J50"/>
      <c r="K50"/>
    </row>
    <row r="51" spans="1:11" x14ac:dyDescent="0.55000000000000004">
      <c r="A51"/>
      <c r="B51"/>
      <c r="C51"/>
      <c r="D51"/>
      <c r="E51" s="99"/>
      <c r="F51"/>
      <c r="G51"/>
      <c r="H51"/>
      <c r="I51"/>
      <c r="J51"/>
      <c r="K51"/>
    </row>
    <row r="52" spans="1:11" x14ac:dyDescent="0.55000000000000004">
      <c r="A52"/>
      <c r="B52"/>
      <c r="C52"/>
      <c r="D52"/>
      <c r="E52" s="99"/>
      <c r="F52"/>
      <c r="G52"/>
      <c r="H52"/>
      <c r="I52"/>
      <c r="J52"/>
      <c r="K52"/>
    </row>
    <row r="53" spans="1:11" x14ac:dyDescent="0.55000000000000004">
      <c r="A53"/>
      <c r="B53"/>
      <c r="C53"/>
      <c r="D53"/>
      <c r="E53" s="99"/>
      <c r="F53"/>
      <c r="G53"/>
      <c r="H53"/>
      <c r="I53"/>
      <c r="J53"/>
      <c r="K53"/>
    </row>
    <row r="54" spans="1:11" x14ac:dyDescent="0.55000000000000004">
      <c r="A54"/>
      <c r="B54"/>
      <c r="C54"/>
      <c r="D54"/>
      <c r="E54" s="78"/>
      <c r="F54"/>
      <c r="G54"/>
      <c r="H54"/>
      <c r="I54"/>
      <c r="J54"/>
      <c r="K54"/>
    </row>
    <row r="55" spans="1:11" x14ac:dyDescent="0.55000000000000004">
      <c r="A55"/>
      <c r="B55"/>
      <c r="C55"/>
      <c r="D55"/>
      <c r="E55" s="99"/>
      <c r="F55"/>
      <c r="G55"/>
      <c r="H55"/>
      <c r="I55"/>
      <c r="J55"/>
      <c r="K55"/>
    </row>
    <row r="56" spans="1:11" x14ac:dyDescent="0.55000000000000004">
      <c r="A56"/>
      <c r="B56"/>
      <c r="C56"/>
      <c r="D56"/>
      <c r="E56" s="99"/>
      <c r="F56"/>
      <c r="G56"/>
      <c r="H56"/>
      <c r="I56"/>
      <c r="J56"/>
      <c r="K56"/>
    </row>
    <row r="57" spans="1:11" x14ac:dyDescent="0.55000000000000004">
      <c r="A57"/>
      <c r="B57"/>
      <c r="C57"/>
      <c r="D57"/>
      <c r="F57"/>
      <c r="G57"/>
      <c r="H57"/>
      <c r="I57"/>
      <c r="J57"/>
      <c r="K57"/>
    </row>
    <row r="58" spans="1:11" x14ac:dyDescent="0.55000000000000004">
      <c r="A58"/>
      <c r="B58"/>
      <c r="C58"/>
      <c r="D58"/>
      <c r="E58" s="99"/>
      <c r="F58"/>
      <c r="G58"/>
      <c r="H58"/>
      <c r="I58"/>
      <c r="J58"/>
      <c r="K58"/>
    </row>
    <row r="59" spans="1:11" x14ac:dyDescent="0.55000000000000004">
      <c r="A59"/>
      <c r="B59"/>
      <c r="C59"/>
      <c r="D59"/>
      <c r="E59" s="99"/>
      <c r="F59"/>
      <c r="G59"/>
      <c r="H59"/>
      <c r="I59"/>
      <c r="J59"/>
      <c r="K59"/>
    </row>
    <row r="60" spans="1:11" x14ac:dyDescent="0.55000000000000004">
      <c r="A60"/>
      <c r="B60"/>
      <c r="C60"/>
      <c r="D60"/>
      <c r="E60" s="99"/>
      <c r="F60"/>
      <c r="G60"/>
      <c r="H60"/>
      <c r="I60"/>
      <c r="J60"/>
      <c r="K60"/>
    </row>
    <row r="61" spans="1:11" x14ac:dyDescent="0.55000000000000004">
      <c r="A61"/>
      <c r="B61"/>
      <c r="C61"/>
      <c r="D61"/>
      <c r="E61" s="99"/>
      <c r="F61"/>
      <c r="G61"/>
      <c r="H61"/>
      <c r="I61"/>
      <c r="J61"/>
      <c r="K61"/>
    </row>
    <row r="62" spans="1:11" x14ac:dyDescent="0.55000000000000004">
      <c r="A62"/>
      <c r="B62"/>
      <c r="C62"/>
      <c r="D62"/>
      <c r="E62" s="78"/>
      <c r="F62"/>
      <c r="G62"/>
      <c r="H62"/>
      <c r="I62"/>
      <c r="J62"/>
      <c r="K62"/>
    </row>
    <row r="63" spans="1:11" x14ac:dyDescent="0.55000000000000004">
      <c r="A63"/>
      <c r="B63"/>
      <c r="C63"/>
      <c r="D63"/>
      <c r="E63" s="99"/>
      <c r="F63"/>
      <c r="G63"/>
      <c r="H63"/>
      <c r="I63"/>
      <c r="J63"/>
      <c r="K63"/>
    </row>
    <row r="64" spans="1:11" x14ac:dyDescent="0.55000000000000004">
      <c r="A64"/>
      <c r="B64"/>
      <c r="C64"/>
      <c r="D64"/>
      <c r="E64" s="99"/>
      <c r="F64"/>
      <c r="G64"/>
      <c r="H64"/>
      <c r="I64"/>
      <c r="J64"/>
      <c r="K64"/>
    </row>
    <row r="65" spans="1:11" x14ac:dyDescent="0.55000000000000004">
      <c r="A65"/>
      <c r="B65"/>
      <c r="C65"/>
      <c r="D65"/>
      <c r="E65"/>
      <c r="F65"/>
      <c r="G65"/>
      <c r="H65"/>
      <c r="I65"/>
      <c r="J65"/>
      <c r="K65"/>
    </row>
    <row r="66" spans="1:11" x14ac:dyDescent="0.55000000000000004">
      <c r="A66"/>
      <c r="B66"/>
      <c r="C66"/>
      <c r="D66"/>
      <c r="E66"/>
      <c r="F66"/>
      <c r="G66"/>
      <c r="H66"/>
      <c r="I66"/>
      <c r="J66"/>
      <c r="K66"/>
    </row>
    <row r="67" spans="1:11" x14ac:dyDescent="0.55000000000000004">
      <c r="A67"/>
      <c r="B67"/>
      <c r="C67"/>
      <c r="D67"/>
      <c r="E67"/>
      <c r="F67"/>
      <c r="G67"/>
      <c r="H67"/>
      <c r="I67"/>
      <c r="J67"/>
      <c r="K67"/>
    </row>
    <row r="68" spans="1:11" x14ac:dyDescent="0.55000000000000004">
      <c r="A68"/>
      <c r="B68"/>
      <c r="C68"/>
      <c r="D68"/>
      <c r="E68"/>
      <c r="F68"/>
      <c r="G68"/>
      <c r="H68"/>
      <c r="I68"/>
      <c r="J68"/>
      <c r="K68"/>
    </row>
    <row r="69" spans="1:11" x14ac:dyDescent="0.55000000000000004">
      <c r="A69"/>
      <c r="B69"/>
      <c r="C69"/>
      <c r="D69"/>
      <c r="E69"/>
      <c r="F69"/>
    </row>
    <row r="70" spans="1:11" x14ac:dyDescent="0.55000000000000004">
      <c r="A70"/>
      <c r="B70"/>
      <c r="C70"/>
      <c r="D70"/>
      <c r="E70"/>
      <c r="F70"/>
    </row>
    <row r="71" spans="1:11" x14ac:dyDescent="0.55000000000000004">
      <c r="A71"/>
      <c r="B71"/>
      <c r="C71"/>
      <c r="D71"/>
      <c r="E71"/>
      <c r="F71"/>
    </row>
    <row r="72" spans="1:11" x14ac:dyDescent="0.55000000000000004">
      <c r="A72"/>
      <c r="B72"/>
      <c r="C72"/>
      <c r="D72"/>
      <c r="E72"/>
      <c r="F72"/>
    </row>
    <row r="73" spans="1:11" x14ac:dyDescent="0.55000000000000004">
      <c r="A73"/>
      <c r="B73"/>
      <c r="C73"/>
      <c r="D73"/>
      <c r="E73"/>
      <c r="F73"/>
    </row>
    <row r="74" spans="1:11" x14ac:dyDescent="0.55000000000000004">
      <c r="A74"/>
      <c r="B74"/>
      <c r="C74"/>
      <c r="D74"/>
      <c r="E74"/>
      <c r="F74"/>
    </row>
    <row r="75" spans="1:11" x14ac:dyDescent="0.55000000000000004">
      <c r="A75"/>
      <c r="B75"/>
      <c r="C75"/>
      <c r="D75"/>
      <c r="E75"/>
      <c r="F75"/>
    </row>
    <row r="76" spans="1:11" x14ac:dyDescent="0.55000000000000004">
      <c r="A76"/>
      <c r="B76"/>
      <c r="C76"/>
      <c r="D76"/>
      <c r="E76"/>
      <c r="F76"/>
    </row>
    <row r="77" spans="1:11" x14ac:dyDescent="0.55000000000000004">
      <c r="A77"/>
      <c r="B77"/>
      <c r="C77"/>
      <c r="D77"/>
      <c r="E77"/>
      <c r="F77"/>
    </row>
    <row r="78" spans="1:11" x14ac:dyDescent="0.55000000000000004">
      <c r="A78"/>
      <c r="B78"/>
      <c r="C78"/>
      <c r="D78"/>
      <c r="E78"/>
      <c r="F78"/>
    </row>
    <row r="79" spans="1:11" x14ac:dyDescent="0.55000000000000004">
      <c r="A79"/>
      <c r="B79"/>
      <c r="C79"/>
      <c r="D79"/>
      <c r="E79"/>
      <c r="F79"/>
    </row>
    <row r="80" spans="1:11" x14ac:dyDescent="0.55000000000000004">
      <c r="A80"/>
      <c r="B80"/>
      <c r="C80"/>
      <c r="D80"/>
      <c r="E80"/>
      <c r="F80"/>
    </row>
    <row r="81" spans="1:6" x14ac:dyDescent="0.55000000000000004">
      <c r="A81"/>
      <c r="B81"/>
      <c r="C81"/>
      <c r="D81"/>
      <c r="E81"/>
      <c r="F81"/>
    </row>
    <row r="82" spans="1:6" x14ac:dyDescent="0.55000000000000004">
      <c r="A82"/>
      <c r="B82"/>
      <c r="C82"/>
      <c r="D82"/>
      <c r="E82"/>
      <c r="F82"/>
    </row>
    <row r="83" spans="1:6" x14ac:dyDescent="0.55000000000000004">
      <c r="A83"/>
      <c r="B83"/>
      <c r="C83"/>
      <c r="D83"/>
      <c r="E83"/>
      <c r="F83"/>
    </row>
    <row r="84" spans="1:6" x14ac:dyDescent="0.55000000000000004">
      <c r="A84"/>
      <c r="B84"/>
      <c r="C84"/>
      <c r="D84"/>
      <c r="E84"/>
      <c r="F84"/>
    </row>
    <row r="85" spans="1:6" x14ac:dyDescent="0.55000000000000004">
      <c r="A85"/>
      <c r="B85"/>
      <c r="C85"/>
      <c r="D85"/>
      <c r="E85"/>
      <c r="F85"/>
    </row>
    <row r="86" spans="1:6" x14ac:dyDescent="0.55000000000000004">
      <c r="A86"/>
      <c r="B86"/>
      <c r="C86"/>
      <c r="D86"/>
      <c r="E86"/>
      <c r="F86"/>
    </row>
    <row r="87" spans="1:6" x14ac:dyDescent="0.55000000000000004">
      <c r="A87"/>
      <c r="B87"/>
      <c r="C87"/>
      <c r="D87"/>
      <c r="E87"/>
      <c r="F87"/>
    </row>
    <row r="88" spans="1:6" x14ac:dyDescent="0.55000000000000004">
      <c r="A88"/>
      <c r="B88"/>
      <c r="C88"/>
      <c r="D88"/>
      <c r="E88"/>
      <c r="F88"/>
    </row>
    <row r="89" spans="1:6" x14ac:dyDescent="0.55000000000000004">
      <c r="A89"/>
      <c r="B89"/>
      <c r="C89"/>
      <c r="D89"/>
      <c r="E89"/>
      <c r="F89"/>
    </row>
    <row r="90" spans="1:6" x14ac:dyDescent="0.55000000000000004">
      <c r="A90"/>
      <c r="B90"/>
      <c r="C90"/>
      <c r="D90"/>
      <c r="E90"/>
      <c r="F90"/>
    </row>
    <row r="91" spans="1:6" x14ac:dyDescent="0.55000000000000004">
      <c r="A91"/>
      <c r="B91"/>
      <c r="C91"/>
      <c r="D91"/>
      <c r="E91"/>
      <c r="F91"/>
    </row>
    <row r="92" spans="1:6" x14ac:dyDescent="0.55000000000000004">
      <c r="A92"/>
      <c r="B92"/>
      <c r="C92"/>
      <c r="D92"/>
      <c r="E92"/>
      <c r="F92"/>
    </row>
    <row r="93" spans="1:6" x14ac:dyDescent="0.55000000000000004">
      <c r="A93"/>
      <c r="B93"/>
      <c r="C93"/>
      <c r="D93"/>
      <c r="E93"/>
      <c r="F93"/>
    </row>
    <row r="94" spans="1:6" x14ac:dyDescent="0.55000000000000004">
      <c r="A94"/>
      <c r="B94"/>
      <c r="C94"/>
      <c r="D94"/>
      <c r="E94"/>
      <c r="F94"/>
    </row>
    <row r="95" spans="1:6" x14ac:dyDescent="0.55000000000000004">
      <c r="A95"/>
      <c r="B95"/>
      <c r="C95"/>
      <c r="D95"/>
      <c r="E95"/>
      <c r="F95"/>
    </row>
    <row r="96" spans="1:6" x14ac:dyDescent="0.55000000000000004">
      <c r="A96"/>
      <c r="B96"/>
      <c r="C96"/>
      <c r="D96"/>
      <c r="E96"/>
      <c r="F96"/>
    </row>
    <row r="97" spans="1:6" x14ac:dyDescent="0.55000000000000004">
      <c r="A97"/>
      <c r="B97"/>
      <c r="C97"/>
      <c r="D97"/>
      <c r="E97"/>
      <c r="F97"/>
    </row>
    <row r="98" spans="1:6" x14ac:dyDescent="0.55000000000000004">
      <c r="A98"/>
      <c r="B98"/>
      <c r="C98"/>
      <c r="D98"/>
      <c r="E98"/>
      <c r="F98"/>
    </row>
    <row r="99" spans="1:6" x14ac:dyDescent="0.55000000000000004">
      <c r="A99"/>
      <c r="B99"/>
      <c r="C99"/>
      <c r="D99"/>
      <c r="E99"/>
      <c r="F99"/>
    </row>
    <row r="100" spans="1:6" x14ac:dyDescent="0.55000000000000004">
      <c r="A100"/>
      <c r="B100"/>
      <c r="C100"/>
      <c r="D100"/>
      <c r="E100"/>
      <c r="F100"/>
    </row>
    <row r="101" spans="1:6" x14ac:dyDescent="0.55000000000000004">
      <c r="A101"/>
      <c r="B101"/>
      <c r="C101"/>
      <c r="D101"/>
      <c r="E101"/>
      <c r="F101"/>
    </row>
    <row r="102" spans="1:6" x14ac:dyDescent="0.55000000000000004">
      <c r="A102"/>
      <c r="B102"/>
      <c r="C102"/>
      <c r="D102"/>
      <c r="E102"/>
      <c r="F102"/>
    </row>
    <row r="103" spans="1:6" x14ac:dyDescent="0.55000000000000004">
      <c r="A103"/>
      <c r="B103"/>
      <c r="C103"/>
      <c r="D103"/>
      <c r="E103"/>
      <c r="F103"/>
    </row>
    <row r="104" spans="1:6" x14ac:dyDescent="0.55000000000000004">
      <c r="A104"/>
      <c r="B104"/>
      <c r="C104"/>
      <c r="D104"/>
      <c r="E104"/>
      <c r="F104"/>
    </row>
    <row r="105" spans="1:6" x14ac:dyDescent="0.55000000000000004">
      <c r="A105"/>
      <c r="B105"/>
      <c r="C105"/>
      <c r="D105"/>
      <c r="E105"/>
      <c r="F105"/>
    </row>
    <row r="106" spans="1:6" x14ac:dyDescent="0.55000000000000004">
      <c r="A106"/>
      <c r="B106"/>
      <c r="C106"/>
      <c r="D106"/>
      <c r="E106"/>
      <c r="F106"/>
    </row>
    <row r="107" spans="1:6" x14ac:dyDescent="0.55000000000000004">
      <c r="A107"/>
      <c r="B107"/>
      <c r="C107"/>
      <c r="D107"/>
      <c r="E107"/>
      <c r="F107"/>
    </row>
    <row r="108" spans="1:6" x14ac:dyDescent="0.55000000000000004">
      <c r="A108"/>
      <c r="B108"/>
      <c r="C108"/>
      <c r="D108"/>
      <c r="E108"/>
      <c r="F108"/>
    </row>
    <row r="109" spans="1:6" x14ac:dyDescent="0.55000000000000004">
      <c r="A109"/>
      <c r="B109"/>
      <c r="C109"/>
      <c r="D109"/>
      <c r="E109"/>
      <c r="F109"/>
    </row>
    <row r="110" spans="1:6" x14ac:dyDescent="0.55000000000000004">
      <c r="A110"/>
      <c r="B110"/>
      <c r="C110"/>
      <c r="D110"/>
      <c r="E110"/>
      <c r="F110"/>
    </row>
    <row r="111" spans="1:6" x14ac:dyDescent="0.55000000000000004">
      <c r="A111"/>
      <c r="B111"/>
      <c r="C111"/>
      <c r="D111"/>
      <c r="E111"/>
      <c r="F111"/>
    </row>
    <row r="112" spans="1:6" x14ac:dyDescent="0.55000000000000004">
      <c r="A112"/>
      <c r="B112"/>
      <c r="C112"/>
      <c r="D112"/>
      <c r="E112"/>
      <c r="F112"/>
    </row>
    <row r="113" spans="1:6" x14ac:dyDescent="0.55000000000000004">
      <c r="A113"/>
      <c r="B113"/>
      <c r="C113"/>
      <c r="D113"/>
      <c r="E113"/>
      <c r="F113"/>
    </row>
    <row r="114" spans="1:6" x14ac:dyDescent="0.55000000000000004">
      <c r="A114"/>
      <c r="B114"/>
      <c r="C114"/>
      <c r="D114"/>
      <c r="E114"/>
      <c r="F114"/>
    </row>
    <row r="115" spans="1:6" x14ac:dyDescent="0.55000000000000004">
      <c r="A115"/>
      <c r="B115"/>
      <c r="C115"/>
      <c r="D115"/>
      <c r="E115"/>
      <c r="F115"/>
    </row>
    <row r="116" spans="1:6" x14ac:dyDescent="0.55000000000000004">
      <c r="A116"/>
      <c r="B116"/>
      <c r="C116"/>
      <c r="D116"/>
      <c r="E116"/>
      <c r="F116"/>
    </row>
    <row r="117" spans="1:6" x14ac:dyDescent="0.55000000000000004">
      <c r="A117"/>
      <c r="B117"/>
      <c r="C117"/>
      <c r="D117"/>
      <c r="E117"/>
      <c r="F117"/>
    </row>
    <row r="118" spans="1:6" x14ac:dyDescent="0.55000000000000004">
      <c r="A118"/>
      <c r="B118"/>
      <c r="C118"/>
      <c r="D118"/>
      <c r="E118"/>
      <c r="F118"/>
    </row>
    <row r="119" spans="1:6" x14ac:dyDescent="0.55000000000000004">
      <c r="A119"/>
      <c r="B119"/>
      <c r="C119"/>
      <c r="D119"/>
      <c r="E119"/>
      <c r="F119"/>
    </row>
    <row r="120" spans="1:6" x14ac:dyDescent="0.55000000000000004">
      <c r="A120"/>
      <c r="B120"/>
      <c r="C120"/>
      <c r="D120"/>
      <c r="E120"/>
      <c r="F120"/>
    </row>
    <row r="121" spans="1:6" x14ac:dyDescent="0.55000000000000004">
      <c r="A121"/>
      <c r="B121"/>
      <c r="C121"/>
      <c r="D121"/>
      <c r="E121"/>
      <c r="F121"/>
    </row>
    <row r="122" spans="1:6" x14ac:dyDescent="0.55000000000000004">
      <c r="A122"/>
      <c r="B122"/>
      <c r="C122"/>
      <c r="D122"/>
      <c r="E122"/>
      <c r="F122"/>
    </row>
    <row r="123" spans="1:6" x14ac:dyDescent="0.55000000000000004">
      <c r="A123"/>
      <c r="B123"/>
      <c r="C123"/>
      <c r="D123"/>
      <c r="E123"/>
      <c r="F123"/>
    </row>
    <row r="124" spans="1:6" x14ac:dyDescent="0.55000000000000004">
      <c r="A124"/>
      <c r="B124"/>
      <c r="C124"/>
      <c r="D124"/>
      <c r="E124"/>
      <c r="F124"/>
    </row>
    <row r="125" spans="1:6" x14ac:dyDescent="0.55000000000000004">
      <c r="A125"/>
      <c r="B125"/>
      <c r="C125"/>
      <c r="D125"/>
      <c r="E125"/>
      <c r="F125"/>
    </row>
    <row r="126" spans="1:6" x14ac:dyDescent="0.55000000000000004">
      <c r="A126"/>
      <c r="B126"/>
      <c r="C126"/>
      <c r="D126"/>
      <c r="E126"/>
      <c r="F126"/>
    </row>
    <row r="127" spans="1:6" x14ac:dyDescent="0.55000000000000004">
      <c r="A127"/>
      <c r="B127"/>
      <c r="C127"/>
      <c r="D127"/>
      <c r="E127"/>
      <c r="F127"/>
    </row>
    <row r="128" spans="1:6" x14ac:dyDescent="0.55000000000000004">
      <c r="A128"/>
      <c r="B128"/>
      <c r="C128"/>
      <c r="D128"/>
      <c r="E128"/>
      <c r="F128"/>
    </row>
    <row r="129" spans="1:6" x14ac:dyDescent="0.55000000000000004">
      <c r="A129"/>
      <c r="B129"/>
      <c r="C129"/>
      <c r="D129"/>
      <c r="E129"/>
      <c r="F129"/>
    </row>
    <row r="130" spans="1:6" x14ac:dyDescent="0.55000000000000004">
      <c r="A130"/>
      <c r="B130"/>
      <c r="C130"/>
      <c r="D130"/>
      <c r="E130"/>
      <c r="F130"/>
    </row>
    <row r="131" spans="1:6" x14ac:dyDescent="0.55000000000000004">
      <c r="A131"/>
      <c r="B131"/>
      <c r="C131"/>
      <c r="D131"/>
      <c r="E131"/>
      <c r="F131"/>
    </row>
    <row r="132" spans="1:6" x14ac:dyDescent="0.55000000000000004">
      <c r="A132"/>
      <c r="B132"/>
      <c r="C132"/>
      <c r="D132"/>
      <c r="E132"/>
      <c r="F132"/>
    </row>
    <row r="133" spans="1:6" x14ac:dyDescent="0.55000000000000004">
      <c r="A133"/>
      <c r="B133"/>
      <c r="C133"/>
      <c r="D133"/>
      <c r="E133"/>
      <c r="F133"/>
    </row>
    <row r="134" spans="1:6" x14ac:dyDescent="0.55000000000000004">
      <c r="A134"/>
      <c r="B134"/>
      <c r="C134"/>
      <c r="D134"/>
      <c r="E134"/>
      <c r="F134"/>
    </row>
    <row r="135" spans="1:6" x14ac:dyDescent="0.55000000000000004">
      <c r="A135"/>
      <c r="B135"/>
      <c r="C135"/>
      <c r="D135"/>
      <c r="E135"/>
      <c r="F135"/>
    </row>
    <row r="136" spans="1:6" x14ac:dyDescent="0.55000000000000004">
      <c r="A136"/>
      <c r="B136"/>
      <c r="C136"/>
      <c r="D136"/>
      <c r="E136"/>
      <c r="F136"/>
    </row>
    <row r="137" spans="1:6" x14ac:dyDescent="0.55000000000000004">
      <c r="A137"/>
      <c r="B137"/>
      <c r="C137"/>
      <c r="D137"/>
      <c r="E137"/>
      <c r="F137"/>
    </row>
    <row r="138" spans="1:6" x14ac:dyDescent="0.55000000000000004">
      <c r="A138"/>
      <c r="B138"/>
      <c r="C138"/>
      <c r="D138"/>
      <c r="E138"/>
      <c r="F138"/>
    </row>
    <row r="139" spans="1:6" x14ac:dyDescent="0.55000000000000004">
      <c r="A139"/>
      <c r="B139"/>
      <c r="C139"/>
      <c r="D139"/>
      <c r="E139"/>
      <c r="F139"/>
    </row>
    <row r="140" spans="1:6" x14ac:dyDescent="0.55000000000000004">
      <c r="A140"/>
      <c r="B140"/>
      <c r="C140"/>
      <c r="D140"/>
      <c r="E140"/>
      <c r="F140"/>
    </row>
    <row r="141" spans="1:6" x14ac:dyDescent="0.55000000000000004">
      <c r="A141"/>
      <c r="B141"/>
      <c r="C141"/>
      <c r="D141"/>
      <c r="E141"/>
      <c r="F141"/>
    </row>
    <row r="142" spans="1:6" x14ac:dyDescent="0.55000000000000004">
      <c r="A142"/>
      <c r="B142"/>
      <c r="C142"/>
      <c r="D142"/>
      <c r="E142"/>
      <c r="F142"/>
    </row>
    <row r="143" spans="1:6" x14ac:dyDescent="0.55000000000000004">
      <c r="A143"/>
      <c r="B143"/>
      <c r="C143"/>
      <c r="D143"/>
      <c r="E143"/>
      <c r="F143"/>
    </row>
    <row r="144" spans="1:6" x14ac:dyDescent="0.55000000000000004">
      <c r="A144"/>
      <c r="B144"/>
      <c r="C144"/>
      <c r="D144"/>
      <c r="E144"/>
      <c r="F144"/>
    </row>
    <row r="145" spans="1:6" x14ac:dyDescent="0.55000000000000004">
      <c r="A145"/>
      <c r="B145"/>
      <c r="C145"/>
      <c r="D145"/>
      <c r="E145"/>
      <c r="F145"/>
    </row>
    <row r="146" spans="1:6" x14ac:dyDescent="0.55000000000000004">
      <c r="A146"/>
      <c r="B146"/>
      <c r="C146"/>
      <c r="D146"/>
      <c r="E146"/>
      <c r="F146"/>
    </row>
    <row r="147" spans="1:6" x14ac:dyDescent="0.55000000000000004">
      <c r="A147"/>
      <c r="B147"/>
      <c r="C147"/>
      <c r="D147"/>
      <c r="E147"/>
      <c r="F147"/>
    </row>
    <row r="148" spans="1:6" x14ac:dyDescent="0.55000000000000004">
      <c r="A148"/>
      <c r="B148"/>
      <c r="C148"/>
      <c r="D148"/>
      <c r="E148"/>
      <c r="F148"/>
    </row>
    <row r="149" spans="1:6" x14ac:dyDescent="0.55000000000000004">
      <c r="A149"/>
      <c r="B149"/>
      <c r="C149"/>
      <c r="D149"/>
      <c r="E149"/>
      <c r="F149"/>
    </row>
    <row r="150" spans="1:6" x14ac:dyDescent="0.55000000000000004">
      <c r="A150"/>
      <c r="B150"/>
      <c r="C150"/>
      <c r="D150"/>
      <c r="E150"/>
      <c r="F150"/>
    </row>
    <row r="151" spans="1:6" x14ac:dyDescent="0.55000000000000004">
      <c r="A151"/>
      <c r="B151"/>
      <c r="C151"/>
      <c r="D151"/>
      <c r="E151"/>
      <c r="F151"/>
    </row>
    <row r="152" spans="1:6" x14ac:dyDescent="0.55000000000000004">
      <c r="A152"/>
      <c r="B152"/>
      <c r="C152"/>
      <c r="D152"/>
      <c r="E152"/>
      <c r="F152"/>
    </row>
    <row r="153" spans="1:6" x14ac:dyDescent="0.55000000000000004">
      <c r="A153"/>
      <c r="B153"/>
      <c r="C153"/>
      <c r="D153"/>
      <c r="E153"/>
      <c r="F153"/>
    </row>
    <row r="154" spans="1:6" x14ac:dyDescent="0.55000000000000004">
      <c r="A154"/>
      <c r="B154"/>
      <c r="C154"/>
      <c r="D154"/>
      <c r="E154"/>
      <c r="F154"/>
    </row>
    <row r="155" spans="1:6" x14ac:dyDescent="0.55000000000000004">
      <c r="A155"/>
      <c r="B155"/>
      <c r="C155"/>
      <c r="D155"/>
      <c r="E155"/>
      <c r="F155"/>
    </row>
    <row r="156" spans="1:6" x14ac:dyDescent="0.55000000000000004">
      <c r="A156"/>
      <c r="B156"/>
      <c r="C156"/>
      <c r="D156"/>
      <c r="E156"/>
      <c r="F156"/>
    </row>
    <row r="157" spans="1:6" x14ac:dyDescent="0.55000000000000004">
      <c r="A157"/>
      <c r="B157"/>
      <c r="C157"/>
      <c r="D157"/>
      <c r="E157"/>
      <c r="F157"/>
    </row>
    <row r="158" spans="1:6" x14ac:dyDescent="0.55000000000000004">
      <c r="A158"/>
      <c r="B158"/>
      <c r="C158"/>
      <c r="D158"/>
      <c r="E158"/>
      <c r="F158"/>
    </row>
    <row r="159" spans="1:6" x14ac:dyDescent="0.55000000000000004">
      <c r="A159"/>
      <c r="B159"/>
      <c r="C159"/>
      <c r="D159"/>
      <c r="E159"/>
      <c r="F159"/>
    </row>
    <row r="160" spans="1:6" x14ac:dyDescent="0.55000000000000004">
      <c r="A160"/>
      <c r="B160"/>
      <c r="C160"/>
      <c r="D160"/>
      <c r="E160"/>
      <c r="F160"/>
    </row>
    <row r="161" spans="1:6" x14ac:dyDescent="0.55000000000000004">
      <c r="A161"/>
      <c r="B161"/>
      <c r="C161"/>
      <c r="D161"/>
      <c r="E161"/>
      <c r="F161"/>
    </row>
    <row r="162" spans="1:6" x14ac:dyDescent="0.55000000000000004">
      <c r="A162"/>
      <c r="B162"/>
      <c r="C162"/>
      <c r="D162"/>
      <c r="E162"/>
      <c r="F162"/>
    </row>
    <row r="163" spans="1:6" x14ac:dyDescent="0.55000000000000004">
      <c r="A163"/>
      <c r="B163"/>
      <c r="C163"/>
      <c r="D163"/>
      <c r="E163"/>
      <c r="F163"/>
    </row>
    <row r="164" spans="1:6" x14ac:dyDescent="0.55000000000000004">
      <c r="A164"/>
      <c r="B164"/>
      <c r="C164"/>
      <c r="D164"/>
      <c r="E164"/>
      <c r="F164"/>
    </row>
    <row r="165" spans="1:6" x14ac:dyDescent="0.55000000000000004">
      <c r="A165"/>
      <c r="B165"/>
      <c r="C165"/>
      <c r="D165"/>
      <c r="E165"/>
      <c r="F165"/>
    </row>
    <row r="166" spans="1:6" x14ac:dyDescent="0.55000000000000004">
      <c r="A166"/>
      <c r="B166"/>
      <c r="C166"/>
      <c r="D166"/>
      <c r="E166"/>
      <c r="F166"/>
    </row>
    <row r="167" spans="1:6" x14ac:dyDescent="0.55000000000000004">
      <c r="A167"/>
      <c r="B167"/>
      <c r="C167"/>
      <c r="D167"/>
      <c r="E167"/>
      <c r="F167"/>
    </row>
    <row r="168" spans="1:6" x14ac:dyDescent="0.55000000000000004">
      <c r="A168"/>
      <c r="B168"/>
      <c r="C168"/>
      <c r="D168"/>
      <c r="E168"/>
      <c r="F168"/>
    </row>
    <row r="169" spans="1:6" x14ac:dyDescent="0.55000000000000004">
      <c r="A169"/>
      <c r="B169"/>
      <c r="C169"/>
      <c r="D169"/>
      <c r="E169"/>
      <c r="F169"/>
    </row>
    <row r="170" spans="1:6" x14ac:dyDescent="0.55000000000000004">
      <c r="A170"/>
      <c r="B170"/>
      <c r="C170"/>
      <c r="D170"/>
      <c r="E170"/>
      <c r="F170"/>
    </row>
    <row r="171" spans="1:6" x14ac:dyDescent="0.55000000000000004">
      <c r="A171"/>
      <c r="B171"/>
      <c r="C171"/>
      <c r="D171"/>
      <c r="E171"/>
      <c r="F171"/>
    </row>
    <row r="172" spans="1:6" x14ac:dyDescent="0.55000000000000004">
      <c r="A172"/>
      <c r="B172"/>
      <c r="C172"/>
      <c r="D172"/>
      <c r="E172"/>
      <c r="F172"/>
    </row>
    <row r="173" spans="1:6" x14ac:dyDescent="0.55000000000000004">
      <c r="A173"/>
      <c r="B173"/>
      <c r="C173"/>
      <c r="D173"/>
      <c r="E173"/>
      <c r="F173"/>
    </row>
    <row r="174" spans="1:6" x14ac:dyDescent="0.55000000000000004">
      <c r="A174"/>
      <c r="B174"/>
      <c r="C174"/>
      <c r="D174"/>
      <c r="E174"/>
      <c r="F174"/>
    </row>
    <row r="175" spans="1:6" x14ac:dyDescent="0.55000000000000004">
      <c r="A175"/>
      <c r="B175"/>
      <c r="C175"/>
      <c r="D175"/>
      <c r="E175"/>
      <c r="F175"/>
    </row>
    <row r="176" spans="1:6" x14ac:dyDescent="0.55000000000000004">
      <c r="A176"/>
      <c r="B176"/>
      <c r="C176"/>
      <c r="D176"/>
      <c r="E176"/>
      <c r="F176"/>
    </row>
    <row r="177" spans="1:6" x14ac:dyDescent="0.55000000000000004">
      <c r="A177"/>
      <c r="B177"/>
      <c r="C177"/>
      <c r="D177"/>
      <c r="E177"/>
      <c r="F177"/>
    </row>
    <row r="178" spans="1:6" x14ac:dyDescent="0.55000000000000004">
      <c r="A178"/>
      <c r="B178"/>
      <c r="C178"/>
      <c r="D178"/>
      <c r="E178"/>
      <c r="F178"/>
    </row>
    <row r="179" spans="1:6" x14ac:dyDescent="0.55000000000000004">
      <c r="A179"/>
      <c r="B179"/>
      <c r="C179"/>
      <c r="D179"/>
      <c r="E179"/>
      <c r="F179"/>
    </row>
    <row r="180" spans="1:6" x14ac:dyDescent="0.55000000000000004">
      <c r="A180"/>
      <c r="B180"/>
      <c r="C180"/>
      <c r="D180"/>
      <c r="E180"/>
      <c r="F180"/>
    </row>
    <row r="181" spans="1:6" x14ac:dyDescent="0.55000000000000004">
      <c r="A181"/>
      <c r="B181"/>
      <c r="C181"/>
      <c r="D181"/>
      <c r="E181"/>
      <c r="F181"/>
    </row>
    <row r="182" spans="1:6" x14ac:dyDescent="0.55000000000000004">
      <c r="A182"/>
      <c r="B182"/>
      <c r="C182"/>
      <c r="D182"/>
      <c r="E182"/>
      <c r="F182"/>
    </row>
    <row r="183" spans="1:6" x14ac:dyDescent="0.55000000000000004">
      <c r="A183"/>
      <c r="B183"/>
      <c r="C183"/>
      <c r="D183"/>
      <c r="E183"/>
      <c r="F183"/>
    </row>
    <row r="184" spans="1:6" x14ac:dyDescent="0.55000000000000004">
      <c r="A184"/>
      <c r="B184"/>
      <c r="C184"/>
      <c r="D184"/>
      <c r="E184"/>
      <c r="F184"/>
    </row>
    <row r="185" spans="1:6" x14ac:dyDescent="0.55000000000000004">
      <c r="A185"/>
      <c r="B185"/>
      <c r="C185"/>
      <c r="D185"/>
      <c r="E185"/>
      <c r="F185"/>
    </row>
    <row r="186" spans="1:6" x14ac:dyDescent="0.55000000000000004">
      <c r="A186"/>
      <c r="B186"/>
      <c r="C186"/>
      <c r="D186"/>
      <c r="E186"/>
      <c r="F186"/>
    </row>
    <row r="187" spans="1:6" x14ac:dyDescent="0.55000000000000004">
      <c r="A187"/>
      <c r="B187"/>
      <c r="C187"/>
      <c r="D187"/>
      <c r="E187"/>
      <c r="F187"/>
    </row>
    <row r="188" spans="1:6" x14ac:dyDescent="0.55000000000000004">
      <c r="A188"/>
      <c r="B188"/>
      <c r="C188"/>
      <c r="D188"/>
      <c r="E188"/>
      <c r="F188"/>
    </row>
    <row r="189" spans="1:6" x14ac:dyDescent="0.55000000000000004">
      <c r="A189"/>
      <c r="B189"/>
      <c r="C189"/>
      <c r="D189"/>
      <c r="E189"/>
      <c r="F189"/>
    </row>
    <row r="190" spans="1:6" x14ac:dyDescent="0.55000000000000004">
      <c r="A190"/>
      <c r="B190"/>
      <c r="C190"/>
      <c r="D190"/>
      <c r="E190"/>
      <c r="F190"/>
    </row>
    <row r="191" spans="1:6" x14ac:dyDescent="0.55000000000000004">
      <c r="A191"/>
      <c r="B191"/>
      <c r="C191"/>
      <c r="D191"/>
      <c r="E191"/>
      <c r="F191"/>
    </row>
    <row r="192" spans="1:6" x14ac:dyDescent="0.55000000000000004">
      <c r="A192"/>
      <c r="B192"/>
      <c r="C192"/>
      <c r="D192"/>
      <c r="E192"/>
      <c r="F192"/>
    </row>
    <row r="193" spans="1:6" x14ac:dyDescent="0.55000000000000004">
      <c r="A193"/>
      <c r="B193"/>
      <c r="C193"/>
      <c r="D193"/>
      <c r="E193"/>
      <c r="F193"/>
    </row>
    <row r="194" spans="1:6" x14ac:dyDescent="0.55000000000000004">
      <c r="A194"/>
      <c r="B194"/>
      <c r="C194"/>
      <c r="D194"/>
      <c r="E194"/>
      <c r="F194"/>
    </row>
    <row r="195" spans="1:6" x14ac:dyDescent="0.55000000000000004">
      <c r="A195"/>
      <c r="B195"/>
      <c r="C195"/>
      <c r="D195"/>
      <c r="E195"/>
      <c r="F195"/>
    </row>
    <row r="196" spans="1:6" x14ac:dyDescent="0.55000000000000004">
      <c r="A196"/>
      <c r="B196"/>
      <c r="C196"/>
      <c r="D196"/>
      <c r="E196"/>
      <c r="F196"/>
    </row>
    <row r="197" spans="1:6" x14ac:dyDescent="0.55000000000000004">
      <c r="A197"/>
      <c r="B197"/>
      <c r="C197"/>
      <c r="D197"/>
      <c r="E197"/>
      <c r="F197"/>
    </row>
    <row r="198" spans="1:6" x14ac:dyDescent="0.55000000000000004">
      <c r="A198"/>
      <c r="B198"/>
      <c r="C198"/>
      <c r="D198"/>
      <c r="E198"/>
      <c r="F198"/>
    </row>
    <row r="199" spans="1:6" x14ac:dyDescent="0.55000000000000004">
      <c r="A199"/>
      <c r="B199"/>
      <c r="C199"/>
      <c r="D199"/>
      <c r="E199"/>
      <c r="F199"/>
    </row>
    <row r="200" spans="1:6" x14ac:dyDescent="0.55000000000000004">
      <c r="A200"/>
      <c r="B200"/>
      <c r="C200"/>
      <c r="D200"/>
      <c r="E200"/>
      <c r="F200"/>
    </row>
    <row r="201" spans="1:6" x14ac:dyDescent="0.55000000000000004">
      <c r="A201"/>
      <c r="B201"/>
      <c r="C201"/>
      <c r="D201"/>
      <c r="E201"/>
      <c r="F201"/>
    </row>
    <row r="202" spans="1:6" x14ac:dyDescent="0.55000000000000004">
      <c r="A202"/>
      <c r="B202"/>
      <c r="C202"/>
      <c r="D202"/>
      <c r="E202"/>
      <c r="F202"/>
    </row>
    <row r="203" spans="1:6" x14ac:dyDescent="0.55000000000000004">
      <c r="A203"/>
      <c r="B203"/>
      <c r="C203"/>
      <c r="D203"/>
      <c r="E203"/>
      <c r="F203"/>
    </row>
    <row r="204" spans="1:6" x14ac:dyDescent="0.55000000000000004">
      <c r="A204"/>
      <c r="B204"/>
      <c r="C204"/>
      <c r="D204"/>
      <c r="E204"/>
      <c r="F204"/>
    </row>
    <row r="205" spans="1:6" x14ac:dyDescent="0.55000000000000004">
      <c r="A205"/>
      <c r="B205"/>
      <c r="C205"/>
      <c r="D205"/>
      <c r="E205"/>
      <c r="F205"/>
    </row>
    <row r="206" spans="1:6" x14ac:dyDescent="0.55000000000000004">
      <c r="A206"/>
      <c r="B206"/>
      <c r="C206"/>
      <c r="D206"/>
      <c r="E206"/>
      <c r="F206"/>
    </row>
    <row r="207" spans="1:6" x14ac:dyDescent="0.55000000000000004">
      <c r="A207"/>
      <c r="B207"/>
      <c r="C207"/>
      <c r="D207"/>
      <c r="E207"/>
      <c r="F207"/>
    </row>
    <row r="208" spans="1:6" x14ac:dyDescent="0.55000000000000004">
      <c r="A208"/>
      <c r="B208"/>
      <c r="C208"/>
      <c r="D208"/>
      <c r="E208"/>
      <c r="F208"/>
    </row>
    <row r="209" spans="1:6" x14ac:dyDescent="0.55000000000000004">
      <c r="A209"/>
      <c r="B209"/>
      <c r="C209"/>
      <c r="D209"/>
      <c r="E209"/>
      <c r="F209"/>
    </row>
    <row r="210" spans="1:6" x14ac:dyDescent="0.55000000000000004">
      <c r="A210"/>
      <c r="B210"/>
      <c r="C210"/>
      <c r="D210"/>
      <c r="E210"/>
      <c r="F210"/>
    </row>
    <row r="211" spans="1:6" x14ac:dyDescent="0.55000000000000004">
      <c r="A211"/>
      <c r="B211"/>
      <c r="C211"/>
      <c r="D211"/>
      <c r="E211"/>
      <c r="F211"/>
    </row>
    <row r="212" spans="1:6" x14ac:dyDescent="0.55000000000000004">
      <c r="A212"/>
      <c r="B212"/>
      <c r="C212"/>
      <c r="D212"/>
      <c r="E212"/>
      <c r="F212"/>
    </row>
    <row r="213" spans="1:6" x14ac:dyDescent="0.55000000000000004">
      <c r="A213"/>
      <c r="B213"/>
      <c r="C213"/>
      <c r="D213"/>
      <c r="E213"/>
      <c r="F213"/>
    </row>
    <row r="214" spans="1:6" x14ac:dyDescent="0.55000000000000004">
      <c r="A214"/>
      <c r="B214"/>
      <c r="C214"/>
      <c r="D214"/>
      <c r="E214"/>
      <c r="F214"/>
    </row>
    <row r="215" spans="1:6" x14ac:dyDescent="0.55000000000000004">
      <c r="A215"/>
      <c r="B215"/>
      <c r="C215"/>
      <c r="D215"/>
      <c r="E215"/>
      <c r="F215"/>
    </row>
    <row r="216" spans="1:6" x14ac:dyDescent="0.55000000000000004">
      <c r="A216"/>
      <c r="B216"/>
      <c r="C216"/>
      <c r="D216"/>
      <c r="E216"/>
      <c r="F216"/>
    </row>
    <row r="217" spans="1:6" x14ac:dyDescent="0.55000000000000004">
      <c r="A217"/>
      <c r="B217"/>
      <c r="C217"/>
      <c r="D217"/>
      <c r="E217"/>
      <c r="F217"/>
    </row>
    <row r="218" spans="1:6" x14ac:dyDescent="0.55000000000000004">
      <c r="A218"/>
      <c r="B218"/>
      <c r="C218"/>
      <c r="D218"/>
      <c r="E218"/>
      <c r="F218"/>
    </row>
    <row r="219" spans="1:6" x14ac:dyDescent="0.55000000000000004">
      <c r="A219"/>
      <c r="B219"/>
      <c r="C219"/>
      <c r="D219"/>
      <c r="E219"/>
      <c r="F219"/>
    </row>
    <row r="220" spans="1:6" x14ac:dyDescent="0.55000000000000004">
      <c r="A220"/>
      <c r="B220"/>
      <c r="C220"/>
      <c r="D220"/>
      <c r="E220"/>
      <c r="F220"/>
    </row>
    <row r="221" spans="1:6" x14ac:dyDescent="0.55000000000000004">
      <c r="A221"/>
      <c r="B221"/>
      <c r="C221"/>
      <c r="D221"/>
      <c r="E221"/>
      <c r="F221"/>
    </row>
    <row r="222" spans="1:6" x14ac:dyDescent="0.55000000000000004">
      <c r="A222"/>
      <c r="B222"/>
      <c r="C222"/>
      <c r="D222"/>
      <c r="E222"/>
      <c r="F222"/>
    </row>
    <row r="223" spans="1:6" x14ac:dyDescent="0.55000000000000004">
      <c r="A223"/>
      <c r="B223"/>
      <c r="C223"/>
      <c r="D223"/>
      <c r="E223"/>
      <c r="F223"/>
    </row>
    <row r="224" spans="1:6" x14ac:dyDescent="0.55000000000000004">
      <c r="A224"/>
      <c r="B224"/>
      <c r="C224"/>
      <c r="D224"/>
      <c r="E224"/>
      <c r="F224"/>
    </row>
    <row r="225" spans="1:6" x14ac:dyDescent="0.55000000000000004">
      <c r="A225"/>
      <c r="B225"/>
      <c r="C225"/>
      <c r="D225"/>
      <c r="E225"/>
      <c r="F225"/>
    </row>
    <row r="226" spans="1:6" x14ac:dyDescent="0.55000000000000004">
      <c r="A226"/>
      <c r="B226"/>
      <c r="C226"/>
      <c r="D226"/>
      <c r="E226"/>
      <c r="F226"/>
    </row>
    <row r="227" spans="1:6" x14ac:dyDescent="0.55000000000000004">
      <c r="A227"/>
      <c r="B227"/>
      <c r="C227"/>
      <c r="D227"/>
      <c r="E227"/>
      <c r="F227"/>
    </row>
    <row r="228" spans="1:6" x14ac:dyDescent="0.55000000000000004">
      <c r="A228"/>
      <c r="B228"/>
      <c r="C228"/>
      <c r="D228"/>
      <c r="E228"/>
      <c r="F228"/>
    </row>
    <row r="229" spans="1:6" x14ac:dyDescent="0.55000000000000004">
      <c r="A229"/>
      <c r="B229"/>
      <c r="C229"/>
      <c r="D229"/>
      <c r="E229"/>
      <c r="F229"/>
    </row>
    <row r="230" spans="1:6" x14ac:dyDescent="0.55000000000000004">
      <c r="A230"/>
      <c r="B230"/>
      <c r="C230"/>
      <c r="D230"/>
      <c r="E230"/>
      <c r="F230"/>
    </row>
    <row r="231" spans="1:6" x14ac:dyDescent="0.55000000000000004">
      <c r="A231"/>
      <c r="B231"/>
      <c r="C231"/>
      <c r="D231"/>
      <c r="E231"/>
      <c r="F231"/>
    </row>
    <row r="232" spans="1:6" x14ac:dyDescent="0.55000000000000004">
      <c r="A232"/>
      <c r="B232"/>
      <c r="C232"/>
      <c r="D232"/>
      <c r="E232"/>
      <c r="F232"/>
    </row>
    <row r="233" spans="1:6" x14ac:dyDescent="0.55000000000000004">
      <c r="A233"/>
      <c r="B233"/>
      <c r="C233"/>
      <c r="D233"/>
      <c r="E233"/>
      <c r="F233"/>
    </row>
    <row r="234" spans="1:6" x14ac:dyDescent="0.55000000000000004">
      <c r="A234"/>
      <c r="B234"/>
      <c r="C234"/>
      <c r="D234"/>
      <c r="E234"/>
      <c r="F234"/>
    </row>
    <row r="235" spans="1:6" x14ac:dyDescent="0.55000000000000004">
      <c r="A235"/>
      <c r="B235"/>
      <c r="C235"/>
      <c r="D235"/>
      <c r="E235"/>
      <c r="F235"/>
    </row>
    <row r="236" spans="1:6" x14ac:dyDescent="0.55000000000000004">
      <c r="A236"/>
      <c r="B236"/>
      <c r="C236"/>
      <c r="D236"/>
      <c r="E236"/>
      <c r="F236"/>
    </row>
    <row r="237" spans="1:6" x14ac:dyDescent="0.55000000000000004">
      <c r="A237"/>
      <c r="B237"/>
      <c r="C237"/>
      <c r="D237"/>
      <c r="E237"/>
      <c r="F237"/>
    </row>
    <row r="238" spans="1:6" x14ac:dyDescent="0.55000000000000004">
      <c r="A238"/>
      <c r="B238"/>
      <c r="C238"/>
      <c r="D238"/>
      <c r="E238"/>
      <c r="F238"/>
    </row>
    <row r="239" spans="1:6" x14ac:dyDescent="0.55000000000000004">
      <c r="A239"/>
      <c r="B239"/>
      <c r="C239"/>
      <c r="D239"/>
      <c r="E239"/>
      <c r="F239"/>
    </row>
    <row r="240" spans="1:6" x14ac:dyDescent="0.55000000000000004">
      <c r="A240"/>
      <c r="B240"/>
      <c r="C240"/>
      <c r="D240"/>
      <c r="E240"/>
      <c r="F240"/>
    </row>
    <row r="241" spans="1:6" x14ac:dyDescent="0.55000000000000004">
      <c r="A241"/>
      <c r="B241"/>
      <c r="C241"/>
      <c r="D241"/>
      <c r="E241"/>
      <c r="F241"/>
    </row>
    <row r="242" spans="1:6" x14ac:dyDescent="0.55000000000000004">
      <c r="A242"/>
      <c r="B242"/>
      <c r="C242"/>
      <c r="D242"/>
      <c r="E242"/>
      <c r="F242"/>
    </row>
    <row r="243" spans="1:6" x14ac:dyDescent="0.55000000000000004">
      <c r="A243"/>
      <c r="B243"/>
      <c r="C243"/>
      <c r="D243"/>
      <c r="E243"/>
      <c r="F243"/>
    </row>
    <row r="244" spans="1:6" x14ac:dyDescent="0.55000000000000004">
      <c r="A244"/>
      <c r="B244"/>
      <c r="C244"/>
      <c r="D244"/>
      <c r="E244"/>
      <c r="F244"/>
    </row>
    <row r="245" spans="1:6" x14ac:dyDescent="0.55000000000000004">
      <c r="A245"/>
      <c r="B245"/>
      <c r="C245"/>
      <c r="D245"/>
      <c r="E245"/>
      <c r="F245"/>
    </row>
    <row r="246" spans="1:6" x14ac:dyDescent="0.55000000000000004">
      <c r="A246"/>
      <c r="B246"/>
      <c r="C246"/>
      <c r="D246"/>
      <c r="E246"/>
      <c r="F246"/>
    </row>
    <row r="247" spans="1:6" x14ac:dyDescent="0.55000000000000004">
      <c r="A247"/>
      <c r="B247"/>
      <c r="C247"/>
      <c r="D247"/>
      <c r="E247"/>
      <c r="F247"/>
    </row>
    <row r="248" spans="1:6" x14ac:dyDescent="0.55000000000000004">
      <c r="A248"/>
      <c r="B248"/>
      <c r="C248"/>
      <c r="D248"/>
      <c r="E248"/>
      <c r="F248"/>
    </row>
    <row r="249" spans="1:6" x14ac:dyDescent="0.55000000000000004">
      <c r="A249"/>
      <c r="B249"/>
      <c r="C249"/>
      <c r="D249"/>
      <c r="E249"/>
      <c r="F249"/>
    </row>
    <row r="250" spans="1:6" x14ac:dyDescent="0.55000000000000004">
      <c r="A250"/>
      <c r="B250"/>
      <c r="C250"/>
      <c r="D250"/>
      <c r="E250"/>
      <c r="F250"/>
    </row>
    <row r="251" spans="1:6" x14ac:dyDescent="0.55000000000000004">
      <c r="A251"/>
      <c r="B251"/>
      <c r="C251"/>
      <c r="D251"/>
      <c r="E251"/>
      <c r="F251"/>
    </row>
    <row r="252" spans="1:6" x14ac:dyDescent="0.55000000000000004">
      <c r="A252"/>
      <c r="B252"/>
      <c r="C252"/>
      <c r="D252"/>
      <c r="E252"/>
      <c r="F252"/>
    </row>
    <row r="253" spans="1:6" x14ac:dyDescent="0.55000000000000004">
      <c r="A253"/>
      <c r="B253"/>
      <c r="C253"/>
      <c r="D253"/>
      <c r="E253"/>
      <c r="F253"/>
    </row>
    <row r="254" spans="1:6" x14ac:dyDescent="0.55000000000000004">
      <c r="A254"/>
      <c r="B254"/>
      <c r="C254"/>
      <c r="D254"/>
      <c r="E254"/>
      <c r="F254"/>
    </row>
    <row r="255" spans="1:6" x14ac:dyDescent="0.55000000000000004">
      <c r="A255"/>
      <c r="B255"/>
      <c r="C255"/>
      <c r="D255"/>
      <c r="E255"/>
      <c r="F255"/>
    </row>
    <row r="256" spans="1:6" x14ac:dyDescent="0.55000000000000004">
      <c r="A256"/>
      <c r="B256"/>
      <c r="C256"/>
      <c r="D256"/>
      <c r="E256"/>
      <c r="F256"/>
    </row>
    <row r="257" spans="1:6" x14ac:dyDescent="0.55000000000000004">
      <c r="A257"/>
      <c r="B257"/>
      <c r="C257"/>
      <c r="D257"/>
      <c r="E257"/>
      <c r="F257"/>
    </row>
    <row r="258" spans="1:6" x14ac:dyDescent="0.55000000000000004">
      <c r="A258"/>
      <c r="B258"/>
      <c r="C258"/>
      <c r="D258"/>
      <c r="E258"/>
      <c r="F258"/>
    </row>
    <row r="259" spans="1:6" x14ac:dyDescent="0.55000000000000004">
      <c r="A259"/>
      <c r="B259"/>
      <c r="C259"/>
      <c r="D259"/>
      <c r="E259"/>
      <c r="F259"/>
    </row>
    <row r="260" spans="1:6" x14ac:dyDescent="0.55000000000000004">
      <c r="A260"/>
      <c r="B260"/>
      <c r="C260"/>
      <c r="D260"/>
      <c r="E260"/>
      <c r="F260"/>
    </row>
    <row r="261" spans="1:6" x14ac:dyDescent="0.55000000000000004">
      <c r="A261"/>
      <c r="B261"/>
      <c r="C261"/>
      <c r="D261"/>
      <c r="E261"/>
      <c r="F261"/>
    </row>
    <row r="262" spans="1:6" x14ac:dyDescent="0.55000000000000004">
      <c r="A262"/>
      <c r="B262"/>
      <c r="C262"/>
      <c r="D262"/>
      <c r="E262"/>
      <c r="F262"/>
    </row>
    <row r="263" spans="1:6" x14ac:dyDescent="0.55000000000000004">
      <c r="A263"/>
      <c r="B263"/>
      <c r="C263"/>
      <c r="D263"/>
      <c r="E263"/>
      <c r="F263"/>
    </row>
    <row r="264" spans="1:6" x14ac:dyDescent="0.55000000000000004">
      <c r="A264"/>
      <c r="B264"/>
      <c r="C264"/>
      <c r="D264"/>
      <c r="E264"/>
      <c r="F264"/>
    </row>
    <row r="265" spans="1:6" x14ac:dyDescent="0.55000000000000004">
      <c r="A265"/>
      <c r="B265"/>
      <c r="C265"/>
      <c r="D265"/>
      <c r="E265"/>
      <c r="F265"/>
    </row>
    <row r="266" spans="1:6" x14ac:dyDescent="0.55000000000000004">
      <c r="A266"/>
      <c r="B266"/>
      <c r="C266"/>
      <c r="D266"/>
      <c r="E266"/>
      <c r="F266"/>
    </row>
    <row r="267" spans="1:6" x14ac:dyDescent="0.55000000000000004">
      <c r="A267"/>
      <c r="B267"/>
      <c r="C267"/>
      <c r="D267"/>
      <c r="E267"/>
      <c r="F267"/>
    </row>
    <row r="268" spans="1:6" x14ac:dyDescent="0.55000000000000004">
      <c r="A268"/>
      <c r="B268"/>
      <c r="C268"/>
      <c r="D268"/>
      <c r="E268"/>
      <c r="F268"/>
    </row>
    <row r="269" spans="1:6" x14ac:dyDescent="0.55000000000000004">
      <c r="A269"/>
      <c r="B269"/>
      <c r="C269"/>
      <c r="D269"/>
      <c r="E269"/>
      <c r="F269"/>
    </row>
    <row r="270" spans="1:6" x14ac:dyDescent="0.55000000000000004">
      <c r="A270"/>
      <c r="B270"/>
      <c r="C270"/>
      <c r="D270"/>
      <c r="E270"/>
      <c r="F270"/>
    </row>
    <row r="271" spans="1:6" x14ac:dyDescent="0.55000000000000004">
      <c r="A271"/>
      <c r="B271"/>
      <c r="C271"/>
      <c r="D271"/>
      <c r="E271"/>
      <c r="F271"/>
    </row>
    <row r="272" spans="1:6" x14ac:dyDescent="0.55000000000000004">
      <c r="A272"/>
      <c r="B272"/>
      <c r="C272"/>
      <c r="D272"/>
      <c r="E272"/>
      <c r="F272"/>
    </row>
    <row r="273" spans="1:6" x14ac:dyDescent="0.55000000000000004">
      <c r="A273"/>
      <c r="B273"/>
      <c r="C273"/>
      <c r="D273"/>
      <c r="E273"/>
      <c r="F273"/>
    </row>
    <row r="274" spans="1:6" x14ac:dyDescent="0.55000000000000004">
      <c r="A274"/>
      <c r="B274"/>
      <c r="C274"/>
      <c r="D274"/>
      <c r="E274"/>
      <c r="F274"/>
    </row>
    <row r="275" spans="1:6" x14ac:dyDescent="0.55000000000000004">
      <c r="A275"/>
      <c r="B275"/>
      <c r="C275"/>
      <c r="D275"/>
      <c r="E275"/>
      <c r="F275"/>
    </row>
    <row r="276" spans="1:6" x14ac:dyDescent="0.55000000000000004">
      <c r="A276"/>
      <c r="B276"/>
      <c r="C276"/>
      <c r="D276"/>
      <c r="E276"/>
      <c r="F276"/>
    </row>
    <row r="277" spans="1:6" x14ac:dyDescent="0.55000000000000004">
      <c r="A277"/>
      <c r="B277"/>
      <c r="C277"/>
      <c r="D277"/>
      <c r="E277"/>
      <c r="F277"/>
    </row>
    <row r="278" spans="1:6" x14ac:dyDescent="0.55000000000000004">
      <c r="A278"/>
      <c r="B278"/>
      <c r="C278"/>
      <c r="D278"/>
      <c r="E278"/>
      <c r="F278"/>
    </row>
    <row r="279" spans="1:6" x14ac:dyDescent="0.55000000000000004">
      <c r="A279"/>
      <c r="B279"/>
      <c r="C279"/>
      <c r="D279"/>
      <c r="E279"/>
      <c r="F279"/>
    </row>
    <row r="280" spans="1:6" x14ac:dyDescent="0.55000000000000004">
      <c r="A280"/>
      <c r="B280"/>
      <c r="C280"/>
      <c r="D280"/>
      <c r="E280"/>
      <c r="F280"/>
    </row>
    <row r="281" spans="1:6" x14ac:dyDescent="0.55000000000000004">
      <c r="A281"/>
      <c r="B281"/>
      <c r="C281"/>
      <c r="D281"/>
      <c r="E281"/>
      <c r="F281"/>
    </row>
    <row r="282" spans="1:6" x14ac:dyDescent="0.55000000000000004">
      <c r="A282"/>
      <c r="B282"/>
      <c r="C282"/>
      <c r="D282"/>
      <c r="E282"/>
      <c r="F282"/>
    </row>
    <row r="283" spans="1:6" x14ac:dyDescent="0.55000000000000004">
      <c r="A283"/>
      <c r="B283"/>
      <c r="C283"/>
      <c r="D283"/>
      <c r="E283"/>
      <c r="F283"/>
    </row>
    <row r="284" spans="1:6" x14ac:dyDescent="0.55000000000000004">
      <c r="A284"/>
      <c r="B284"/>
      <c r="C284"/>
      <c r="D284"/>
      <c r="E284"/>
      <c r="F284"/>
    </row>
    <row r="285" spans="1:6" x14ac:dyDescent="0.55000000000000004">
      <c r="A285"/>
      <c r="B285"/>
      <c r="C285"/>
      <c r="D285"/>
      <c r="E285"/>
      <c r="F285"/>
    </row>
    <row r="286" spans="1:6" x14ac:dyDescent="0.55000000000000004">
      <c r="A286"/>
      <c r="B286"/>
      <c r="C286"/>
      <c r="D286"/>
      <c r="E286"/>
      <c r="F286"/>
    </row>
    <row r="287" spans="1:6" x14ac:dyDescent="0.55000000000000004">
      <c r="A287"/>
      <c r="B287"/>
      <c r="C287"/>
      <c r="D287"/>
      <c r="E287"/>
      <c r="F287"/>
    </row>
    <row r="288" spans="1:6" x14ac:dyDescent="0.55000000000000004">
      <c r="A288"/>
      <c r="B288"/>
      <c r="C288"/>
      <c r="D288"/>
      <c r="E288"/>
      <c r="F288"/>
    </row>
    <row r="289" spans="1:6" x14ac:dyDescent="0.55000000000000004">
      <c r="A289"/>
      <c r="B289"/>
      <c r="C289"/>
      <c r="D289"/>
      <c r="E289"/>
      <c r="F289"/>
    </row>
    <row r="290" spans="1:6" x14ac:dyDescent="0.55000000000000004">
      <c r="A290"/>
      <c r="B290"/>
      <c r="C290"/>
      <c r="D290"/>
      <c r="E290"/>
      <c r="F290"/>
    </row>
    <row r="291" spans="1:6" x14ac:dyDescent="0.55000000000000004">
      <c r="A291"/>
      <c r="B291"/>
      <c r="C291"/>
      <c r="D291"/>
      <c r="E291"/>
      <c r="F291"/>
    </row>
    <row r="292" spans="1:6" x14ac:dyDescent="0.55000000000000004">
      <c r="A292"/>
      <c r="B292"/>
      <c r="C292"/>
      <c r="D292"/>
      <c r="E292"/>
      <c r="F292"/>
    </row>
    <row r="293" spans="1:6" x14ac:dyDescent="0.55000000000000004">
      <c r="A293"/>
      <c r="B293"/>
      <c r="C293"/>
      <c r="D293"/>
      <c r="E293"/>
      <c r="F293"/>
    </row>
    <row r="294" spans="1:6" x14ac:dyDescent="0.55000000000000004">
      <c r="A294"/>
      <c r="B294"/>
      <c r="C294"/>
      <c r="D294"/>
      <c r="E294"/>
      <c r="F294"/>
    </row>
    <row r="295" spans="1:6" x14ac:dyDescent="0.55000000000000004">
      <c r="A295"/>
      <c r="B295"/>
      <c r="C295"/>
      <c r="D295"/>
      <c r="E295"/>
      <c r="F295"/>
    </row>
    <row r="296" spans="1:6" x14ac:dyDescent="0.55000000000000004">
      <c r="A296"/>
      <c r="B296"/>
      <c r="C296"/>
      <c r="D296"/>
      <c r="E296"/>
      <c r="F296"/>
    </row>
    <row r="297" spans="1:6" x14ac:dyDescent="0.55000000000000004">
      <c r="A297"/>
      <c r="B297"/>
      <c r="C297"/>
      <c r="D297"/>
      <c r="E297"/>
      <c r="F297"/>
    </row>
    <row r="298" spans="1:6" x14ac:dyDescent="0.55000000000000004">
      <c r="A298"/>
      <c r="B298"/>
      <c r="C298"/>
      <c r="D298"/>
      <c r="E298"/>
      <c r="F298"/>
    </row>
    <row r="299" spans="1:6" x14ac:dyDescent="0.55000000000000004">
      <c r="A299"/>
      <c r="B299"/>
      <c r="C299"/>
      <c r="D299"/>
      <c r="E299"/>
      <c r="F299"/>
    </row>
    <row r="300" spans="1:6" x14ac:dyDescent="0.55000000000000004">
      <c r="A300"/>
      <c r="B300"/>
      <c r="C300"/>
      <c r="D300"/>
      <c r="E300"/>
      <c r="F300"/>
    </row>
    <row r="301" spans="1:6" x14ac:dyDescent="0.55000000000000004">
      <c r="A301"/>
      <c r="B301"/>
      <c r="C301"/>
      <c r="D301"/>
      <c r="E301"/>
      <c r="F301"/>
    </row>
    <row r="302" spans="1:6" x14ac:dyDescent="0.55000000000000004">
      <c r="A302"/>
      <c r="B302"/>
      <c r="C302"/>
      <c r="D302"/>
      <c r="E302"/>
      <c r="F302"/>
    </row>
    <row r="303" spans="1:6" x14ac:dyDescent="0.55000000000000004">
      <c r="A303"/>
      <c r="B303"/>
      <c r="C303"/>
      <c r="D303"/>
      <c r="E303"/>
      <c r="F303"/>
    </row>
    <row r="304" spans="1:6" x14ac:dyDescent="0.55000000000000004">
      <c r="A304"/>
      <c r="B304"/>
      <c r="C304"/>
      <c r="D304"/>
      <c r="E304"/>
      <c r="F304"/>
    </row>
    <row r="305" spans="1:6" x14ac:dyDescent="0.55000000000000004">
      <c r="A305"/>
      <c r="B305"/>
      <c r="C305"/>
      <c r="D305"/>
      <c r="E305"/>
      <c r="F305"/>
    </row>
    <row r="306" spans="1:6" x14ac:dyDescent="0.55000000000000004">
      <c r="A306"/>
      <c r="B306"/>
      <c r="C306"/>
      <c r="D306"/>
      <c r="E306"/>
      <c r="F306"/>
    </row>
    <row r="307" spans="1:6" x14ac:dyDescent="0.55000000000000004">
      <c r="A307"/>
      <c r="B307"/>
      <c r="C307"/>
      <c r="D307"/>
      <c r="E307"/>
      <c r="F307"/>
    </row>
    <row r="308" spans="1:6" x14ac:dyDescent="0.55000000000000004">
      <c r="A308"/>
      <c r="B308"/>
      <c r="C308"/>
      <c r="D308"/>
      <c r="E308"/>
      <c r="F308"/>
    </row>
    <row r="309" spans="1:6" x14ac:dyDescent="0.55000000000000004">
      <c r="A309"/>
      <c r="B309"/>
      <c r="C309"/>
      <c r="D309"/>
      <c r="E309"/>
      <c r="F309"/>
    </row>
    <row r="310" spans="1:6" x14ac:dyDescent="0.55000000000000004">
      <c r="A310"/>
      <c r="B310"/>
      <c r="C310"/>
      <c r="D310"/>
      <c r="E310"/>
      <c r="F310"/>
    </row>
    <row r="311" spans="1:6" x14ac:dyDescent="0.55000000000000004">
      <c r="A311"/>
      <c r="B311"/>
      <c r="C311"/>
      <c r="D311"/>
      <c r="E311"/>
      <c r="F311"/>
    </row>
    <row r="312" spans="1:6" x14ac:dyDescent="0.55000000000000004">
      <c r="A312"/>
      <c r="B312"/>
      <c r="C312"/>
      <c r="D312"/>
      <c r="E312"/>
      <c r="F312"/>
    </row>
    <row r="313" spans="1:6" x14ac:dyDescent="0.55000000000000004">
      <c r="A313"/>
      <c r="B313"/>
      <c r="C313"/>
      <c r="D313"/>
      <c r="E313"/>
      <c r="F313"/>
    </row>
    <row r="314" spans="1:6" x14ac:dyDescent="0.55000000000000004">
      <c r="A314"/>
      <c r="B314"/>
      <c r="C314"/>
      <c r="D314"/>
      <c r="E314"/>
      <c r="F314"/>
    </row>
    <row r="315" spans="1:6" x14ac:dyDescent="0.55000000000000004">
      <c r="A315"/>
      <c r="B315"/>
      <c r="C315"/>
      <c r="D315"/>
      <c r="E315"/>
      <c r="F315"/>
    </row>
    <row r="316" spans="1:6" x14ac:dyDescent="0.55000000000000004">
      <c r="A316"/>
      <c r="B316"/>
      <c r="C316"/>
      <c r="D316"/>
      <c r="E316"/>
      <c r="F316"/>
    </row>
    <row r="317" spans="1:6" x14ac:dyDescent="0.55000000000000004">
      <c r="A317"/>
      <c r="B317"/>
      <c r="C317"/>
      <c r="D317"/>
      <c r="E317"/>
      <c r="F317"/>
    </row>
    <row r="318" spans="1:6" x14ac:dyDescent="0.55000000000000004">
      <c r="A318"/>
      <c r="B318"/>
      <c r="C318"/>
      <c r="D318"/>
      <c r="E318"/>
      <c r="F318"/>
    </row>
    <row r="319" spans="1:6" x14ac:dyDescent="0.55000000000000004">
      <c r="A319"/>
      <c r="B319"/>
      <c r="C319"/>
      <c r="D319"/>
      <c r="E319"/>
      <c r="F319"/>
    </row>
    <row r="320" spans="1:6" x14ac:dyDescent="0.55000000000000004">
      <c r="A320"/>
      <c r="B320"/>
      <c r="C320"/>
      <c r="D320"/>
      <c r="E320"/>
      <c r="F320"/>
    </row>
    <row r="321" spans="1:6" x14ac:dyDescent="0.55000000000000004">
      <c r="A321"/>
      <c r="B321"/>
      <c r="C321"/>
      <c r="D321"/>
      <c r="E321"/>
      <c r="F321"/>
    </row>
    <row r="322" spans="1:6" x14ac:dyDescent="0.55000000000000004">
      <c r="A322"/>
      <c r="B322"/>
      <c r="C322"/>
      <c r="D322"/>
      <c r="E322"/>
      <c r="F322"/>
    </row>
    <row r="323" spans="1:6" x14ac:dyDescent="0.55000000000000004">
      <c r="A323"/>
      <c r="B323"/>
      <c r="C323"/>
      <c r="D323"/>
      <c r="E323"/>
      <c r="F323"/>
    </row>
    <row r="324" spans="1:6" x14ac:dyDescent="0.55000000000000004">
      <c r="A324"/>
      <c r="B324"/>
      <c r="C324"/>
      <c r="D324"/>
      <c r="E324"/>
      <c r="F324"/>
    </row>
    <row r="325" spans="1:6" x14ac:dyDescent="0.55000000000000004">
      <c r="A325"/>
      <c r="B325"/>
      <c r="C325"/>
      <c r="D325"/>
      <c r="E325"/>
      <c r="F325"/>
    </row>
    <row r="326" spans="1:6" x14ac:dyDescent="0.55000000000000004">
      <c r="A326"/>
      <c r="B326"/>
      <c r="C326"/>
      <c r="D326"/>
      <c r="E326"/>
      <c r="F326"/>
    </row>
    <row r="327" spans="1:6" x14ac:dyDescent="0.55000000000000004">
      <c r="A327"/>
      <c r="B327"/>
      <c r="C327"/>
      <c r="D327"/>
      <c r="E327"/>
      <c r="F327"/>
    </row>
    <row r="328" spans="1:6" x14ac:dyDescent="0.55000000000000004">
      <c r="A328"/>
      <c r="B328"/>
      <c r="C328"/>
      <c r="D328"/>
      <c r="E328"/>
      <c r="F328"/>
    </row>
    <row r="329" spans="1:6" x14ac:dyDescent="0.55000000000000004">
      <c r="A329"/>
      <c r="B329"/>
      <c r="C329"/>
      <c r="D329"/>
      <c r="E329"/>
      <c r="F329"/>
    </row>
    <row r="330" spans="1:6" x14ac:dyDescent="0.55000000000000004">
      <c r="A330"/>
      <c r="B330"/>
      <c r="C330"/>
      <c r="D330"/>
      <c r="E330"/>
      <c r="F330"/>
    </row>
    <row r="331" spans="1:6" x14ac:dyDescent="0.55000000000000004">
      <c r="A331"/>
      <c r="B331"/>
      <c r="C331"/>
      <c r="D331"/>
      <c r="E331"/>
      <c r="F331"/>
    </row>
    <row r="332" spans="1:6" x14ac:dyDescent="0.55000000000000004">
      <c r="A332"/>
      <c r="B332"/>
      <c r="C332"/>
      <c r="D332"/>
      <c r="E332"/>
      <c r="F332"/>
    </row>
    <row r="333" spans="1:6" x14ac:dyDescent="0.55000000000000004">
      <c r="A333"/>
      <c r="B333"/>
      <c r="C333"/>
      <c r="D333"/>
      <c r="E333"/>
      <c r="F333"/>
    </row>
    <row r="334" spans="1:6" x14ac:dyDescent="0.55000000000000004">
      <c r="A334"/>
      <c r="B334"/>
      <c r="C334"/>
      <c r="D334"/>
      <c r="E334"/>
      <c r="F334"/>
    </row>
    <row r="335" spans="1:6" x14ac:dyDescent="0.55000000000000004">
      <c r="A335"/>
      <c r="B335"/>
      <c r="C335"/>
      <c r="D335"/>
      <c r="E335"/>
      <c r="F335"/>
    </row>
    <row r="336" spans="1:6" x14ac:dyDescent="0.55000000000000004">
      <c r="A336"/>
      <c r="B336"/>
      <c r="C336"/>
      <c r="D336"/>
      <c r="E336"/>
      <c r="F336"/>
    </row>
    <row r="337" spans="1:6" x14ac:dyDescent="0.55000000000000004">
      <c r="A337"/>
      <c r="B337"/>
      <c r="C337"/>
      <c r="D337"/>
      <c r="E337"/>
      <c r="F337"/>
    </row>
    <row r="338" spans="1:6" x14ac:dyDescent="0.55000000000000004">
      <c r="A338"/>
      <c r="B338"/>
      <c r="C338"/>
      <c r="D338"/>
      <c r="E338"/>
      <c r="F338"/>
    </row>
    <row r="339" spans="1:6" x14ac:dyDescent="0.55000000000000004">
      <c r="A339"/>
      <c r="B339"/>
      <c r="C339"/>
      <c r="D339"/>
      <c r="E339"/>
      <c r="F339"/>
    </row>
    <row r="340" spans="1:6" x14ac:dyDescent="0.55000000000000004">
      <c r="A340"/>
      <c r="B340"/>
      <c r="C340"/>
      <c r="D340"/>
      <c r="E340"/>
      <c r="F340"/>
    </row>
    <row r="341" spans="1:6" x14ac:dyDescent="0.55000000000000004">
      <c r="A341"/>
      <c r="B341"/>
      <c r="C341"/>
      <c r="D341"/>
      <c r="E341"/>
      <c r="F341"/>
    </row>
    <row r="342" spans="1:6" x14ac:dyDescent="0.55000000000000004">
      <c r="A342"/>
      <c r="B342"/>
      <c r="C342"/>
      <c r="D342"/>
      <c r="E342"/>
      <c r="F342"/>
    </row>
    <row r="343" spans="1:6" x14ac:dyDescent="0.55000000000000004">
      <c r="A343"/>
      <c r="B343"/>
      <c r="C343"/>
      <c r="D343"/>
      <c r="E343"/>
      <c r="F343"/>
    </row>
    <row r="344" spans="1:6" x14ac:dyDescent="0.55000000000000004">
      <c r="A344"/>
      <c r="B344"/>
      <c r="C344"/>
      <c r="D344"/>
      <c r="E344"/>
      <c r="F344"/>
    </row>
    <row r="345" spans="1:6" x14ac:dyDescent="0.55000000000000004">
      <c r="A345"/>
      <c r="B345"/>
      <c r="C345"/>
      <c r="D345"/>
      <c r="E345"/>
      <c r="F345"/>
    </row>
    <row r="346" spans="1:6" x14ac:dyDescent="0.55000000000000004">
      <c r="A346"/>
      <c r="B346"/>
      <c r="C346"/>
      <c r="D346"/>
      <c r="E346"/>
      <c r="F346"/>
    </row>
    <row r="347" spans="1:6" x14ac:dyDescent="0.55000000000000004">
      <c r="A347"/>
      <c r="B347"/>
      <c r="C347"/>
      <c r="D347"/>
      <c r="E347"/>
      <c r="F347"/>
    </row>
    <row r="348" spans="1:6" x14ac:dyDescent="0.55000000000000004">
      <c r="A348"/>
      <c r="B348"/>
      <c r="C348"/>
      <c r="D348"/>
      <c r="E348"/>
      <c r="F348"/>
    </row>
    <row r="349" spans="1:6" x14ac:dyDescent="0.55000000000000004">
      <c r="A349"/>
      <c r="B349"/>
      <c r="C349"/>
      <c r="D349"/>
      <c r="E349"/>
      <c r="F349"/>
    </row>
    <row r="350" spans="1:6" x14ac:dyDescent="0.55000000000000004">
      <c r="A350"/>
      <c r="B350"/>
      <c r="C350"/>
      <c r="D350"/>
      <c r="E350"/>
      <c r="F350"/>
    </row>
    <row r="351" spans="1:6" x14ac:dyDescent="0.55000000000000004">
      <c r="A351"/>
      <c r="B351"/>
      <c r="C351"/>
      <c r="D351"/>
      <c r="E351"/>
      <c r="F351"/>
    </row>
    <row r="352" spans="1:6" x14ac:dyDescent="0.55000000000000004">
      <c r="A352"/>
      <c r="B352"/>
      <c r="C352"/>
      <c r="D352"/>
      <c r="E352"/>
      <c r="F352"/>
    </row>
    <row r="353" spans="1:6" x14ac:dyDescent="0.55000000000000004">
      <c r="A353"/>
      <c r="B353"/>
      <c r="C353"/>
      <c r="D353"/>
      <c r="E353"/>
      <c r="F353"/>
    </row>
    <row r="354" spans="1:6" x14ac:dyDescent="0.55000000000000004">
      <c r="A354"/>
      <c r="B354"/>
      <c r="C354"/>
      <c r="D354"/>
      <c r="E354"/>
      <c r="F354"/>
    </row>
    <row r="355" spans="1:6" x14ac:dyDescent="0.55000000000000004">
      <c r="A355"/>
      <c r="B355"/>
      <c r="C355"/>
      <c r="D355"/>
      <c r="E355"/>
      <c r="F355"/>
    </row>
    <row r="356" spans="1:6" x14ac:dyDescent="0.55000000000000004">
      <c r="A356"/>
      <c r="B356"/>
      <c r="C356"/>
      <c r="D356"/>
      <c r="E356"/>
      <c r="F356"/>
    </row>
    <row r="357" spans="1:6" x14ac:dyDescent="0.55000000000000004">
      <c r="A357"/>
      <c r="B357"/>
      <c r="C357"/>
      <c r="D357"/>
      <c r="E357"/>
      <c r="F357"/>
    </row>
    <row r="358" spans="1:6" x14ac:dyDescent="0.55000000000000004">
      <c r="A358"/>
      <c r="B358"/>
      <c r="C358"/>
      <c r="D358"/>
      <c r="E358"/>
      <c r="F358"/>
    </row>
    <row r="359" spans="1:6" x14ac:dyDescent="0.55000000000000004">
      <c r="A359"/>
      <c r="B359"/>
      <c r="C359"/>
      <c r="D359"/>
      <c r="E359"/>
      <c r="F359"/>
    </row>
    <row r="360" spans="1:6" x14ac:dyDescent="0.55000000000000004">
      <c r="A360"/>
      <c r="B360"/>
      <c r="C360"/>
      <c r="D360"/>
      <c r="E360"/>
      <c r="F360"/>
    </row>
    <row r="361" spans="1:6" x14ac:dyDescent="0.55000000000000004">
      <c r="A361"/>
      <c r="B361"/>
      <c r="C361"/>
      <c r="D361"/>
      <c r="E361"/>
      <c r="F361"/>
    </row>
    <row r="362" spans="1:6" x14ac:dyDescent="0.55000000000000004">
      <c r="A362"/>
      <c r="B362"/>
      <c r="C362"/>
      <c r="D362"/>
      <c r="E362"/>
      <c r="F362"/>
    </row>
    <row r="363" spans="1:6" x14ac:dyDescent="0.55000000000000004">
      <c r="A363"/>
      <c r="B363"/>
      <c r="C363"/>
      <c r="D363"/>
      <c r="E363"/>
      <c r="F363"/>
    </row>
    <row r="364" spans="1:6" x14ac:dyDescent="0.55000000000000004">
      <c r="A364"/>
      <c r="B364"/>
      <c r="C364"/>
      <c r="D364"/>
      <c r="E364"/>
      <c r="F364"/>
    </row>
    <row r="365" spans="1:6" x14ac:dyDescent="0.55000000000000004">
      <c r="A365"/>
      <c r="B365"/>
      <c r="C365"/>
      <c r="D365"/>
      <c r="E365"/>
      <c r="F365"/>
    </row>
    <row r="366" spans="1:6" x14ac:dyDescent="0.55000000000000004">
      <c r="A366"/>
      <c r="B366"/>
      <c r="C366"/>
      <c r="D366"/>
      <c r="E366"/>
      <c r="F366"/>
    </row>
    <row r="367" spans="1:6" x14ac:dyDescent="0.55000000000000004">
      <c r="A367"/>
      <c r="B367"/>
      <c r="C367"/>
      <c r="D367"/>
      <c r="E367"/>
      <c r="F367"/>
    </row>
    <row r="368" spans="1:6" x14ac:dyDescent="0.55000000000000004">
      <c r="A368"/>
      <c r="B368"/>
      <c r="C368"/>
      <c r="D368"/>
      <c r="E368"/>
      <c r="F368"/>
    </row>
    <row r="369" spans="1:6" x14ac:dyDescent="0.55000000000000004">
      <c r="A369"/>
      <c r="B369"/>
      <c r="C369"/>
      <c r="D369"/>
      <c r="E369"/>
      <c r="F369"/>
    </row>
    <row r="370" spans="1:6" x14ac:dyDescent="0.55000000000000004">
      <c r="A370"/>
      <c r="B370"/>
      <c r="C370"/>
      <c r="D370"/>
      <c r="E370"/>
      <c r="F370"/>
    </row>
    <row r="371" spans="1:6" x14ac:dyDescent="0.55000000000000004">
      <c r="A371"/>
      <c r="B371"/>
      <c r="C371"/>
      <c r="D371"/>
      <c r="E371"/>
      <c r="F371"/>
    </row>
    <row r="372" spans="1:6" x14ac:dyDescent="0.55000000000000004">
      <c r="A372"/>
      <c r="B372"/>
      <c r="C372"/>
      <c r="D372"/>
      <c r="E372"/>
      <c r="F372"/>
    </row>
    <row r="373" spans="1:6" x14ac:dyDescent="0.55000000000000004">
      <c r="A373"/>
      <c r="B373"/>
      <c r="C373"/>
      <c r="D373"/>
      <c r="E373"/>
      <c r="F373"/>
    </row>
    <row r="374" spans="1:6" x14ac:dyDescent="0.55000000000000004">
      <c r="A374"/>
      <c r="B374"/>
      <c r="C374"/>
      <c r="D374"/>
      <c r="E374"/>
      <c r="F374"/>
    </row>
    <row r="375" spans="1:6" x14ac:dyDescent="0.55000000000000004">
      <c r="A375"/>
      <c r="B375"/>
      <c r="C375"/>
      <c r="D375"/>
      <c r="E375"/>
      <c r="F375"/>
    </row>
    <row r="376" spans="1:6" x14ac:dyDescent="0.55000000000000004">
      <c r="A376"/>
      <c r="B376"/>
      <c r="C376"/>
      <c r="D376"/>
      <c r="E376"/>
      <c r="F376"/>
    </row>
    <row r="377" spans="1:6" x14ac:dyDescent="0.55000000000000004">
      <c r="A377"/>
      <c r="B377"/>
      <c r="C377"/>
      <c r="D377"/>
      <c r="E377"/>
      <c r="F377"/>
    </row>
    <row r="378" spans="1:6" x14ac:dyDescent="0.55000000000000004">
      <c r="A378"/>
      <c r="B378"/>
      <c r="C378"/>
      <c r="D378"/>
      <c r="E378"/>
      <c r="F378"/>
    </row>
    <row r="379" spans="1:6" x14ac:dyDescent="0.55000000000000004">
      <c r="A379"/>
      <c r="B379"/>
      <c r="C379"/>
      <c r="D379"/>
      <c r="E379"/>
      <c r="F379"/>
    </row>
    <row r="380" spans="1:6" x14ac:dyDescent="0.55000000000000004">
      <c r="A380"/>
      <c r="B380"/>
      <c r="C380"/>
      <c r="D380"/>
      <c r="E380"/>
      <c r="F380"/>
    </row>
    <row r="381" spans="1:6" x14ac:dyDescent="0.55000000000000004">
      <c r="A381"/>
      <c r="B381"/>
      <c r="C381"/>
      <c r="D381"/>
      <c r="E381"/>
      <c r="F381"/>
    </row>
    <row r="382" spans="1:6" x14ac:dyDescent="0.55000000000000004">
      <c r="A382"/>
      <c r="B382"/>
      <c r="C382"/>
      <c r="D382"/>
      <c r="E382"/>
      <c r="F382"/>
    </row>
    <row r="383" spans="1:6" x14ac:dyDescent="0.55000000000000004">
      <c r="A383"/>
      <c r="B383"/>
      <c r="C383"/>
      <c r="D383"/>
      <c r="E383"/>
      <c r="F383"/>
    </row>
    <row r="384" spans="1:6" x14ac:dyDescent="0.55000000000000004">
      <c r="A384"/>
      <c r="B384"/>
      <c r="C384"/>
      <c r="D384"/>
      <c r="E384"/>
      <c r="F384"/>
    </row>
    <row r="385" spans="1:6" x14ac:dyDescent="0.55000000000000004">
      <c r="A385"/>
      <c r="B385"/>
      <c r="C385"/>
      <c r="D385"/>
      <c r="E385"/>
      <c r="F385"/>
    </row>
    <row r="386" spans="1:6" x14ac:dyDescent="0.55000000000000004">
      <c r="A386"/>
      <c r="B386"/>
      <c r="C386"/>
      <c r="D386"/>
      <c r="E386"/>
      <c r="F386"/>
    </row>
    <row r="387" spans="1:6" x14ac:dyDescent="0.55000000000000004">
      <c r="A387"/>
      <c r="B387"/>
      <c r="C387"/>
      <c r="D387"/>
      <c r="E387"/>
      <c r="F387"/>
    </row>
    <row r="388" spans="1:6" x14ac:dyDescent="0.55000000000000004">
      <c r="A388"/>
      <c r="B388"/>
      <c r="C388"/>
      <c r="D388"/>
      <c r="E388"/>
      <c r="F388"/>
    </row>
    <row r="389" spans="1:6" x14ac:dyDescent="0.55000000000000004">
      <c r="A389"/>
      <c r="B389"/>
      <c r="C389"/>
      <c r="D389"/>
      <c r="E389"/>
      <c r="F389"/>
    </row>
    <row r="390" spans="1:6" x14ac:dyDescent="0.55000000000000004">
      <c r="A390"/>
      <c r="B390"/>
      <c r="C390"/>
      <c r="D390"/>
      <c r="E390"/>
      <c r="F390"/>
    </row>
    <row r="391" spans="1:6" x14ac:dyDescent="0.55000000000000004">
      <c r="A391"/>
      <c r="B391"/>
      <c r="C391"/>
      <c r="D391"/>
      <c r="E391"/>
      <c r="F391"/>
    </row>
    <row r="392" spans="1:6" x14ac:dyDescent="0.55000000000000004">
      <c r="A392"/>
      <c r="B392"/>
      <c r="C392"/>
      <c r="D392"/>
      <c r="E392"/>
      <c r="F392"/>
    </row>
    <row r="393" spans="1:6" x14ac:dyDescent="0.55000000000000004">
      <c r="A393"/>
      <c r="B393"/>
      <c r="C393"/>
      <c r="D393"/>
      <c r="E393"/>
      <c r="F393"/>
    </row>
    <row r="394" spans="1:6" x14ac:dyDescent="0.55000000000000004">
      <c r="A394"/>
      <c r="B394"/>
      <c r="C394"/>
      <c r="D394"/>
      <c r="E394"/>
      <c r="F394"/>
    </row>
    <row r="395" spans="1:6" x14ac:dyDescent="0.55000000000000004">
      <c r="A395"/>
      <c r="B395"/>
      <c r="C395"/>
      <c r="D395"/>
      <c r="E395"/>
      <c r="F395"/>
    </row>
    <row r="396" spans="1:6" x14ac:dyDescent="0.55000000000000004">
      <c r="A396"/>
      <c r="B396"/>
      <c r="C396"/>
      <c r="D396"/>
      <c r="E396"/>
      <c r="F396"/>
    </row>
    <row r="397" spans="1:6" x14ac:dyDescent="0.55000000000000004">
      <c r="A397"/>
      <c r="B397"/>
      <c r="C397"/>
      <c r="D397"/>
      <c r="E397"/>
      <c r="F397"/>
    </row>
    <row r="398" spans="1:6" x14ac:dyDescent="0.55000000000000004">
      <c r="A398"/>
      <c r="B398"/>
      <c r="C398"/>
      <c r="D398"/>
      <c r="E398"/>
      <c r="F398"/>
    </row>
    <row r="399" spans="1:6" x14ac:dyDescent="0.55000000000000004">
      <c r="A399"/>
      <c r="B399"/>
      <c r="C399"/>
      <c r="D399"/>
      <c r="E399"/>
      <c r="F399"/>
    </row>
    <row r="400" spans="1:6" x14ac:dyDescent="0.55000000000000004">
      <c r="A400"/>
      <c r="B400"/>
      <c r="C400"/>
      <c r="D400"/>
      <c r="E400"/>
      <c r="F400"/>
    </row>
    <row r="401" spans="1:6" x14ac:dyDescent="0.55000000000000004">
      <c r="A401"/>
      <c r="B401"/>
      <c r="C401"/>
      <c r="D401"/>
      <c r="E401"/>
      <c r="F401"/>
    </row>
    <row r="402" spans="1:6" x14ac:dyDescent="0.55000000000000004">
      <c r="A402"/>
      <c r="B402"/>
      <c r="C402"/>
      <c r="D402"/>
      <c r="E402"/>
      <c r="F402"/>
    </row>
    <row r="403" spans="1:6" x14ac:dyDescent="0.55000000000000004">
      <c r="A403"/>
      <c r="B403"/>
      <c r="C403"/>
      <c r="D403"/>
      <c r="E403"/>
      <c r="F403"/>
    </row>
    <row r="404" spans="1:6" x14ac:dyDescent="0.55000000000000004">
      <c r="A404"/>
      <c r="B404"/>
      <c r="C404"/>
      <c r="D404"/>
      <c r="E404"/>
      <c r="F404"/>
    </row>
    <row r="405" spans="1:6" x14ac:dyDescent="0.55000000000000004">
      <c r="A405"/>
      <c r="B405"/>
      <c r="C405"/>
      <c r="D405"/>
      <c r="E405"/>
      <c r="F405"/>
    </row>
    <row r="406" spans="1:6" x14ac:dyDescent="0.55000000000000004">
      <c r="A406"/>
      <c r="B406"/>
      <c r="C406"/>
      <c r="D406"/>
      <c r="E406"/>
      <c r="F406"/>
    </row>
    <row r="407" spans="1:6" x14ac:dyDescent="0.55000000000000004">
      <c r="A407"/>
      <c r="B407"/>
      <c r="C407"/>
      <c r="D407"/>
      <c r="E407"/>
      <c r="F407"/>
    </row>
    <row r="408" spans="1:6" x14ac:dyDescent="0.55000000000000004">
      <c r="A408"/>
      <c r="B408"/>
      <c r="C408"/>
      <c r="D408"/>
      <c r="E408"/>
      <c r="F408"/>
    </row>
    <row r="409" spans="1:6" x14ac:dyDescent="0.55000000000000004">
      <c r="A409"/>
      <c r="B409"/>
      <c r="C409"/>
      <c r="D409"/>
      <c r="E409"/>
      <c r="F409"/>
    </row>
    <row r="410" spans="1:6" x14ac:dyDescent="0.55000000000000004">
      <c r="A410"/>
      <c r="B410"/>
      <c r="C410"/>
      <c r="D410"/>
      <c r="E410"/>
      <c r="F410"/>
    </row>
    <row r="411" spans="1:6" x14ac:dyDescent="0.55000000000000004">
      <c r="A411"/>
      <c r="B411"/>
      <c r="C411"/>
      <c r="D411"/>
      <c r="E411"/>
      <c r="F411"/>
    </row>
    <row r="412" spans="1:6" x14ac:dyDescent="0.55000000000000004">
      <c r="A412"/>
      <c r="B412"/>
      <c r="C412"/>
      <c r="D412"/>
      <c r="E412"/>
      <c r="F412"/>
    </row>
    <row r="413" spans="1:6" x14ac:dyDescent="0.55000000000000004">
      <c r="A413"/>
      <c r="B413"/>
      <c r="C413"/>
      <c r="D413"/>
      <c r="E413"/>
      <c r="F413"/>
    </row>
    <row r="414" spans="1:6" x14ac:dyDescent="0.55000000000000004">
      <c r="A414"/>
      <c r="B414"/>
      <c r="C414"/>
      <c r="D414"/>
      <c r="E414"/>
      <c r="F414"/>
    </row>
    <row r="415" spans="1:6" x14ac:dyDescent="0.55000000000000004">
      <c r="A415"/>
      <c r="B415"/>
      <c r="C415"/>
      <c r="D415"/>
      <c r="E415"/>
      <c r="F415"/>
    </row>
    <row r="416" spans="1:6" x14ac:dyDescent="0.55000000000000004">
      <c r="A416"/>
      <c r="B416"/>
      <c r="C416"/>
      <c r="D416"/>
      <c r="E416"/>
      <c r="F416"/>
    </row>
    <row r="417" spans="1:6" x14ac:dyDescent="0.55000000000000004">
      <c r="A417"/>
      <c r="B417"/>
      <c r="C417"/>
      <c r="D417"/>
      <c r="E417"/>
      <c r="F417"/>
    </row>
    <row r="418" spans="1:6" x14ac:dyDescent="0.55000000000000004">
      <c r="A418"/>
      <c r="B418"/>
      <c r="C418"/>
      <c r="D418"/>
      <c r="E418"/>
      <c r="F418"/>
    </row>
    <row r="419" spans="1:6" x14ac:dyDescent="0.55000000000000004">
      <c r="A419"/>
      <c r="B419"/>
      <c r="C419"/>
      <c r="D419"/>
      <c r="E419"/>
      <c r="F419"/>
    </row>
    <row r="420" spans="1:6" x14ac:dyDescent="0.55000000000000004">
      <c r="A420"/>
      <c r="B420"/>
      <c r="C420"/>
      <c r="D420"/>
      <c r="E420"/>
      <c r="F420"/>
    </row>
    <row r="421" spans="1:6" x14ac:dyDescent="0.55000000000000004">
      <c r="A421"/>
      <c r="B421"/>
      <c r="C421"/>
      <c r="D421"/>
      <c r="E421"/>
      <c r="F421"/>
    </row>
    <row r="422" spans="1:6" x14ac:dyDescent="0.55000000000000004">
      <c r="A422"/>
      <c r="B422"/>
      <c r="C422"/>
      <c r="D422"/>
      <c r="E422"/>
      <c r="F422"/>
    </row>
    <row r="423" spans="1:6" x14ac:dyDescent="0.55000000000000004">
      <c r="A423"/>
      <c r="B423"/>
      <c r="C423"/>
      <c r="D423"/>
      <c r="E423"/>
      <c r="F423"/>
    </row>
    <row r="424" spans="1:6" x14ac:dyDescent="0.55000000000000004">
      <c r="A424"/>
      <c r="B424"/>
      <c r="C424"/>
      <c r="D424"/>
      <c r="E424"/>
      <c r="F424"/>
    </row>
    <row r="425" spans="1:6" x14ac:dyDescent="0.55000000000000004">
      <c r="A425"/>
      <c r="B425"/>
      <c r="C425"/>
      <c r="D425"/>
      <c r="E425"/>
      <c r="F425"/>
    </row>
    <row r="426" spans="1:6" x14ac:dyDescent="0.55000000000000004">
      <c r="A426"/>
      <c r="B426"/>
      <c r="C426"/>
      <c r="D426"/>
      <c r="E426"/>
      <c r="F426"/>
    </row>
    <row r="427" spans="1:6" x14ac:dyDescent="0.55000000000000004">
      <c r="A427"/>
      <c r="B427"/>
      <c r="C427"/>
      <c r="D427"/>
      <c r="E427"/>
      <c r="F427"/>
    </row>
    <row r="428" spans="1:6" x14ac:dyDescent="0.55000000000000004">
      <c r="A428"/>
      <c r="B428"/>
      <c r="C428"/>
      <c r="D428"/>
      <c r="E428"/>
      <c r="F428"/>
    </row>
    <row r="429" spans="1:6" x14ac:dyDescent="0.55000000000000004">
      <c r="A429"/>
      <c r="B429"/>
      <c r="C429"/>
      <c r="D429"/>
      <c r="E429"/>
      <c r="F429"/>
    </row>
    <row r="430" spans="1:6" x14ac:dyDescent="0.55000000000000004">
      <c r="A430"/>
      <c r="B430"/>
      <c r="C430"/>
      <c r="D430"/>
      <c r="E430"/>
      <c r="F430"/>
    </row>
    <row r="431" spans="1:6" x14ac:dyDescent="0.55000000000000004">
      <c r="A431"/>
      <c r="B431"/>
      <c r="C431"/>
      <c r="D431"/>
      <c r="E431"/>
      <c r="F431"/>
    </row>
    <row r="432" spans="1:6" x14ac:dyDescent="0.55000000000000004">
      <c r="A432"/>
      <c r="B432"/>
      <c r="C432"/>
      <c r="D432"/>
      <c r="E432"/>
      <c r="F432"/>
    </row>
    <row r="433" spans="1:6" x14ac:dyDescent="0.55000000000000004">
      <c r="A433"/>
      <c r="B433"/>
      <c r="C433"/>
      <c r="D433"/>
      <c r="E433"/>
      <c r="F433"/>
    </row>
    <row r="434" spans="1:6" x14ac:dyDescent="0.55000000000000004">
      <c r="A434"/>
      <c r="B434"/>
      <c r="C434"/>
      <c r="D434"/>
      <c r="E434"/>
      <c r="F434"/>
    </row>
    <row r="435" spans="1:6" x14ac:dyDescent="0.55000000000000004">
      <c r="A435"/>
      <c r="B435"/>
      <c r="C435"/>
      <c r="D435"/>
      <c r="E435"/>
      <c r="F435"/>
    </row>
    <row r="436" spans="1:6" x14ac:dyDescent="0.55000000000000004">
      <c r="A436"/>
      <c r="B436"/>
      <c r="C436"/>
      <c r="D436"/>
      <c r="E436"/>
      <c r="F436"/>
    </row>
    <row r="437" spans="1:6" x14ac:dyDescent="0.55000000000000004">
      <c r="A437"/>
    </row>
    <row r="438" spans="1:6" x14ac:dyDescent="0.55000000000000004">
      <c r="A438"/>
    </row>
    <row r="439" spans="1:6" x14ac:dyDescent="0.55000000000000004">
      <c r="A439"/>
    </row>
    <row r="440" spans="1:6" x14ac:dyDescent="0.55000000000000004">
      <c r="A440"/>
    </row>
    <row r="441" spans="1:6" x14ac:dyDescent="0.55000000000000004">
      <c r="A441"/>
    </row>
    <row r="442" spans="1:6" x14ac:dyDescent="0.55000000000000004">
      <c r="A442"/>
    </row>
    <row r="443" spans="1:6" x14ac:dyDescent="0.55000000000000004">
      <c r="A443"/>
    </row>
    <row r="444" spans="1:6" x14ac:dyDescent="0.55000000000000004">
      <c r="A444"/>
    </row>
    <row r="445" spans="1:6" x14ac:dyDescent="0.55000000000000004">
      <c r="A445"/>
    </row>
    <row r="446" spans="1:6" x14ac:dyDescent="0.55000000000000004">
      <c r="A446"/>
    </row>
    <row r="447" spans="1:6" x14ac:dyDescent="0.55000000000000004">
      <c r="A447"/>
    </row>
    <row r="448" spans="1:6" x14ac:dyDescent="0.55000000000000004">
      <c r="A448"/>
    </row>
    <row r="449" spans="1:1" x14ac:dyDescent="0.55000000000000004">
      <c r="A449"/>
    </row>
    <row r="450" spans="1:1" x14ac:dyDescent="0.55000000000000004">
      <c r="A450"/>
    </row>
    <row r="451" spans="1:1" x14ac:dyDescent="0.55000000000000004">
      <c r="A451"/>
    </row>
    <row r="452" spans="1:1" x14ac:dyDescent="0.55000000000000004">
      <c r="A452"/>
    </row>
    <row r="453" spans="1:1" x14ac:dyDescent="0.55000000000000004">
      <c r="A453"/>
    </row>
    <row r="454" spans="1:1" x14ac:dyDescent="0.55000000000000004">
      <c r="A454"/>
    </row>
    <row r="455" spans="1:1" x14ac:dyDescent="0.55000000000000004">
      <c r="A455"/>
    </row>
    <row r="456" spans="1:1" x14ac:dyDescent="0.55000000000000004">
      <c r="A456"/>
    </row>
    <row r="457" spans="1:1" x14ac:dyDescent="0.55000000000000004">
      <c r="A457"/>
    </row>
    <row r="458" spans="1:1" x14ac:dyDescent="0.55000000000000004">
      <c r="A458"/>
    </row>
    <row r="459" spans="1:1" x14ac:dyDescent="0.55000000000000004">
      <c r="A459"/>
    </row>
    <row r="460" spans="1:1" x14ac:dyDescent="0.55000000000000004">
      <c r="A460"/>
    </row>
    <row r="461" spans="1:1" x14ac:dyDescent="0.55000000000000004">
      <c r="A461"/>
    </row>
    <row r="462" spans="1:1" x14ac:dyDescent="0.55000000000000004">
      <c r="A462"/>
    </row>
    <row r="463" spans="1:1" x14ac:dyDescent="0.55000000000000004">
      <c r="A463"/>
    </row>
    <row r="464" spans="1:1" x14ac:dyDescent="0.55000000000000004">
      <c r="A464"/>
    </row>
    <row r="465" spans="1:1" x14ac:dyDescent="0.55000000000000004">
      <c r="A465"/>
    </row>
    <row r="466" spans="1:1" x14ac:dyDescent="0.55000000000000004">
      <c r="A466"/>
    </row>
    <row r="467" spans="1:1" x14ac:dyDescent="0.55000000000000004">
      <c r="A467"/>
    </row>
    <row r="468" spans="1:1" x14ac:dyDescent="0.55000000000000004">
      <c r="A468"/>
    </row>
    <row r="469" spans="1:1" x14ac:dyDescent="0.55000000000000004">
      <c r="A469"/>
    </row>
    <row r="470" spans="1:1" x14ac:dyDescent="0.55000000000000004">
      <c r="A470"/>
    </row>
    <row r="471" spans="1:1" x14ac:dyDescent="0.55000000000000004">
      <c r="A471"/>
    </row>
    <row r="472" spans="1:1" x14ac:dyDescent="0.55000000000000004">
      <c r="A472"/>
    </row>
    <row r="473" spans="1:1" x14ac:dyDescent="0.55000000000000004">
      <c r="A473"/>
    </row>
    <row r="474" spans="1:1" x14ac:dyDescent="0.55000000000000004">
      <c r="A474"/>
    </row>
    <row r="475" spans="1:1" x14ac:dyDescent="0.55000000000000004">
      <c r="A475"/>
    </row>
    <row r="476" spans="1:1" x14ac:dyDescent="0.55000000000000004">
      <c r="A476"/>
    </row>
    <row r="477" spans="1:1" x14ac:dyDescent="0.55000000000000004">
      <c r="A477"/>
    </row>
    <row r="478" spans="1:1" x14ac:dyDescent="0.55000000000000004">
      <c r="A478"/>
    </row>
    <row r="479" spans="1:1" x14ac:dyDescent="0.55000000000000004">
      <c r="A479"/>
    </row>
    <row r="480" spans="1:1" x14ac:dyDescent="0.55000000000000004">
      <c r="A480"/>
    </row>
    <row r="481" spans="1:1" x14ac:dyDescent="0.55000000000000004">
      <c r="A481"/>
    </row>
    <row r="482" spans="1:1" x14ac:dyDescent="0.55000000000000004">
      <c r="A482"/>
    </row>
    <row r="483" spans="1:1" x14ac:dyDescent="0.55000000000000004">
      <c r="A483"/>
    </row>
    <row r="484" spans="1:1" x14ac:dyDescent="0.55000000000000004">
      <c r="A484"/>
    </row>
    <row r="485" spans="1:1" x14ac:dyDescent="0.55000000000000004">
      <c r="A485"/>
    </row>
    <row r="486" spans="1:1" x14ac:dyDescent="0.55000000000000004">
      <c r="A486"/>
    </row>
    <row r="487" spans="1:1" x14ac:dyDescent="0.55000000000000004">
      <c r="A487"/>
    </row>
    <row r="488" spans="1:1" x14ac:dyDescent="0.55000000000000004">
      <c r="A488"/>
    </row>
    <row r="489" spans="1:1" x14ac:dyDescent="0.55000000000000004">
      <c r="A489"/>
    </row>
    <row r="490" spans="1:1" x14ac:dyDescent="0.55000000000000004">
      <c r="A490"/>
    </row>
    <row r="491" spans="1:1" x14ac:dyDescent="0.55000000000000004">
      <c r="A491"/>
    </row>
    <row r="492" spans="1:1" x14ac:dyDescent="0.55000000000000004">
      <c r="A492"/>
    </row>
    <row r="493" spans="1:1" x14ac:dyDescent="0.55000000000000004">
      <c r="A493"/>
    </row>
    <row r="494" spans="1:1" x14ac:dyDescent="0.55000000000000004">
      <c r="A494"/>
    </row>
    <row r="495" spans="1:1" x14ac:dyDescent="0.55000000000000004">
      <c r="A495"/>
    </row>
    <row r="496" spans="1:1" x14ac:dyDescent="0.55000000000000004">
      <c r="A496"/>
    </row>
    <row r="497" spans="1:1" x14ac:dyDescent="0.55000000000000004">
      <c r="A497"/>
    </row>
    <row r="498" spans="1:1" x14ac:dyDescent="0.55000000000000004">
      <c r="A498"/>
    </row>
    <row r="499" spans="1:1" x14ac:dyDescent="0.55000000000000004">
      <c r="A499"/>
    </row>
    <row r="500" spans="1:1" x14ac:dyDescent="0.55000000000000004">
      <c r="A500"/>
    </row>
    <row r="501" spans="1:1" x14ac:dyDescent="0.55000000000000004">
      <c r="A501"/>
    </row>
    <row r="502" spans="1:1" x14ac:dyDescent="0.55000000000000004">
      <c r="A502"/>
    </row>
    <row r="503" spans="1:1" x14ac:dyDescent="0.55000000000000004">
      <c r="A503"/>
    </row>
    <row r="504" spans="1:1" x14ac:dyDescent="0.55000000000000004">
      <c r="A504"/>
    </row>
    <row r="505" spans="1:1" x14ac:dyDescent="0.55000000000000004">
      <c r="A505"/>
    </row>
    <row r="506" spans="1:1" x14ac:dyDescent="0.55000000000000004">
      <c r="A506"/>
    </row>
    <row r="507" spans="1:1" x14ac:dyDescent="0.55000000000000004">
      <c r="A507"/>
    </row>
    <row r="508" spans="1:1" x14ac:dyDescent="0.55000000000000004">
      <c r="A508"/>
    </row>
    <row r="509" spans="1:1" x14ac:dyDescent="0.55000000000000004">
      <c r="A509"/>
    </row>
    <row r="510" spans="1:1" x14ac:dyDescent="0.55000000000000004">
      <c r="A510"/>
    </row>
    <row r="511" spans="1:1" x14ac:dyDescent="0.55000000000000004">
      <c r="A511"/>
    </row>
    <row r="512" spans="1:1" x14ac:dyDescent="0.55000000000000004">
      <c r="A512"/>
    </row>
    <row r="513" spans="1:1" x14ac:dyDescent="0.55000000000000004">
      <c r="A513"/>
    </row>
    <row r="514" spans="1:1" x14ac:dyDescent="0.55000000000000004">
      <c r="A514"/>
    </row>
    <row r="515" spans="1:1" x14ac:dyDescent="0.55000000000000004">
      <c r="A515"/>
    </row>
    <row r="516" spans="1:1" x14ac:dyDescent="0.55000000000000004">
      <c r="A516"/>
    </row>
    <row r="517" spans="1:1" x14ac:dyDescent="0.55000000000000004">
      <c r="A517"/>
    </row>
    <row r="518" spans="1:1" x14ac:dyDescent="0.55000000000000004">
      <c r="A518"/>
    </row>
    <row r="519" spans="1:1" x14ac:dyDescent="0.55000000000000004">
      <c r="A519"/>
    </row>
    <row r="520" spans="1:1" x14ac:dyDescent="0.55000000000000004">
      <c r="A520"/>
    </row>
    <row r="521" spans="1:1" x14ac:dyDescent="0.55000000000000004">
      <c r="A521"/>
    </row>
    <row r="522" spans="1:1" x14ac:dyDescent="0.55000000000000004">
      <c r="A522"/>
    </row>
    <row r="523" spans="1:1" x14ac:dyDescent="0.55000000000000004">
      <c r="A523"/>
    </row>
    <row r="524" spans="1:1" x14ac:dyDescent="0.55000000000000004">
      <c r="A524"/>
    </row>
    <row r="525" spans="1:1" x14ac:dyDescent="0.55000000000000004">
      <c r="A525"/>
    </row>
    <row r="526" spans="1:1" x14ac:dyDescent="0.55000000000000004">
      <c r="A526"/>
    </row>
    <row r="527" spans="1:1" x14ac:dyDescent="0.55000000000000004">
      <c r="A527"/>
    </row>
    <row r="528" spans="1:1" x14ac:dyDescent="0.55000000000000004">
      <c r="A528"/>
    </row>
    <row r="529" spans="1:1" x14ac:dyDescent="0.55000000000000004">
      <c r="A529"/>
    </row>
    <row r="530" spans="1:1" x14ac:dyDescent="0.55000000000000004">
      <c r="A530"/>
    </row>
    <row r="531" spans="1:1" x14ac:dyDescent="0.55000000000000004">
      <c r="A531"/>
    </row>
    <row r="532" spans="1:1" x14ac:dyDescent="0.55000000000000004">
      <c r="A532"/>
    </row>
    <row r="533" spans="1:1" x14ac:dyDescent="0.55000000000000004">
      <c r="A533"/>
    </row>
    <row r="534" spans="1:1" x14ac:dyDescent="0.55000000000000004">
      <c r="A534"/>
    </row>
    <row r="535" spans="1:1" x14ac:dyDescent="0.55000000000000004">
      <c r="A535"/>
    </row>
    <row r="536" spans="1:1" x14ac:dyDescent="0.55000000000000004">
      <c r="A536"/>
    </row>
    <row r="537" spans="1:1" x14ac:dyDescent="0.55000000000000004">
      <c r="A537"/>
    </row>
    <row r="538" spans="1:1" x14ac:dyDescent="0.55000000000000004">
      <c r="A538"/>
    </row>
    <row r="539" spans="1:1" x14ac:dyDescent="0.55000000000000004">
      <c r="A539"/>
    </row>
    <row r="540" spans="1:1" x14ac:dyDescent="0.55000000000000004">
      <c r="A540"/>
    </row>
    <row r="541" spans="1:1" x14ac:dyDescent="0.55000000000000004">
      <c r="A541"/>
    </row>
    <row r="542" spans="1:1" x14ac:dyDescent="0.55000000000000004">
      <c r="A542"/>
    </row>
    <row r="543" spans="1:1" x14ac:dyDescent="0.55000000000000004">
      <c r="A543"/>
    </row>
    <row r="544" spans="1:1" x14ac:dyDescent="0.55000000000000004">
      <c r="A544"/>
    </row>
    <row r="545" spans="1:1" x14ac:dyDescent="0.55000000000000004">
      <c r="A545"/>
    </row>
    <row r="546" spans="1:1" x14ac:dyDescent="0.55000000000000004">
      <c r="A546"/>
    </row>
    <row r="547" spans="1:1" x14ac:dyDescent="0.55000000000000004">
      <c r="A547"/>
    </row>
    <row r="548" spans="1:1" x14ac:dyDescent="0.55000000000000004">
      <c r="A548"/>
    </row>
    <row r="549" spans="1:1" x14ac:dyDescent="0.55000000000000004">
      <c r="A549"/>
    </row>
    <row r="550" spans="1:1" x14ac:dyDescent="0.55000000000000004">
      <c r="A550"/>
    </row>
    <row r="551" spans="1:1" x14ac:dyDescent="0.55000000000000004">
      <c r="A551"/>
    </row>
    <row r="552" spans="1:1" x14ac:dyDescent="0.55000000000000004">
      <c r="A552"/>
    </row>
    <row r="553" spans="1:1" x14ac:dyDescent="0.55000000000000004">
      <c r="A553"/>
    </row>
    <row r="554" spans="1:1" x14ac:dyDescent="0.55000000000000004">
      <c r="A554"/>
    </row>
    <row r="555" spans="1:1" x14ac:dyDescent="0.55000000000000004">
      <c r="A555"/>
    </row>
    <row r="556" spans="1:1" x14ac:dyDescent="0.55000000000000004">
      <c r="A556"/>
    </row>
    <row r="557" spans="1:1" x14ac:dyDescent="0.55000000000000004">
      <c r="A557"/>
    </row>
    <row r="558" spans="1:1" x14ac:dyDescent="0.55000000000000004">
      <c r="A558"/>
    </row>
    <row r="559" spans="1:1" x14ac:dyDescent="0.55000000000000004">
      <c r="A559"/>
    </row>
    <row r="560" spans="1:1" x14ac:dyDescent="0.55000000000000004">
      <c r="A560"/>
    </row>
    <row r="561" spans="1:1" x14ac:dyDescent="0.55000000000000004">
      <c r="A561"/>
    </row>
    <row r="562" spans="1:1" x14ac:dyDescent="0.55000000000000004">
      <c r="A562"/>
    </row>
    <row r="563" spans="1:1" x14ac:dyDescent="0.55000000000000004">
      <c r="A563"/>
    </row>
    <row r="564" spans="1:1" x14ac:dyDescent="0.55000000000000004">
      <c r="A564"/>
    </row>
    <row r="565" spans="1:1" x14ac:dyDescent="0.55000000000000004">
      <c r="A565"/>
    </row>
    <row r="566" spans="1:1" x14ac:dyDescent="0.55000000000000004">
      <c r="A566"/>
    </row>
    <row r="567" spans="1:1" x14ac:dyDescent="0.55000000000000004">
      <c r="A567"/>
    </row>
    <row r="568" spans="1:1" x14ac:dyDescent="0.55000000000000004">
      <c r="A568"/>
    </row>
    <row r="569" spans="1:1" x14ac:dyDescent="0.55000000000000004">
      <c r="A569"/>
    </row>
    <row r="570" spans="1:1" x14ac:dyDescent="0.55000000000000004">
      <c r="A570"/>
    </row>
    <row r="571" spans="1:1" x14ac:dyDescent="0.55000000000000004">
      <c r="A571"/>
    </row>
    <row r="572" spans="1:1" x14ac:dyDescent="0.55000000000000004">
      <c r="A572"/>
    </row>
    <row r="573" spans="1:1" x14ac:dyDescent="0.55000000000000004">
      <c r="A573"/>
    </row>
    <row r="574" spans="1:1" x14ac:dyDescent="0.55000000000000004">
      <c r="A574"/>
    </row>
    <row r="575" spans="1:1" x14ac:dyDescent="0.55000000000000004">
      <c r="A575"/>
    </row>
    <row r="576" spans="1:1" x14ac:dyDescent="0.55000000000000004">
      <c r="A576"/>
    </row>
    <row r="577" spans="1:1" x14ac:dyDescent="0.55000000000000004">
      <c r="A577"/>
    </row>
    <row r="578" spans="1:1" x14ac:dyDescent="0.55000000000000004">
      <c r="A578"/>
    </row>
    <row r="579" spans="1:1" x14ac:dyDescent="0.55000000000000004">
      <c r="A579"/>
    </row>
    <row r="580" spans="1:1" x14ac:dyDescent="0.55000000000000004">
      <c r="A580"/>
    </row>
    <row r="581" spans="1:1" x14ac:dyDescent="0.55000000000000004">
      <c r="A581"/>
    </row>
    <row r="582" spans="1:1" x14ac:dyDescent="0.55000000000000004">
      <c r="A582"/>
    </row>
    <row r="583" spans="1:1" x14ac:dyDescent="0.55000000000000004">
      <c r="A583"/>
    </row>
    <row r="584" spans="1:1" x14ac:dyDescent="0.55000000000000004">
      <c r="A584"/>
    </row>
    <row r="585" spans="1:1" x14ac:dyDescent="0.55000000000000004">
      <c r="A585"/>
    </row>
    <row r="586" spans="1:1" x14ac:dyDescent="0.55000000000000004">
      <c r="A586"/>
    </row>
    <row r="587" spans="1:1" x14ac:dyDescent="0.55000000000000004">
      <c r="A587"/>
    </row>
    <row r="588" spans="1:1" x14ac:dyDescent="0.55000000000000004">
      <c r="A588"/>
    </row>
    <row r="589" spans="1:1" x14ac:dyDescent="0.55000000000000004">
      <c r="A589"/>
    </row>
    <row r="590" spans="1:1" x14ac:dyDescent="0.55000000000000004">
      <c r="A590"/>
    </row>
    <row r="591" spans="1:1" x14ac:dyDescent="0.55000000000000004">
      <c r="A591"/>
    </row>
    <row r="592" spans="1:1" x14ac:dyDescent="0.55000000000000004">
      <c r="A592"/>
    </row>
    <row r="593" spans="1:1" x14ac:dyDescent="0.55000000000000004">
      <c r="A593"/>
    </row>
    <row r="594" spans="1:1" x14ac:dyDescent="0.55000000000000004">
      <c r="A594"/>
    </row>
    <row r="595" spans="1:1" x14ac:dyDescent="0.55000000000000004">
      <c r="A595"/>
    </row>
    <row r="596" spans="1:1" x14ac:dyDescent="0.55000000000000004">
      <c r="A596"/>
    </row>
    <row r="597" spans="1:1" x14ac:dyDescent="0.55000000000000004">
      <c r="A597"/>
    </row>
    <row r="598" spans="1:1" x14ac:dyDescent="0.55000000000000004">
      <c r="A598"/>
    </row>
    <row r="599" spans="1:1" x14ac:dyDescent="0.55000000000000004">
      <c r="A599"/>
    </row>
    <row r="600" spans="1:1" x14ac:dyDescent="0.55000000000000004">
      <c r="A600"/>
    </row>
    <row r="601" spans="1:1" x14ac:dyDescent="0.55000000000000004">
      <c r="A601"/>
    </row>
    <row r="602" spans="1:1" x14ac:dyDescent="0.55000000000000004">
      <c r="A602"/>
    </row>
    <row r="603" spans="1:1" x14ac:dyDescent="0.55000000000000004">
      <c r="A603"/>
    </row>
    <row r="604" spans="1:1" x14ac:dyDescent="0.55000000000000004">
      <c r="A604"/>
    </row>
    <row r="605" spans="1:1" x14ac:dyDescent="0.55000000000000004">
      <c r="A605"/>
    </row>
    <row r="606" spans="1:1" x14ac:dyDescent="0.55000000000000004">
      <c r="A606"/>
    </row>
    <row r="607" spans="1:1" x14ac:dyDescent="0.55000000000000004">
      <c r="A607"/>
    </row>
    <row r="608" spans="1:1" x14ac:dyDescent="0.55000000000000004">
      <c r="A608"/>
    </row>
    <row r="609" spans="1:1" x14ac:dyDescent="0.55000000000000004">
      <c r="A609"/>
    </row>
    <row r="610" spans="1:1" x14ac:dyDescent="0.55000000000000004">
      <c r="A610"/>
    </row>
    <row r="611" spans="1:1" x14ac:dyDescent="0.55000000000000004">
      <c r="A611"/>
    </row>
    <row r="612" spans="1:1" x14ac:dyDescent="0.55000000000000004">
      <c r="A612"/>
    </row>
    <row r="613" spans="1:1" x14ac:dyDescent="0.55000000000000004">
      <c r="A613"/>
    </row>
    <row r="614" spans="1:1" x14ac:dyDescent="0.55000000000000004">
      <c r="A614"/>
    </row>
    <row r="615" spans="1:1" x14ac:dyDescent="0.55000000000000004">
      <c r="A615"/>
    </row>
    <row r="616" spans="1:1" x14ac:dyDescent="0.55000000000000004">
      <c r="A616"/>
    </row>
    <row r="617" spans="1:1" x14ac:dyDescent="0.55000000000000004">
      <c r="A617"/>
    </row>
    <row r="618" spans="1:1" x14ac:dyDescent="0.55000000000000004">
      <c r="A618"/>
    </row>
    <row r="619" spans="1:1" x14ac:dyDescent="0.55000000000000004">
      <c r="A619"/>
    </row>
    <row r="620" spans="1:1" x14ac:dyDescent="0.55000000000000004">
      <c r="A620"/>
    </row>
    <row r="621" spans="1:1" x14ac:dyDescent="0.55000000000000004">
      <c r="A621"/>
    </row>
    <row r="622" spans="1:1" x14ac:dyDescent="0.55000000000000004">
      <c r="A622"/>
    </row>
    <row r="623" spans="1:1" x14ac:dyDescent="0.55000000000000004">
      <c r="A623"/>
    </row>
    <row r="624" spans="1:1" x14ac:dyDescent="0.55000000000000004">
      <c r="A624"/>
    </row>
    <row r="625" spans="1:1" x14ac:dyDescent="0.55000000000000004">
      <c r="A625"/>
    </row>
    <row r="626" spans="1:1" x14ac:dyDescent="0.55000000000000004">
      <c r="A626"/>
    </row>
    <row r="627" spans="1:1" x14ac:dyDescent="0.55000000000000004">
      <c r="A627"/>
    </row>
    <row r="628" spans="1:1" x14ac:dyDescent="0.55000000000000004">
      <c r="A628"/>
    </row>
    <row r="629" spans="1:1" x14ac:dyDescent="0.55000000000000004">
      <c r="A629"/>
    </row>
    <row r="630" spans="1:1" x14ac:dyDescent="0.55000000000000004">
      <c r="A630"/>
    </row>
    <row r="631" spans="1:1" x14ac:dyDescent="0.55000000000000004">
      <c r="A631"/>
    </row>
    <row r="632" spans="1:1" x14ac:dyDescent="0.55000000000000004">
      <c r="A632"/>
    </row>
    <row r="633" spans="1:1" x14ac:dyDescent="0.55000000000000004">
      <c r="A633"/>
    </row>
    <row r="634" spans="1:1" x14ac:dyDescent="0.55000000000000004">
      <c r="A634"/>
    </row>
    <row r="635" spans="1:1" x14ac:dyDescent="0.55000000000000004">
      <c r="A635"/>
    </row>
    <row r="636" spans="1:1" x14ac:dyDescent="0.55000000000000004">
      <c r="A636"/>
    </row>
    <row r="637" spans="1:1" x14ac:dyDescent="0.55000000000000004">
      <c r="A637"/>
    </row>
    <row r="638" spans="1:1" x14ac:dyDescent="0.55000000000000004">
      <c r="A638"/>
    </row>
    <row r="639" spans="1:1" x14ac:dyDescent="0.55000000000000004">
      <c r="A639"/>
    </row>
    <row r="640" spans="1:1" x14ac:dyDescent="0.55000000000000004">
      <c r="A640"/>
    </row>
    <row r="641" spans="1:1" x14ac:dyDescent="0.55000000000000004">
      <c r="A641"/>
    </row>
    <row r="642" spans="1:1" x14ac:dyDescent="0.55000000000000004">
      <c r="A642"/>
    </row>
    <row r="643" spans="1:1" x14ac:dyDescent="0.55000000000000004">
      <c r="A643"/>
    </row>
    <row r="644" spans="1:1" x14ac:dyDescent="0.55000000000000004">
      <c r="A644"/>
    </row>
    <row r="645" spans="1:1" x14ac:dyDescent="0.55000000000000004">
      <c r="A645"/>
    </row>
    <row r="646" spans="1:1" x14ac:dyDescent="0.55000000000000004">
      <c r="A646"/>
    </row>
    <row r="647" spans="1:1" x14ac:dyDescent="0.55000000000000004">
      <c r="A647"/>
    </row>
    <row r="648" spans="1:1" x14ac:dyDescent="0.55000000000000004">
      <c r="A648"/>
    </row>
    <row r="649" spans="1:1" x14ac:dyDescent="0.55000000000000004">
      <c r="A649"/>
    </row>
    <row r="650" spans="1:1" x14ac:dyDescent="0.55000000000000004">
      <c r="A650"/>
    </row>
    <row r="651" spans="1:1" x14ac:dyDescent="0.55000000000000004">
      <c r="A651"/>
    </row>
    <row r="652" spans="1:1" x14ac:dyDescent="0.55000000000000004">
      <c r="A652"/>
    </row>
    <row r="653" spans="1:1" x14ac:dyDescent="0.55000000000000004">
      <c r="A653"/>
    </row>
    <row r="654" spans="1:1" x14ac:dyDescent="0.55000000000000004">
      <c r="A654"/>
    </row>
    <row r="655" spans="1:1" x14ac:dyDescent="0.55000000000000004">
      <c r="A655"/>
    </row>
    <row r="656" spans="1:1" x14ac:dyDescent="0.55000000000000004">
      <c r="A656"/>
    </row>
    <row r="657" spans="1:1" x14ac:dyDescent="0.55000000000000004">
      <c r="A657"/>
    </row>
    <row r="658" spans="1:1" x14ac:dyDescent="0.55000000000000004">
      <c r="A658"/>
    </row>
    <row r="659" spans="1:1" x14ac:dyDescent="0.55000000000000004">
      <c r="A659"/>
    </row>
    <row r="660" spans="1:1" x14ac:dyDescent="0.55000000000000004">
      <c r="A660"/>
    </row>
    <row r="661" spans="1:1" x14ac:dyDescent="0.55000000000000004">
      <c r="A661"/>
    </row>
    <row r="662" spans="1:1" x14ac:dyDescent="0.55000000000000004">
      <c r="A662"/>
    </row>
    <row r="663" spans="1:1" x14ac:dyDescent="0.55000000000000004">
      <c r="A663"/>
    </row>
    <row r="664" spans="1:1" x14ac:dyDescent="0.55000000000000004">
      <c r="A664"/>
    </row>
    <row r="665" spans="1:1" x14ac:dyDescent="0.55000000000000004">
      <c r="A665"/>
    </row>
    <row r="666" spans="1:1" x14ac:dyDescent="0.55000000000000004">
      <c r="A666"/>
    </row>
    <row r="667" spans="1:1" x14ac:dyDescent="0.55000000000000004">
      <c r="A667"/>
    </row>
    <row r="668" spans="1:1" x14ac:dyDescent="0.55000000000000004">
      <c r="A668"/>
    </row>
    <row r="669" spans="1:1" x14ac:dyDescent="0.55000000000000004">
      <c r="A669"/>
    </row>
    <row r="670" spans="1:1" x14ac:dyDescent="0.55000000000000004">
      <c r="A670"/>
    </row>
    <row r="671" spans="1:1" x14ac:dyDescent="0.55000000000000004">
      <c r="A671"/>
    </row>
    <row r="672" spans="1:1" x14ac:dyDescent="0.55000000000000004">
      <c r="A672"/>
    </row>
    <row r="673" spans="1:1" x14ac:dyDescent="0.55000000000000004">
      <c r="A673"/>
    </row>
    <row r="674" spans="1:1" x14ac:dyDescent="0.55000000000000004">
      <c r="A674"/>
    </row>
    <row r="675" spans="1:1" x14ac:dyDescent="0.55000000000000004">
      <c r="A675"/>
    </row>
    <row r="676" spans="1:1" x14ac:dyDescent="0.55000000000000004">
      <c r="A676"/>
    </row>
    <row r="677" spans="1:1" x14ac:dyDescent="0.55000000000000004">
      <c r="A677"/>
    </row>
    <row r="678" spans="1:1" x14ac:dyDescent="0.55000000000000004">
      <c r="A678"/>
    </row>
    <row r="679" spans="1:1" x14ac:dyDescent="0.55000000000000004">
      <c r="A679"/>
    </row>
    <row r="680" spans="1:1" x14ac:dyDescent="0.55000000000000004">
      <c r="A680"/>
    </row>
    <row r="681" spans="1:1" x14ac:dyDescent="0.55000000000000004">
      <c r="A681"/>
    </row>
    <row r="682" spans="1:1" x14ac:dyDescent="0.55000000000000004">
      <c r="A682"/>
    </row>
    <row r="683" spans="1:1" x14ac:dyDescent="0.55000000000000004">
      <c r="A683"/>
    </row>
    <row r="684" spans="1:1" x14ac:dyDescent="0.55000000000000004">
      <c r="A684"/>
    </row>
    <row r="685" spans="1:1" x14ac:dyDescent="0.55000000000000004">
      <c r="A685"/>
    </row>
    <row r="686" spans="1:1" x14ac:dyDescent="0.55000000000000004">
      <c r="A686"/>
    </row>
    <row r="687" spans="1:1" x14ac:dyDescent="0.55000000000000004">
      <c r="A687"/>
    </row>
    <row r="688" spans="1:1" x14ac:dyDescent="0.55000000000000004">
      <c r="A688"/>
    </row>
    <row r="689" spans="1:1" x14ac:dyDescent="0.55000000000000004">
      <c r="A689"/>
    </row>
    <row r="690" spans="1:1" x14ac:dyDescent="0.55000000000000004">
      <c r="A690"/>
    </row>
    <row r="691" spans="1:1" x14ac:dyDescent="0.55000000000000004">
      <c r="A691"/>
    </row>
    <row r="692" spans="1:1" x14ac:dyDescent="0.55000000000000004">
      <c r="A692"/>
    </row>
    <row r="693" spans="1:1" x14ac:dyDescent="0.55000000000000004">
      <c r="A693"/>
    </row>
    <row r="694" spans="1:1" x14ac:dyDescent="0.55000000000000004">
      <c r="A694"/>
    </row>
    <row r="695" spans="1:1" x14ac:dyDescent="0.55000000000000004">
      <c r="A695"/>
    </row>
    <row r="696" spans="1:1" x14ac:dyDescent="0.55000000000000004">
      <c r="A696"/>
    </row>
    <row r="697" spans="1:1" x14ac:dyDescent="0.55000000000000004">
      <c r="A697"/>
    </row>
    <row r="698" spans="1:1" x14ac:dyDescent="0.55000000000000004">
      <c r="A698"/>
    </row>
    <row r="699" spans="1:1" x14ac:dyDescent="0.55000000000000004">
      <c r="A699"/>
    </row>
    <row r="700" spans="1:1" x14ac:dyDescent="0.55000000000000004">
      <c r="A700"/>
    </row>
    <row r="701" spans="1:1" x14ac:dyDescent="0.55000000000000004">
      <c r="A701"/>
    </row>
    <row r="702" spans="1:1" x14ac:dyDescent="0.55000000000000004">
      <c r="A702"/>
    </row>
    <row r="703" spans="1:1" x14ac:dyDescent="0.55000000000000004">
      <c r="A703"/>
    </row>
    <row r="704" spans="1:1" x14ac:dyDescent="0.55000000000000004">
      <c r="A704"/>
    </row>
    <row r="705" spans="1:1" x14ac:dyDescent="0.55000000000000004">
      <c r="A705"/>
    </row>
    <row r="706" spans="1:1" x14ac:dyDescent="0.55000000000000004">
      <c r="A706"/>
    </row>
    <row r="707" spans="1:1" x14ac:dyDescent="0.55000000000000004">
      <c r="A707"/>
    </row>
    <row r="708" spans="1:1" x14ac:dyDescent="0.55000000000000004">
      <c r="A708"/>
    </row>
    <row r="709" spans="1:1" x14ac:dyDescent="0.55000000000000004">
      <c r="A709"/>
    </row>
    <row r="710" spans="1:1" x14ac:dyDescent="0.55000000000000004">
      <c r="A710"/>
    </row>
    <row r="711" spans="1:1" x14ac:dyDescent="0.55000000000000004">
      <c r="A711"/>
    </row>
    <row r="712" spans="1:1" x14ac:dyDescent="0.55000000000000004">
      <c r="A712"/>
    </row>
    <row r="713" spans="1:1" x14ac:dyDescent="0.55000000000000004">
      <c r="A713"/>
    </row>
    <row r="714" spans="1:1" x14ac:dyDescent="0.55000000000000004">
      <c r="A714"/>
    </row>
    <row r="715" spans="1:1" x14ac:dyDescent="0.55000000000000004">
      <c r="A715"/>
    </row>
    <row r="716" spans="1:1" x14ac:dyDescent="0.55000000000000004">
      <c r="A716"/>
    </row>
    <row r="717" spans="1:1" x14ac:dyDescent="0.55000000000000004">
      <c r="A717"/>
    </row>
    <row r="718" spans="1:1" x14ac:dyDescent="0.55000000000000004">
      <c r="A718"/>
    </row>
    <row r="719" spans="1:1" x14ac:dyDescent="0.55000000000000004">
      <c r="A719"/>
    </row>
    <row r="720" spans="1:1" x14ac:dyDescent="0.55000000000000004">
      <c r="A720"/>
    </row>
    <row r="721" spans="1:1" x14ac:dyDescent="0.55000000000000004">
      <c r="A721"/>
    </row>
    <row r="722" spans="1:1" x14ac:dyDescent="0.55000000000000004">
      <c r="A722"/>
    </row>
    <row r="723" spans="1:1" x14ac:dyDescent="0.55000000000000004">
      <c r="A723"/>
    </row>
    <row r="724" spans="1:1" x14ac:dyDescent="0.55000000000000004">
      <c r="A724"/>
    </row>
    <row r="725" spans="1:1" x14ac:dyDescent="0.55000000000000004">
      <c r="A725"/>
    </row>
    <row r="726" spans="1:1" x14ac:dyDescent="0.55000000000000004">
      <c r="A726"/>
    </row>
    <row r="727" spans="1:1" x14ac:dyDescent="0.55000000000000004">
      <c r="A727"/>
    </row>
    <row r="728" spans="1:1" x14ac:dyDescent="0.55000000000000004">
      <c r="A728"/>
    </row>
    <row r="729" spans="1:1" x14ac:dyDescent="0.55000000000000004">
      <c r="A729"/>
    </row>
    <row r="730" spans="1:1" x14ac:dyDescent="0.55000000000000004">
      <c r="A730"/>
    </row>
    <row r="731" spans="1:1" x14ac:dyDescent="0.55000000000000004">
      <c r="A731"/>
    </row>
    <row r="732" spans="1:1" x14ac:dyDescent="0.55000000000000004">
      <c r="A732"/>
    </row>
    <row r="733" spans="1:1" x14ac:dyDescent="0.55000000000000004">
      <c r="A733"/>
    </row>
    <row r="734" spans="1:1" x14ac:dyDescent="0.55000000000000004">
      <c r="A734"/>
    </row>
    <row r="735" spans="1:1" x14ac:dyDescent="0.55000000000000004">
      <c r="A735"/>
    </row>
    <row r="736" spans="1:1" x14ac:dyDescent="0.55000000000000004">
      <c r="A736"/>
    </row>
    <row r="737" spans="1:1" x14ac:dyDescent="0.55000000000000004">
      <c r="A737"/>
    </row>
    <row r="738" spans="1:1" x14ac:dyDescent="0.55000000000000004">
      <c r="A738"/>
    </row>
    <row r="739" spans="1:1" x14ac:dyDescent="0.55000000000000004">
      <c r="A739"/>
    </row>
    <row r="740" spans="1:1" x14ac:dyDescent="0.55000000000000004">
      <c r="A740"/>
    </row>
    <row r="741" spans="1:1" x14ac:dyDescent="0.55000000000000004">
      <c r="A741"/>
    </row>
    <row r="742" spans="1:1" x14ac:dyDescent="0.55000000000000004">
      <c r="A742"/>
    </row>
    <row r="743" spans="1:1" x14ac:dyDescent="0.55000000000000004">
      <c r="A743"/>
    </row>
    <row r="744" spans="1:1" x14ac:dyDescent="0.55000000000000004">
      <c r="A744"/>
    </row>
    <row r="745" spans="1:1" x14ac:dyDescent="0.55000000000000004">
      <c r="A745"/>
    </row>
    <row r="746" spans="1:1" x14ac:dyDescent="0.55000000000000004">
      <c r="A746"/>
    </row>
    <row r="747" spans="1:1" x14ac:dyDescent="0.55000000000000004">
      <c r="A747"/>
    </row>
    <row r="748" spans="1:1" x14ac:dyDescent="0.55000000000000004">
      <c r="A748"/>
    </row>
    <row r="749" spans="1:1" x14ac:dyDescent="0.55000000000000004">
      <c r="A749"/>
    </row>
    <row r="750" spans="1:1" x14ac:dyDescent="0.55000000000000004">
      <c r="A750"/>
    </row>
    <row r="751" spans="1:1" x14ac:dyDescent="0.55000000000000004">
      <c r="A751"/>
    </row>
    <row r="752" spans="1:1" x14ac:dyDescent="0.55000000000000004">
      <c r="A752"/>
    </row>
    <row r="753" spans="1:1" x14ac:dyDescent="0.55000000000000004">
      <c r="A753"/>
    </row>
    <row r="754" spans="1:1" x14ac:dyDescent="0.55000000000000004">
      <c r="A754"/>
    </row>
    <row r="755" spans="1:1" x14ac:dyDescent="0.55000000000000004">
      <c r="A755"/>
    </row>
    <row r="756" spans="1:1" x14ac:dyDescent="0.55000000000000004">
      <c r="A756"/>
    </row>
    <row r="757" spans="1:1" x14ac:dyDescent="0.55000000000000004">
      <c r="A757"/>
    </row>
    <row r="758" spans="1:1" x14ac:dyDescent="0.55000000000000004">
      <c r="A758"/>
    </row>
    <row r="759" spans="1:1" x14ac:dyDescent="0.55000000000000004">
      <c r="A759"/>
    </row>
    <row r="760" spans="1:1" x14ac:dyDescent="0.55000000000000004">
      <c r="A760"/>
    </row>
    <row r="761" spans="1:1" x14ac:dyDescent="0.55000000000000004">
      <c r="A761"/>
    </row>
    <row r="762" spans="1:1" x14ac:dyDescent="0.55000000000000004">
      <c r="A762"/>
    </row>
    <row r="763" spans="1:1" x14ac:dyDescent="0.55000000000000004">
      <c r="A763"/>
    </row>
    <row r="764" spans="1:1" x14ac:dyDescent="0.55000000000000004">
      <c r="A764"/>
    </row>
    <row r="765" spans="1:1" x14ac:dyDescent="0.55000000000000004">
      <c r="A765"/>
    </row>
    <row r="766" spans="1:1" x14ac:dyDescent="0.55000000000000004">
      <c r="A766"/>
    </row>
    <row r="767" spans="1:1" x14ac:dyDescent="0.55000000000000004">
      <c r="A767"/>
    </row>
    <row r="768" spans="1:1" x14ac:dyDescent="0.55000000000000004">
      <c r="A768"/>
    </row>
    <row r="769" spans="1:1" x14ac:dyDescent="0.55000000000000004">
      <c r="A769"/>
    </row>
    <row r="770" spans="1:1" x14ac:dyDescent="0.55000000000000004">
      <c r="A770"/>
    </row>
    <row r="771" spans="1:1" x14ac:dyDescent="0.55000000000000004">
      <c r="A771"/>
    </row>
    <row r="772" spans="1:1" x14ac:dyDescent="0.55000000000000004">
      <c r="A772"/>
    </row>
    <row r="773" spans="1:1" x14ac:dyDescent="0.55000000000000004">
      <c r="A773"/>
    </row>
    <row r="774" spans="1:1" x14ac:dyDescent="0.55000000000000004">
      <c r="A774"/>
    </row>
    <row r="775" spans="1:1" x14ac:dyDescent="0.55000000000000004">
      <c r="A775"/>
    </row>
    <row r="776" spans="1:1" x14ac:dyDescent="0.55000000000000004">
      <c r="A776"/>
    </row>
    <row r="777" spans="1:1" x14ac:dyDescent="0.55000000000000004">
      <c r="A777"/>
    </row>
    <row r="778" spans="1:1" x14ac:dyDescent="0.55000000000000004">
      <c r="A778"/>
    </row>
    <row r="779" spans="1:1" x14ac:dyDescent="0.55000000000000004">
      <c r="A779"/>
    </row>
    <row r="780" spans="1:1" x14ac:dyDescent="0.55000000000000004">
      <c r="A780"/>
    </row>
    <row r="781" spans="1:1" x14ac:dyDescent="0.55000000000000004">
      <c r="A781"/>
    </row>
    <row r="782" spans="1:1" x14ac:dyDescent="0.55000000000000004">
      <c r="A782"/>
    </row>
    <row r="783" spans="1:1" x14ac:dyDescent="0.55000000000000004">
      <c r="A783"/>
    </row>
    <row r="784" spans="1:1" x14ac:dyDescent="0.55000000000000004">
      <c r="A784"/>
    </row>
    <row r="785" spans="1:1" x14ac:dyDescent="0.55000000000000004">
      <c r="A785"/>
    </row>
    <row r="786" spans="1:1" x14ac:dyDescent="0.55000000000000004">
      <c r="A786"/>
    </row>
    <row r="787" spans="1:1" x14ac:dyDescent="0.55000000000000004">
      <c r="A787"/>
    </row>
    <row r="788" spans="1:1" x14ac:dyDescent="0.55000000000000004">
      <c r="A788"/>
    </row>
    <row r="789" spans="1:1" x14ac:dyDescent="0.55000000000000004">
      <c r="A789"/>
    </row>
    <row r="790" spans="1:1" x14ac:dyDescent="0.55000000000000004">
      <c r="A790"/>
    </row>
    <row r="791" spans="1:1" x14ac:dyDescent="0.55000000000000004">
      <c r="A791"/>
    </row>
    <row r="792" spans="1:1" x14ac:dyDescent="0.55000000000000004">
      <c r="A792"/>
    </row>
    <row r="793" spans="1:1" x14ac:dyDescent="0.55000000000000004">
      <c r="A793"/>
    </row>
    <row r="794" spans="1:1" x14ac:dyDescent="0.55000000000000004">
      <c r="A794"/>
    </row>
    <row r="795" spans="1:1" x14ac:dyDescent="0.55000000000000004">
      <c r="A795"/>
    </row>
    <row r="796" spans="1:1" x14ac:dyDescent="0.55000000000000004">
      <c r="A796"/>
    </row>
    <row r="797" spans="1:1" x14ac:dyDescent="0.55000000000000004">
      <c r="A797"/>
    </row>
    <row r="798" spans="1:1" x14ac:dyDescent="0.55000000000000004">
      <c r="A798"/>
    </row>
    <row r="799" spans="1:1" x14ac:dyDescent="0.55000000000000004">
      <c r="A799"/>
    </row>
    <row r="800" spans="1:1" x14ac:dyDescent="0.55000000000000004">
      <c r="A800"/>
    </row>
    <row r="801" spans="1:1" x14ac:dyDescent="0.55000000000000004">
      <c r="A801"/>
    </row>
    <row r="802" spans="1:1" x14ac:dyDescent="0.55000000000000004">
      <c r="A802"/>
    </row>
    <row r="803" spans="1:1" x14ac:dyDescent="0.55000000000000004">
      <c r="A803"/>
    </row>
    <row r="804" spans="1:1" x14ac:dyDescent="0.55000000000000004">
      <c r="A804"/>
    </row>
    <row r="805" spans="1:1" x14ac:dyDescent="0.55000000000000004">
      <c r="A805"/>
    </row>
    <row r="806" spans="1:1" x14ac:dyDescent="0.55000000000000004">
      <c r="A806"/>
    </row>
    <row r="807" spans="1:1" x14ac:dyDescent="0.55000000000000004">
      <c r="A807"/>
    </row>
    <row r="808" spans="1:1" x14ac:dyDescent="0.55000000000000004">
      <c r="A808"/>
    </row>
    <row r="809" spans="1:1" x14ac:dyDescent="0.55000000000000004">
      <c r="A809"/>
    </row>
    <row r="810" spans="1:1" x14ac:dyDescent="0.55000000000000004">
      <c r="A810"/>
    </row>
    <row r="811" spans="1:1" x14ac:dyDescent="0.55000000000000004">
      <c r="A811"/>
    </row>
    <row r="812" spans="1:1" x14ac:dyDescent="0.55000000000000004">
      <c r="A812"/>
    </row>
    <row r="813" spans="1:1" x14ac:dyDescent="0.55000000000000004">
      <c r="A813"/>
    </row>
    <row r="814" spans="1:1" x14ac:dyDescent="0.55000000000000004">
      <c r="A814"/>
    </row>
    <row r="815" spans="1:1" x14ac:dyDescent="0.55000000000000004">
      <c r="A815"/>
    </row>
    <row r="816" spans="1:1" x14ac:dyDescent="0.55000000000000004">
      <c r="A816"/>
    </row>
    <row r="817" spans="1:1" x14ac:dyDescent="0.55000000000000004">
      <c r="A817"/>
    </row>
    <row r="818" spans="1:1" x14ac:dyDescent="0.55000000000000004">
      <c r="A818"/>
    </row>
    <row r="819" spans="1:1" x14ac:dyDescent="0.55000000000000004">
      <c r="A819"/>
    </row>
    <row r="820" spans="1:1" x14ac:dyDescent="0.55000000000000004">
      <c r="A820"/>
    </row>
    <row r="821" spans="1:1" x14ac:dyDescent="0.55000000000000004">
      <c r="A821"/>
    </row>
    <row r="822" spans="1:1" x14ac:dyDescent="0.55000000000000004">
      <c r="A822"/>
    </row>
    <row r="823" spans="1:1" x14ac:dyDescent="0.55000000000000004">
      <c r="A823"/>
    </row>
    <row r="824" spans="1:1" x14ac:dyDescent="0.55000000000000004">
      <c r="A824"/>
    </row>
    <row r="825" spans="1:1" x14ac:dyDescent="0.55000000000000004">
      <c r="A825"/>
    </row>
    <row r="826" spans="1:1" x14ac:dyDescent="0.55000000000000004">
      <c r="A826"/>
    </row>
    <row r="827" spans="1:1" x14ac:dyDescent="0.55000000000000004">
      <c r="A827"/>
    </row>
    <row r="828" spans="1:1" x14ac:dyDescent="0.55000000000000004">
      <c r="A828"/>
    </row>
    <row r="829" spans="1:1" x14ac:dyDescent="0.55000000000000004">
      <c r="A829"/>
    </row>
    <row r="830" spans="1:1" x14ac:dyDescent="0.55000000000000004">
      <c r="A830"/>
    </row>
    <row r="831" spans="1:1" x14ac:dyDescent="0.55000000000000004">
      <c r="A831"/>
    </row>
    <row r="832" spans="1:1" x14ac:dyDescent="0.55000000000000004">
      <c r="A832"/>
    </row>
    <row r="833" spans="1:1" x14ac:dyDescent="0.55000000000000004">
      <c r="A833"/>
    </row>
    <row r="834" spans="1:1" x14ac:dyDescent="0.55000000000000004">
      <c r="A834"/>
    </row>
    <row r="835" spans="1:1" x14ac:dyDescent="0.55000000000000004">
      <c r="A835"/>
    </row>
    <row r="836" spans="1:1" x14ac:dyDescent="0.55000000000000004">
      <c r="A836"/>
    </row>
    <row r="837" spans="1:1" x14ac:dyDescent="0.55000000000000004">
      <c r="A837"/>
    </row>
    <row r="838" spans="1:1" x14ac:dyDescent="0.55000000000000004">
      <c r="A838"/>
    </row>
    <row r="839" spans="1:1" x14ac:dyDescent="0.55000000000000004">
      <c r="A839"/>
    </row>
    <row r="840" spans="1:1" x14ac:dyDescent="0.55000000000000004">
      <c r="A840"/>
    </row>
    <row r="841" spans="1:1" x14ac:dyDescent="0.55000000000000004">
      <c r="A841"/>
    </row>
    <row r="842" spans="1:1" x14ac:dyDescent="0.55000000000000004">
      <c r="A842"/>
    </row>
    <row r="843" spans="1:1" x14ac:dyDescent="0.55000000000000004">
      <c r="A843"/>
    </row>
    <row r="844" spans="1:1" x14ac:dyDescent="0.55000000000000004">
      <c r="A844"/>
    </row>
    <row r="845" spans="1:1" x14ac:dyDescent="0.55000000000000004">
      <c r="A845"/>
    </row>
    <row r="846" spans="1:1" x14ac:dyDescent="0.55000000000000004">
      <c r="A846"/>
    </row>
    <row r="847" spans="1:1" x14ac:dyDescent="0.55000000000000004">
      <c r="A847"/>
    </row>
    <row r="848" spans="1:1" x14ac:dyDescent="0.55000000000000004">
      <c r="A848"/>
    </row>
    <row r="849" spans="1:1" x14ac:dyDescent="0.55000000000000004">
      <c r="A849"/>
    </row>
    <row r="850" spans="1:1" x14ac:dyDescent="0.55000000000000004">
      <c r="A850"/>
    </row>
    <row r="851" spans="1:1" x14ac:dyDescent="0.55000000000000004">
      <c r="A851"/>
    </row>
    <row r="852" spans="1:1" x14ac:dyDescent="0.55000000000000004">
      <c r="A852"/>
    </row>
    <row r="853" spans="1:1" x14ac:dyDescent="0.55000000000000004">
      <c r="A853"/>
    </row>
    <row r="854" spans="1:1" x14ac:dyDescent="0.55000000000000004">
      <c r="A854"/>
    </row>
    <row r="855" spans="1:1" x14ac:dyDescent="0.55000000000000004">
      <c r="A855"/>
    </row>
    <row r="856" spans="1:1" x14ac:dyDescent="0.55000000000000004">
      <c r="A856"/>
    </row>
    <row r="857" spans="1:1" x14ac:dyDescent="0.55000000000000004">
      <c r="A857"/>
    </row>
    <row r="858" spans="1:1" x14ac:dyDescent="0.55000000000000004">
      <c r="A858"/>
    </row>
    <row r="859" spans="1:1" x14ac:dyDescent="0.55000000000000004">
      <c r="A859"/>
    </row>
    <row r="860" spans="1:1" x14ac:dyDescent="0.55000000000000004">
      <c r="A860"/>
    </row>
    <row r="861" spans="1:1" x14ac:dyDescent="0.55000000000000004">
      <c r="A861"/>
    </row>
    <row r="862" spans="1:1" x14ac:dyDescent="0.55000000000000004">
      <c r="A862"/>
    </row>
    <row r="863" spans="1:1" x14ac:dyDescent="0.55000000000000004">
      <c r="A863"/>
    </row>
    <row r="864" spans="1:1" x14ac:dyDescent="0.55000000000000004">
      <c r="A864"/>
    </row>
    <row r="865" spans="1:1" x14ac:dyDescent="0.55000000000000004">
      <c r="A865"/>
    </row>
    <row r="866" spans="1:1" x14ac:dyDescent="0.55000000000000004">
      <c r="A866"/>
    </row>
    <row r="867" spans="1:1" x14ac:dyDescent="0.55000000000000004">
      <c r="A867"/>
    </row>
    <row r="868" spans="1:1" x14ac:dyDescent="0.55000000000000004">
      <c r="A868"/>
    </row>
    <row r="869" spans="1:1" x14ac:dyDescent="0.55000000000000004">
      <c r="A869"/>
    </row>
    <row r="870" spans="1:1" x14ac:dyDescent="0.55000000000000004">
      <c r="A870"/>
    </row>
    <row r="871" spans="1:1" x14ac:dyDescent="0.55000000000000004">
      <c r="A871"/>
    </row>
    <row r="872" spans="1:1" x14ac:dyDescent="0.55000000000000004">
      <c r="A872"/>
    </row>
    <row r="873" spans="1:1" x14ac:dyDescent="0.55000000000000004">
      <c r="A873"/>
    </row>
    <row r="874" spans="1:1" x14ac:dyDescent="0.55000000000000004">
      <c r="A874"/>
    </row>
    <row r="875" spans="1:1" x14ac:dyDescent="0.55000000000000004">
      <c r="A875"/>
    </row>
    <row r="876" spans="1:1" x14ac:dyDescent="0.55000000000000004">
      <c r="A876"/>
    </row>
    <row r="877" spans="1:1" x14ac:dyDescent="0.55000000000000004">
      <c r="A877"/>
    </row>
    <row r="878" spans="1:1" x14ac:dyDescent="0.55000000000000004">
      <c r="A878"/>
    </row>
    <row r="879" spans="1:1" x14ac:dyDescent="0.55000000000000004">
      <c r="A879"/>
    </row>
    <row r="880" spans="1:1" x14ac:dyDescent="0.55000000000000004">
      <c r="A880"/>
    </row>
    <row r="881" spans="1:1" x14ac:dyDescent="0.55000000000000004">
      <c r="A881"/>
    </row>
    <row r="882" spans="1:1" x14ac:dyDescent="0.55000000000000004">
      <c r="A882"/>
    </row>
    <row r="883" spans="1:1" x14ac:dyDescent="0.55000000000000004">
      <c r="A883"/>
    </row>
    <row r="884" spans="1:1" x14ac:dyDescent="0.55000000000000004">
      <c r="A884"/>
    </row>
    <row r="885" spans="1:1" x14ac:dyDescent="0.55000000000000004">
      <c r="A885"/>
    </row>
    <row r="886" spans="1:1" x14ac:dyDescent="0.55000000000000004">
      <c r="A886"/>
    </row>
    <row r="887" spans="1:1" x14ac:dyDescent="0.55000000000000004">
      <c r="A887"/>
    </row>
    <row r="888" spans="1:1" x14ac:dyDescent="0.55000000000000004">
      <c r="A888"/>
    </row>
    <row r="889" spans="1:1" x14ac:dyDescent="0.55000000000000004">
      <c r="A889"/>
    </row>
    <row r="890" spans="1:1" x14ac:dyDescent="0.55000000000000004">
      <c r="A890"/>
    </row>
    <row r="891" spans="1:1" x14ac:dyDescent="0.55000000000000004">
      <c r="A891"/>
    </row>
    <row r="892" spans="1:1" x14ac:dyDescent="0.55000000000000004">
      <c r="A892"/>
    </row>
    <row r="893" spans="1:1" x14ac:dyDescent="0.55000000000000004">
      <c r="A893"/>
    </row>
    <row r="894" spans="1:1" x14ac:dyDescent="0.55000000000000004">
      <c r="A894"/>
    </row>
    <row r="895" spans="1:1" x14ac:dyDescent="0.55000000000000004">
      <c r="A895"/>
    </row>
    <row r="896" spans="1:1" x14ac:dyDescent="0.55000000000000004">
      <c r="A896"/>
    </row>
    <row r="897" spans="1:1" x14ac:dyDescent="0.55000000000000004">
      <c r="A897"/>
    </row>
    <row r="898" spans="1:1" x14ac:dyDescent="0.55000000000000004">
      <c r="A898"/>
    </row>
    <row r="899" spans="1:1" x14ac:dyDescent="0.55000000000000004">
      <c r="A899"/>
    </row>
    <row r="900" spans="1:1" x14ac:dyDescent="0.55000000000000004">
      <c r="A900"/>
    </row>
    <row r="901" spans="1:1" x14ac:dyDescent="0.55000000000000004">
      <c r="A901"/>
    </row>
    <row r="902" spans="1:1" x14ac:dyDescent="0.55000000000000004">
      <c r="A902"/>
    </row>
    <row r="903" spans="1:1" x14ac:dyDescent="0.55000000000000004">
      <c r="A903"/>
    </row>
    <row r="904" spans="1:1" x14ac:dyDescent="0.55000000000000004">
      <c r="A904"/>
    </row>
    <row r="905" spans="1:1" x14ac:dyDescent="0.55000000000000004">
      <c r="A905"/>
    </row>
    <row r="906" spans="1:1" x14ac:dyDescent="0.55000000000000004">
      <c r="A906"/>
    </row>
    <row r="907" spans="1:1" x14ac:dyDescent="0.55000000000000004">
      <c r="A907"/>
    </row>
    <row r="908" spans="1:1" x14ac:dyDescent="0.55000000000000004">
      <c r="A908"/>
    </row>
    <row r="909" spans="1:1" x14ac:dyDescent="0.55000000000000004">
      <c r="A909"/>
    </row>
    <row r="910" spans="1:1" x14ac:dyDescent="0.55000000000000004">
      <c r="A910"/>
    </row>
    <row r="911" spans="1:1" x14ac:dyDescent="0.55000000000000004">
      <c r="A911"/>
    </row>
    <row r="912" spans="1:1" x14ac:dyDescent="0.55000000000000004">
      <c r="A912"/>
    </row>
    <row r="913" spans="1:1" x14ac:dyDescent="0.55000000000000004">
      <c r="A913"/>
    </row>
    <row r="914" spans="1:1" x14ac:dyDescent="0.55000000000000004">
      <c r="A914"/>
    </row>
    <row r="915" spans="1:1" x14ac:dyDescent="0.55000000000000004">
      <c r="A915"/>
    </row>
    <row r="916" spans="1:1" x14ac:dyDescent="0.55000000000000004">
      <c r="A916"/>
    </row>
    <row r="917" spans="1:1" x14ac:dyDescent="0.55000000000000004">
      <c r="A917"/>
    </row>
    <row r="918" spans="1:1" x14ac:dyDescent="0.55000000000000004">
      <c r="A918"/>
    </row>
    <row r="919" spans="1:1" x14ac:dyDescent="0.55000000000000004">
      <c r="A919"/>
    </row>
    <row r="920" spans="1:1" x14ac:dyDescent="0.55000000000000004">
      <c r="A920"/>
    </row>
    <row r="921" spans="1:1" x14ac:dyDescent="0.55000000000000004">
      <c r="A921"/>
    </row>
    <row r="922" spans="1:1" x14ac:dyDescent="0.55000000000000004">
      <c r="A922"/>
    </row>
    <row r="923" spans="1:1" x14ac:dyDescent="0.55000000000000004">
      <c r="A923"/>
    </row>
    <row r="924" spans="1:1" x14ac:dyDescent="0.55000000000000004">
      <c r="A924"/>
    </row>
    <row r="925" spans="1:1" x14ac:dyDescent="0.55000000000000004">
      <c r="A925"/>
    </row>
    <row r="926" spans="1:1" x14ac:dyDescent="0.55000000000000004">
      <c r="A926"/>
    </row>
    <row r="927" spans="1:1" x14ac:dyDescent="0.55000000000000004">
      <c r="A927"/>
    </row>
    <row r="928" spans="1:1" x14ac:dyDescent="0.55000000000000004">
      <c r="A928"/>
    </row>
    <row r="929" spans="1:1" x14ac:dyDescent="0.55000000000000004">
      <c r="A929"/>
    </row>
    <row r="930" spans="1:1" x14ac:dyDescent="0.55000000000000004">
      <c r="A930"/>
    </row>
    <row r="931" spans="1:1" x14ac:dyDescent="0.55000000000000004">
      <c r="A931"/>
    </row>
    <row r="932" spans="1:1" x14ac:dyDescent="0.55000000000000004">
      <c r="A932"/>
    </row>
    <row r="933" spans="1:1" x14ac:dyDescent="0.55000000000000004">
      <c r="A933"/>
    </row>
    <row r="934" spans="1:1" x14ac:dyDescent="0.55000000000000004">
      <c r="A934"/>
    </row>
    <row r="935" spans="1:1" x14ac:dyDescent="0.55000000000000004">
      <c r="A935"/>
    </row>
    <row r="936" spans="1:1" x14ac:dyDescent="0.55000000000000004">
      <c r="A936"/>
    </row>
    <row r="937" spans="1:1" x14ac:dyDescent="0.55000000000000004">
      <c r="A937"/>
    </row>
    <row r="938" spans="1:1" x14ac:dyDescent="0.55000000000000004">
      <c r="A938"/>
    </row>
    <row r="939" spans="1:1" x14ac:dyDescent="0.55000000000000004">
      <c r="A939"/>
    </row>
    <row r="940" spans="1:1" x14ac:dyDescent="0.55000000000000004">
      <c r="A940"/>
    </row>
    <row r="941" spans="1:1" x14ac:dyDescent="0.55000000000000004">
      <c r="A941"/>
    </row>
    <row r="942" spans="1:1" x14ac:dyDescent="0.55000000000000004">
      <c r="A942"/>
    </row>
    <row r="943" spans="1:1" x14ac:dyDescent="0.55000000000000004">
      <c r="A943"/>
    </row>
    <row r="944" spans="1:1" x14ac:dyDescent="0.55000000000000004">
      <c r="A944"/>
    </row>
    <row r="945" spans="1:1" x14ac:dyDescent="0.55000000000000004">
      <c r="A945"/>
    </row>
    <row r="946" spans="1:1" x14ac:dyDescent="0.55000000000000004">
      <c r="A946"/>
    </row>
    <row r="947" spans="1:1" x14ac:dyDescent="0.55000000000000004">
      <c r="A947"/>
    </row>
    <row r="948" spans="1:1" x14ac:dyDescent="0.55000000000000004">
      <c r="A948"/>
    </row>
    <row r="949" spans="1:1" x14ac:dyDescent="0.55000000000000004">
      <c r="A949"/>
    </row>
    <row r="950" spans="1:1" x14ac:dyDescent="0.55000000000000004">
      <c r="A950"/>
    </row>
    <row r="951" spans="1:1" x14ac:dyDescent="0.55000000000000004">
      <c r="A951"/>
    </row>
    <row r="952" spans="1:1" x14ac:dyDescent="0.55000000000000004">
      <c r="A952"/>
    </row>
    <row r="953" spans="1:1" x14ac:dyDescent="0.55000000000000004">
      <c r="A953"/>
    </row>
    <row r="954" spans="1:1" x14ac:dyDescent="0.55000000000000004">
      <c r="A954"/>
    </row>
    <row r="955" spans="1:1" x14ac:dyDescent="0.55000000000000004">
      <c r="A955"/>
    </row>
    <row r="956" spans="1:1" x14ac:dyDescent="0.55000000000000004">
      <c r="A956"/>
    </row>
    <row r="957" spans="1:1" x14ac:dyDescent="0.55000000000000004">
      <c r="A957"/>
    </row>
    <row r="958" spans="1:1" x14ac:dyDescent="0.55000000000000004">
      <c r="A958"/>
    </row>
    <row r="959" spans="1:1" x14ac:dyDescent="0.55000000000000004">
      <c r="A959"/>
    </row>
    <row r="960" spans="1:1" x14ac:dyDescent="0.55000000000000004">
      <c r="A960"/>
    </row>
    <row r="961" spans="1:1" x14ac:dyDescent="0.55000000000000004">
      <c r="A961"/>
    </row>
    <row r="962" spans="1:1" x14ac:dyDescent="0.55000000000000004">
      <c r="A962"/>
    </row>
    <row r="963" spans="1:1" x14ac:dyDescent="0.55000000000000004">
      <c r="A963"/>
    </row>
    <row r="964" spans="1:1" x14ac:dyDescent="0.55000000000000004">
      <c r="A964"/>
    </row>
    <row r="965" spans="1:1" x14ac:dyDescent="0.55000000000000004">
      <c r="A965"/>
    </row>
    <row r="966" spans="1:1" x14ac:dyDescent="0.55000000000000004">
      <c r="A966"/>
    </row>
    <row r="967" spans="1:1" x14ac:dyDescent="0.55000000000000004">
      <c r="A967"/>
    </row>
    <row r="968" spans="1:1" x14ac:dyDescent="0.55000000000000004">
      <c r="A968"/>
    </row>
    <row r="969" spans="1:1" x14ac:dyDescent="0.55000000000000004">
      <c r="A969"/>
    </row>
    <row r="970" spans="1:1" x14ac:dyDescent="0.55000000000000004">
      <c r="A970"/>
    </row>
    <row r="971" spans="1:1" x14ac:dyDescent="0.55000000000000004">
      <c r="A971"/>
    </row>
    <row r="972" spans="1:1" x14ac:dyDescent="0.55000000000000004">
      <c r="A972"/>
    </row>
    <row r="973" spans="1:1" x14ac:dyDescent="0.55000000000000004">
      <c r="A973"/>
    </row>
    <row r="974" spans="1:1" x14ac:dyDescent="0.55000000000000004">
      <c r="A974"/>
    </row>
    <row r="975" spans="1:1" x14ac:dyDescent="0.55000000000000004">
      <c r="A975"/>
    </row>
    <row r="976" spans="1:1" x14ac:dyDescent="0.55000000000000004">
      <c r="A976"/>
    </row>
    <row r="977" spans="1:1" x14ac:dyDescent="0.55000000000000004">
      <c r="A977"/>
    </row>
    <row r="978" spans="1:1" x14ac:dyDescent="0.55000000000000004">
      <c r="A978"/>
    </row>
    <row r="979" spans="1:1" x14ac:dyDescent="0.55000000000000004">
      <c r="A979"/>
    </row>
    <row r="980" spans="1:1" x14ac:dyDescent="0.55000000000000004">
      <c r="A980"/>
    </row>
    <row r="981" spans="1:1" x14ac:dyDescent="0.55000000000000004">
      <c r="A981"/>
    </row>
    <row r="982" spans="1:1" x14ac:dyDescent="0.55000000000000004">
      <c r="A982"/>
    </row>
    <row r="983" spans="1:1" x14ac:dyDescent="0.55000000000000004">
      <c r="A983"/>
    </row>
    <row r="984" spans="1:1" x14ac:dyDescent="0.55000000000000004">
      <c r="A984"/>
    </row>
    <row r="985" spans="1:1" x14ac:dyDescent="0.55000000000000004">
      <c r="A985"/>
    </row>
    <row r="986" spans="1:1" x14ac:dyDescent="0.55000000000000004">
      <c r="A986"/>
    </row>
    <row r="987" spans="1:1" x14ac:dyDescent="0.55000000000000004">
      <c r="A987"/>
    </row>
    <row r="988" spans="1:1" x14ac:dyDescent="0.55000000000000004">
      <c r="A988"/>
    </row>
    <row r="989" spans="1:1" x14ac:dyDescent="0.55000000000000004">
      <c r="A989"/>
    </row>
    <row r="990" spans="1:1" x14ac:dyDescent="0.55000000000000004">
      <c r="A990"/>
    </row>
    <row r="991" spans="1:1" x14ac:dyDescent="0.55000000000000004">
      <c r="A991"/>
    </row>
    <row r="992" spans="1:1" x14ac:dyDescent="0.55000000000000004">
      <c r="A992"/>
    </row>
    <row r="993" spans="1:1" x14ac:dyDescent="0.55000000000000004">
      <c r="A993"/>
    </row>
    <row r="994" spans="1:1" x14ac:dyDescent="0.55000000000000004">
      <c r="A994"/>
    </row>
    <row r="995" spans="1:1" x14ac:dyDescent="0.55000000000000004">
      <c r="A995"/>
    </row>
    <row r="996" spans="1:1" x14ac:dyDescent="0.55000000000000004">
      <c r="A996"/>
    </row>
    <row r="997" spans="1:1" x14ac:dyDescent="0.55000000000000004">
      <c r="A997"/>
    </row>
    <row r="998" spans="1:1" x14ac:dyDescent="0.55000000000000004">
      <c r="A998"/>
    </row>
    <row r="999" spans="1:1" x14ac:dyDescent="0.55000000000000004">
      <c r="A999"/>
    </row>
    <row r="1000" spans="1:1" x14ac:dyDescent="0.55000000000000004">
      <c r="A1000"/>
    </row>
    <row r="1001" spans="1:1" x14ac:dyDescent="0.55000000000000004">
      <c r="A1001"/>
    </row>
    <row r="1002" spans="1:1" x14ac:dyDescent="0.55000000000000004">
      <c r="A1002"/>
    </row>
    <row r="1003" spans="1:1" x14ac:dyDescent="0.55000000000000004">
      <c r="A1003"/>
    </row>
    <row r="1004" spans="1:1" x14ac:dyDescent="0.55000000000000004">
      <c r="A1004"/>
    </row>
    <row r="1005" spans="1:1" x14ac:dyDescent="0.55000000000000004">
      <c r="A1005"/>
    </row>
    <row r="1006" spans="1:1" x14ac:dyDescent="0.55000000000000004">
      <c r="A1006"/>
    </row>
    <row r="1007" spans="1:1" x14ac:dyDescent="0.55000000000000004">
      <c r="A1007"/>
    </row>
    <row r="1008" spans="1:1" x14ac:dyDescent="0.55000000000000004">
      <c r="A1008"/>
    </row>
    <row r="1009" spans="1:1" x14ac:dyDescent="0.55000000000000004">
      <c r="A1009"/>
    </row>
    <row r="1010" spans="1:1" x14ac:dyDescent="0.55000000000000004">
      <c r="A1010"/>
    </row>
    <row r="1011" spans="1:1" x14ac:dyDescent="0.55000000000000004">
      <c r="A1011"/>
    </row>
    <row r="1012" spans="1:1" x14ac:dyDescent="0.55000000000000004">
      <c r="A1012"/>
    </row>
    <row r="1013" spans="1:1" x14ac:dyDescent="0.55000000000000004">
      <c r="A1013"/>
    </row>
    <row r="1014" spans="1:1" x14ac:dyDescent="0.55000000000000004">
      <c r="A1014"/>
    </row>
    <row r="1015" spans="1:1" x14ac:dyDescent="0.55000000000000004">
      <c r="A1015"/>
    </row>
    <row r="1016" spans="1:1" x14ac:dyDescent="0.55000000000000004">
      <c r="A1016"/>
    </row>
    <row r="1017" spans="1:1" x14ac:dyDescent="0.55000000000000004">
      <c r="A1017"/>
    </row>
    <row r="1018" spans="1:1" x14ac:dyDescent="0.55000000000000004">
      <c r="A1018"/>
    </row>
    <row r="1019" spans="1:1" x14ac:dyDescent="0.55000000000000004">
      <c r="A1019"/>
    </row>
    <row r="1020" spans="1:1" x14ac:dyDescent="0.55000000000000004">
      <c r="A1020"/>
    </row>
    <row r="1021" spans="1:1" x14ac:dyDescent="0.55000000000000004">
      <c r="A1021"/>
    </row>
    <row r="1022" spans="1:1" x14ac:dyDescent="0.55000000000000004">
      <c r="A1022"/>
    </row>
    <row r="1023" spans="1:1" x14ac:dyDescent="0.55000000000000004">
      <c r="A1023"/>
    </row>
    <row r="1024" spans="1:1" x14ac:dyDescent="0.55000000000000004">
      <c r="A1024"/>
    </row>
    <row r="1025" spans="1:1" x14ac:dyDescent="0.55000000000000004">
      <c r="A1025"/>
    </row>
    <row r="1026" spans="1:1" x14ac:dyDescent="0.55000000000000004">
      <c r="A1026"/>
    </row>
    <row r="1027" spans="1:1" x14ac:dyDescent="0.55000000000000004">
      <c r="A1027"/>
    </row>
    <row r="1028" spans="1:1" x14ac:dyDescent="0.55000000000000004">
      <c r="A1028"/>
    </row>
    <row r="1029" spans="1:1" x14ac:dyDescent="0.55000000000000004">
      <c r="A1029"/>
    </row>
    <row r="1030" spans="1:1" x14ac:dyDescent="0.55000000000000004">
      <c r="A1030"/>
    </row>
    <row r="1031" spans="1:1" x14ac:dyDescent="0.55000000000000004">
      <c r="A1031"/>
    </row>
    <row r="1032" spans="1:1" x14ac:dyDescent="0.55000000000000004">
      <c r="A1032"/>
    </row>
    <row r="1033" spans="1:1" x14ac:dyDescent="0.55000000000000004">
      <c r="A1033"/>
    </row>
    <row r="1034" spans="1:1" x14ac:dyDescent="0.55000000000000004">
      <c r="A1034"/>
    </row>
    <row r="1035" spans="1:1" x14ac:dyDescent="0.55000000000000004">
      <c r="A1035"/>
    </row>
    <row r="1036" spans="1:1" x14ac:dyDescent="0.55000000000000004">
      <c r="A1036"/>
    </row>
    <row r="1037" spans="1:1" x14ac:dyDescent="0.55000000000000004">
      <c r="A1037"/>
    </row>
    <row r="1038" spans="1:1" x14ac:dyDescent="0.55000000000000004">
      <c r="A1038"/>
    </row>
    <row r="1039" spans="1:1" x14ac:dyDescent="0.55000000000000004">
      <c r="A1039"/>
    </row>
    <row r="1040" spans="1:1" x14ac:dyDescent="0.55000000000000004">
      <c r="A1040"/>
    </row>
    <row r="1041" spans="1:1" x14ac:dyDescent="0.55000000000000004">
      <c r="A1041"/>
    </row>
    <row r="1042" spans="1:1" x14ac:dyDescent="0.55000000000000004">
      <c r="A1042"/>
    </row>
    <row r="1043" spans="1:1" x14ac:dyDescent="0.55000000000000004">
      <c r="A1043"/>
    </row>
    <row r="1044" spans="1:1" x14ac:dyDescent="0.55000000000000004">
      <c r="A1044"/>
    </row>
    <row r="1045" spans="1:1" x14ac:dyDescent="0.55000000000000004">
      <c r="A1045"/>
    </row>
    <row r="1046" spans="1:1" x14ac:dyDescent="0.55000000000000004">
      <c r="A1046"/>
    </row>
    <row r="1047" spans="1:1" x14ac:dyDescent="0.55000000000000004">
      <c r="A1047"/>
    </row>
    <row r="1048" spans="1:1" x14ac:dyDescent="0.55000000000000004">
      <c r="A1048"/>
    </row>
    <row r="1049" spans="1:1" x14ac:dyDescent="0.55000000000000004">
      <c r="A1049"/>
    </row>
    <row r="1050" spans="1:1" x14ac:dyDescent="0.55000000000000004">
      <c r="A1050"/>
    </row>
    <row r="1051" spans="1:1" x14ac:dyDescent="0.55000000000000004">
      <c r="A1051"/>
    </row>
    <row r="1052" spans="1:1" x14ac:dyDescent="0.55000000000000004">
      <c r="A1052"/>
    </row>
    <row r="1053" spans="1:1" x14ac:dyDescent="0.55000000000000004">
      <c r="A1053"/>
    </row>
    <row r="1054" spans="1:1" x14ac:dyDescent="0.55000000000000004">
      <c r="A1054"/>
    </row>
    <row r="1055" spans="1:1" x14ac:dyDescent="0.55000000000000004">
      <c r="A1055"/>
    </row>
    <row r="1056" spans="1:1" x14ac:dyDescent="0.55000000000000004">
      <c r="A1056"/>
    </row>
    <row r="1057" spans="1:1" x14ac:dyDescent="0.55000000000000004">
      <c r="A1057"/>
    </row>
    <row r="1058" spans="1:1" x14ac:dyDescent="0.55000000000000004">
      <c r="A1058"/>
    </row>
    <row r="1059" spans="1:1" x14ac:dyDescent="0.55000000000000004">
      <c r="A1059"/>
    </row>
    <row r="1060" spans="1:1" x14ac:dyDescent="0.55000000000000004">
      <c r="A1060"/>
    </row>
    <row r="1061" spans="1:1" x14ac:dyDescent="0.55000000000000004">
      <c r="A1061"/>
    </row>
    <row r="1062" spans="1:1" x14ac:dyDescent="0.55000000000000004">
      <c r="A1062"/>
    </row>
    <row r="1063" spans="1:1" x14ac:dyDescent="0.55000000000000004">
      <c r="A1063"/>
    </row>
    <row r="1064" spans="1:1" x14ac:dyDescent="0.55000000000000004">
      <c r="A1064"/>
    </row>
    <row r="1065" spans="1:1" x14ac:dyDescent="0.55000000000000004">
      <c r="A1065"/>
    </row>
    <row r="1066" spans="1:1" x14ac:dyDescent="0.55000000000000004">
      <c r="A1066"/>
    </row>
    <row r="1067" spans="1:1" x14ac:dyDescent="0.55000000000000004">
      <c r="A1067"/>
    </row>
    <row r="1068" spans="1:1" x14ac:dyDescent="0.55000000000000004">
      <c r="A1068"/>
    </row>
    <row r="1069" spans="1:1" x14ac:dyDescent="0.55000000000000004">
      <c r="A1069"/>
    </row>
    <row r="1070" spans="1:1" x14ac:dyDescent="0.55000000000000004">
      <c r="A1070"/>
    </row>
    <row r="1071" spans="1:1" x14ac:dyDescent="0.55000000000000004">
      <c r="A1071"/>
    </row>
    <row r="1072" spans="1:1" x14ac:dyDescent="0.55000000000000004">
      <c r="A1072"/>
    </row>
    <row r="1073" spans="1:1" x14ac:dyDescent="0.55000000000000004">
      <c r="A1073"/>
    </row>
    <row r="1074" spans="1:1" x14ac:dyDescent="0.55000000000000004">
      <c r="A1074"/>
    </row>
    <row r="1075" spans="1:1" x14ac:dyDescent="0.55000000000000004">
      <c r="A1075"/>
    </row>
    <row r="1076" spans="1:1" x14ac:dyDescent="0.55000000000000004">
      <c r="A1076"/>
    </row>
    <row r="1077" spans="1:1" x14ac:dyDescent="0.55000000000000004">
      <c r="A1077"/>
    </row>
    <row r="1078" spans="1:1" x14ac:dyDescent="0.55000000000000004">
      <c r="A1078"/>
    </row>
    <row r="1079" spans="1:1" x14ac:dyDescent="0.55000000000000004">
      <c r="A1079"/>
    </row>
    <row r="1080" spans="1:1" x14ac:dyDescent="0.55000000000000004">
      <c r="A1080"/>
    </row>
    <row r="1081" spans="1:1" x14ac:dyDescent="0.55000000000000004">
      <c r="A1081"/>
    </row>
    <row r="1082" spans="1:1" x14ac:dyDescent="0.55000000000000004">
      <c r="A1082"/>
    </row>
    <row r="1083" spans="1:1" x14ac:dyDescent="0.55000000000000004">
      <c r="A1083"/>
    </row>
    <row r="1084" spans="1:1" x14ac:dyDescent="0.55000000000000004">
      <c r="A1084"/>
    </row>
    <row r="1085" spans="1:1" x14ac:dyDescent="0.55000000000000004">
      <c r="A1085"/>
    </row>
    <row r="1086" spans="1:1" x14ac:dyDescent="0.55000000000000004">
      <c r="A1086"/>
    </row>
    <row r="1087" spans="1:1" x14ac:dyDescent="0.55000000000000004">
      <c r="A1087"/>
    </row>
    <row r="1088" spans="1:1" x14ac:dyDescent="0.55000000000000004">
      <c r="A1088"/>
    </row>
    <row r="1089" spans="1:1" x14ac:dyDescent="0.55000000000000004">
      <c r="A1089"/>
    </row>
    <row r="1090" spans="1:1" x14ac:dyDescent="0.55000000000000004">
      <c r="A1090"/>
    </row>
    <row r="1091" spans="1:1" x14ac:dyDescent="0.55000000000000004">
      <c r="A1091"/>
    </row>
    <row r="1092" spans="1:1" x14ac:dyDescent="0.55000000000000004">
      <c r="A1092"/>
    </row>
    <row r="1093" spans="1:1" x14ac:dyDescent="0.55000000000000004">
      <c r="A1093"/>
    </row>
    <row r="1094" spans="1:1" x14ac:dyDescent="0.55000000000000004">
      <c r="A1094"/>
    </row>
    <row r="1095" spans="1:1" x14ac:dyDescent="0.55000000000000004">
      <c r="A1095"/>
    </row>
    <row r="1096" spans="1:1" x14ac:dyDescent="0.55000000000000004">
      <c r="A1096"/>
    </row>
    <row r="1097" spans="1:1" x14ac:dyDescent="0.55000000000000004">
      <c r="A1097"/>
    </row>
    <row r="1098" spans="1:1" x14ac:dyDescent="0.55000000000000004">
      <c r="A1098"/>
    </row>
    <row r="1099" spans="1:1" x14ac:dyDescent="0.55000000000000004">
      <c r="A1099"/>
    </row>
    <row r="1100" spans="1:1" x14ac:dyDescent="0.55000000000000004">
      <c r="A1100"/>
    </row>
    <row r="1101" spans="1:1" x14ac:dyDescent="0.55000000000000004">
      <c r="A1101"/>
    </row>
    <row r="1102" spans="1:1" x14ac:dyDescent="0.55000000000000004">
      <c r="A1102"/>
    </row>
    <row r="1103" spans="1:1" x14ac:dyDescent="0.55000000000000004">
      <c r="A1103"/>
    </row>
    <row r="1104" spans="1:1" x14ac:dyDescent="0.55000000000000004">
      <c r="A1104"/>
    </row>
    <row r="1105" spans="1:1" x14ac:dyDescent="0.55000000000000004">
      <c r="A1105"/>
    </row>
    <row r="1106" spans="1:1" x14ac:dyDescent="0.55000000000000004">
      <c r="A1106"/>
    </row>
    <row r="1107" spans="1:1" x14ac:dyDescent="0.55000000000000004">
      <c r="A1107"/>
    </row>
    <row r="1108" spans="1:1" x14ac:dyDescent="0.55000000000000004">
      <c r="A1108"/>
    </row>
    <row r="1109" spans="1:1" x14ac:dyDescent="0.55000000000000004">
      <c r="A1109"/>
    </row>
    <row r="1110" spans="1:1" x14ac:dyDescent="0.55000000000000004">
      <c r="A1110"/>
    </row>
    <row r="1111" spans="1:1" x14ac:dyDescent="0.55000000000000004">
      <c r="A1111"/>
    </row>
    <row r="1112" spans="1:1" x14ac:dyDescent="0.55000000000000004">
      <c r="A1112"/>
    </row>
    <row r="1113" spans="1:1" x14ac:dyDescent="0.55000000000000004">
      <c r="A1113"/>
    </row>
    <row r="1114" spans="1:1" x14ac:dyDescent="0.55000000000000004">
      <c r="A1114"/>
    </row>
    <row r="1115" spans="1:1" x14ac:dyDescent="0.55000000000000004">
      <c r="A1115"/>
    </row>
    <row r="1116" spans="1:1" x14ac:dyDescent="0.55000000000000004">
      <c r="A1116"/>
    </row>
    <row r="1117" spans="1:1" x14ac:dyDescent="0.55000000000000004">
      <c r="A1117"/>
    </row>
    <row r="1118" spans="1:1" x14ac:dyDescent="0.55000000000000004">
      <c r="A1118"/>
    </row>
    <row r="1119" spans="1:1" x14ac:dyDescent="0.55000000000000004">
      <c r="A1119"/>
    </row>
    <row r="1120" spans="1:1" x14ac:dyDescent="0.55000000000000004">
      <c r="A1120"/>
    </row>
    <row r="1121" spans="1:1" x14ac:dyDescent="0.55000000000000004">
      <c r="A1121"/>
    </row>
    <row r="1122" spans="1:1" x14ac:dyDescent="0.55000000000000004">
      <c r="A1122"/>
    </row>
    <row r="1123" spans="1:1" x14ac:dyDescent="0.55000000000000004">
      <c r="A1123"/>
    </row>
    <row r="1124" spans="1:1" x14ac:dyDescent="0.55000000000000004">
      <c r="A1124"/>
    </row>
    <row r="1125" spans="1:1" x14ac:dyDescent="0.55000000000000004">
      <c r="A1125"/>
    </row>
    <row r="1126" spans="1:1" x14ac:dyDescent="0.55000000000000004">
      <c r="A1126"/>
    </row>
    <row r="1127" spans="1:1" x14ac:dyDescent="0.55000000000000004">
      <c r="A1127"/>
    </row>
    <row r="1128" spans="1:1" x14ac:dyDescent="0.55000000000000004">
      <c r="A1128"/>
    </row>
    <row r="1129" spans="1:1" x14ac:dyDescent="0.55000000000000004">
      <c r="A1129"/>
    </row>
    <row r="1130" spans="1:1" x14ac:dyDescent="0.55000000000000004">
      <c r="A1130"/>
    </row>
    <row r="1131" spans="1:1" x14ac:dyDescent="0.55000000000000004">
      <c r="A1131"/>
    </row>
    <row r="1132" spans="1:1" x14ac:dyDescent="0.55000000000000004">
      <c r="A1132"/>
    </row>
    <row r="1133" spans="1:1" x14ac:dyDescent="0.55000000000000004">
      <c r="A1133"/>
    </row>
    <row r="1134" spans="1:1" x14ac:dyDescent="0.55000000000000004">
      <c r="A1134"/>
    </row>
    <row r="1135" spans="1:1" x14ac:dyDescent="0.55000000000000004">
      <c r="A1135"/>
    </row>
    <row r="1136" spans="1:1" x14ac:dyDescent="0.55000000000000004">
      <c r="A1136"/>
    </row>
    <row r="1137" spans="1:1" x14ac:dyDescent="0.55000000000000004">
      <c r="A1137"/>
    </row>
    <row r="1138" spans="1:1" x14ac:dyDescent="0.55000000000000004">
      <c r="A1138"/>
    </row>
    <row r="1139" spans="1:1" x14ac:dyDescent="0.55000000000000004">
      <c r="A1139"/>
    </row>
    <row r="1140" spans="1:1" x14ac:dyDescent="0.55000000000000004">
      <c r="A1140"/>
    </row>
    <row r="1141" spans="1:1" x14ac:dyDescent="0.55000000000000004">
      <c r="A1141"/>
    </row>
    <row r="1142" spans="1:1" x14ac:dyDescent="0.55000000000000004">
      <c r="A1142"/>
    </row>
    <row r="1143" spans="1:1" x14ac:dyDescent="0.55000000000000004">
      <c r="A1143"/>
    </row>
    <row r="1144" spans="1:1" x14ac:dyDescent="0.55000000000000004">
      <c r="A1144"/>
    </row>
    <row r="1145" spans="1:1" x14ac:dyDescent="0.55000000000000004">
      <c r="A1145"/>
    </row>
    <row r="1146" spans="1:1" x14ac:dyDescent="0.55000000000000004">
      <c r="A1146"/>
    </row>
    <row r="1147" spans="1:1" x14ac:dyDescent="0.55000000000000004">
      <c r="A1147"/>
    </row>
    <row r="1148" spans="1:1" x14ac:dyDescent="0.55000000000000004">
      <c r="A1148"/>
    </row>
    <row r="1149" spans="1:1" x14ac:dyDescent="0.55000000000000004">
      <c r="A1149"/>
    </row>
    <row r="1150" spans="1:1" x14ac:dyDescent="0.55000000000000004">
      <c r="A1150"/>
    </row>
    <row r="1151" spans="1:1" x14ac:dyDescent="0.55000000000000004">
      <c r="A1151"/>
    </row>
    <row r="1152" spans="1:1" x14ac:dyDescent="0.55000000000000004">
      <c r="A1152"/>
    </row>
    <row r="1153" spans="1:1" x14ac:dyDescent="0.55000000000000004">
      <c r="A1153"/>
    </row>
    <row r="1154" spans="1:1" x14ac:dyDescent="0.55000000000000004">
      <c r="A1154"/>
    </row>
    <row r="1155" spans="1:1" x14ac:dyDescent="0.55000000000000004">
      <c r="A1155"/>
    </row>
    <row r="1156" spans="1:1" x14ac:dyDescent="0.55000000000000004">
      <c r="A1156"/>
    </row>
    <row r="1157" spans="1:1" x14ac:dyDescent="0.55000000000000004">
      <c r="A1157"/>
    </row>
    <row r="1158" spans="1:1" x14ac:dyDescent="0.55000000000000004">
      <c r="A1158"/>
    </row>
    <row r="1159" spans="1:1" x14ac:dyDescent="0.55000000000000004">
      <c r="A1159"/>
    </row>
    <row r="1160" spans="1:1" x14ac:dyDescent="0.55000000000000004">
      <c r="A1160"/>
    </row>
    <row r="1161" spans="1:1" x14ac:dyDescent="0.55000000000000004">
      <c r="A1161"/>
    </row>
    <row r="1162" spans="1:1" x14ac:dyDescent="0.55000000000000004">
      <c r="A1162"/>
    </row>
    <row r="1163" spans="1:1" x14ac:dyDescent="0.55000000000000004">
      <c r="A1163"/>
    </row>
    <row r="1164" spans="1:1" x14ac:dyDescent="0.55000000000000004">
      <c r="A1164"/>
    </row>
    <row r="1165" spans="1:1" x14ac:dyDescent="0.55000000000000004">
      <c r="A1165"/>
    </row>
    <row r="1166" spans="1:1" x14ac:dyDescent="0.55000000000000004">
      <c r="A1166"/>
    </row>
    <row r="1167" spans="1:1" x14ac:dyDescent="0.55000000000000004">
      <c r="A1167"/>
    </row>
    <row r="1168" spans="1:1" x14ac:dyDescent="0.55000000000000004">
      <c r="A1168"/>
    </row>
    <row r="1169" spans="1:1" x14ac:dyDescent="0.55000000000000004">
      <c r="A1169"/>
    </row>
    <row r="1170" spans="1:1" x14ac:dyDescent="0.55000000000000004">
      <c r="A1170"/>
    </row>
    <row r="1171" spans="1:1" x14ac:dyDescent="0.55000000000000004">
      <c r="A1171"/>
    </row>
    <row r="1172" spans="1:1" x14ac:dyDescent="0.55000000000000004">
      <c r="A1172"/>
    </row>
    <row r="1173" spans="1:1" x14ac:dyDescent="0.55000000000000004">
      <c r="A1173"/>
    </row>
    <row r="1174" spans="1:1" x14ac:dyDescent="0.55000000000000004">
      <c r="A1174"/>
    </row>
    <row r="1175" spans="1:1" x14ac:dyDescent="0.55000000000000004">
      <c r="A1175"/>
    </row>
    <row r="1176" spans="1:1" x14ac:dyDescent="0.55000000000000004">
      <c r="A1176"/>
    </row>
    <row r="1177" spans="1:1" x14ac:dyDescent="0.55000000000000004">
      <c r="A1177"/>
    </row>
    <row r="1178" spans="1:1" x14ac:dyDescent="0.55000000000000004">
      <c r="A1178"/>
    </row>
    <row r="1179" spans="1:1" x14ac:dyDescent="0.55000000000000004">
      <c r="A1179"/>
    </row>
    <row r="1180" spans="1:1" x14ac:dyDescent="0.55000000000000004">
      <c r="A1180"/>
    </row>
    <row r="1181" spans="1:1" x14ac:dyDescent="0.55000000000000004">
      <c r="A1181"/>
    </row>
    <row r="1182" spans="1:1" x14ac:dyDescent="0.55000000000000004">
      <c r="A1182"/>
    </row>
    <row r="1183" spans="1:1" x14ac:dyDescent="0.55000000000000004">
      <c r="A1183"/>
    </row>
    <row r="1184" spans="1:1" x14ac:dyDescent="0.55000000000000004">
      <c r="A1184"/>
    </row>
    <row r="1185" spans="1:1" x14ac:dyDescent="0.55000000000000004">
      <c r="A1185"/>
    </row>
    <row r="1186" spans="1:1" x14ac:dyDescent="0.55000000000000004">
      <c r="A1186"/>
    </row>
    <row r="1187" spans="1:1" x14ac:dyDescent="0.55000000000000004">
      <c r="A1187"/>
    </row>
    <row r="1188" spans="1:1" x14ac:dyDescent="0.55000000000000004">
      <c r="A1188"/>
    </row>
    <row r="1189" spans="1:1" x14ac:dyDescent="0.55000000000000004">
      <c r="A1189"/>
    </row>
    <row r="1190" spans="1:1" x14ac:dyDescent="0.55000000000000004">
      <c r="A1190"/>
    </row>
    <row r="1191" spans="1:1" x14ac:dyDescent="0.55000000000000004">
      <c r="A1191"/>
    </row>
    <row r="1192" spans="1:1" x14ac:dyDescent="0.55000000000000004">
      <c r="A1192"/>
    </row>
    <row r="1193" spans="1:1" x14ac:dyDescent="0.55000000000000004">
      <c r="A1193"/>
    </row>
    <row r="1194" spans="1:1" x14ac:dyDescent="0.55000000000000004">
      <c r="A1194"/>
    </row>
    <row r="1195" spans="1:1" x14ac:dyDescent="0.55000000000000004">
      <c r="A1195"/>
    </row>
    <row r="1196" spans="1:1" x14ac:dyDescent="0.55000000000000004">
      <c r="A1196"/>
    </row>
    <row r="1197" spans="1:1" x14ac:dyDescent="0.55000000000000004">
      <c r="A1197"/>
    </row>
    <row r="1198" spans="1:1" x14ac:dyDescent="0.55000000000000004">
      <c r="A1198"/>
    </row>
    <row r="1199" spans="1:1" x14ac:dyDescent="0.55000000000000004">
      <c r="A1199"/>
    </row>
    <row r="1200" spans="1:1" x14ac:dyDescent="0.55000000000000004">
      <c r="A1200"/>
    </row>
    <row r="1201" spans="1:1" x14ac:dyDescent="0.55000000000000004">
      <c r="A1201"/>
    </row>
    <row r="1202" spans="1:1" x14ac:dyDescent="0.55000000000000004">
      <c r="A1202"/>
    </row>
    <row r="1203" spans="1:1" x14ac:dyDescent="0.55000000000000004">
      <c r="A1203"/>
    </row>
    <row r="1204" spans="1:1" x14ac:dyDescent="0.55000000000000004">
      <c r="A1204"/>
    </row>
    <row r="1205" spans="1:1" x14ac:dyDescent="0.55000000000000004">
      <c r="A1205"/>
    </row>
    <row r="1206" spans="1:1" x14ac:dyDescent="0.55000000000000004">
      <c r="A1206"/>
    </row>
    <row r="1207" spans="1:1" x14ac:dyDescent="0.55000000000000004">
      <c r="A1207"/>
    </row>
    <row r="1208" spans="1:1" x14ac:dyDescent="0.55000000000000004">
      <c r="A1208"/>
    </row>
    <row r="1209" spans="1:1" x14ac:dyDescent="0.55000000000000004">
      <c r="A1209"/>
    </row>
    <row r="1210" spans="1:1" x14ac:dyDescent="0.55000000000000004">
      <c r="A1210"/>
    </row>
    <row r="1211" spans="1:1" x14ac:dyDescent="0.55000000000000004">
      <c r="A1211"/>
    </row>
    <row r="1212" spans="1:1" x14ac:dyDescent="0.55000000000000004">
      <c r="A1212"/>
    </row>
    <row r="1213" spans="1:1" x14ac:dyDescent="0.55000000000000004">
      <c r="A1213"/>
    </row>
    <row r="1214" spans="1:1" x14ac:dyDescent="0.55000000000000004">
      <c r="A1214"/>
    </row>
    <row r="1215" spans="1:1" x14ac:dyDescent="0.55000000000000004">
      <c r="A1215"/>
    </row>
    <row r="1216" spans="1:1" x14ac:dyDescent="0.55000000000000004">
      <c r="A1216"/>
    </row>
    <row r="1217" spans="1:1" x14ac:dyDescent="0.55000000000000004">
      <c r="A1217"/>
    </row>
    <row r="1218" spans="1:1" x14ac:dyDescent="0.55000000000000004">
      <c r="A1218"/>
    </row>
    <row r="1219" spans="1:1" x14ac:dyDescent="0.55000000000000004">
      <c r="A1219"/>
    </row>
    <row r="1220" spans="1:1" x14ac:dyDescent="0.55000000000000004">
      <c r="A1220"/>
    </row>
    <row r="1221" spans="1:1" x14ac:dyDescent="0.55000000000000004">
      <c r="A1221"/>
    </row>
    <row r="1222" spans="1:1" x14ac:dyDescent="0.55000000000000004">
      <c r="A1222"/>
    </row>
    <row r="1223" spans="1:1" x14ac:dyDescent="0.55000000000000004">
      <c r="A1223"/>
    </row>
    <row r="1224" spans="1:1" x14ac:dyDescent="0.55000000000000004">
      <c r="A1224"/>
    </row>
    <row r="1225" spans="1:1" x14ac:dyDescent="0.55000000000000004">
      <c r="A1225"/>
    </row>
    <row r="1226" spans="1:1" x14ac:dyDescent="0.55000000000000004">
      <c r="A1226"/>
    </row>
    <row r="1227" spans="1:1" x14ac:dyDescent="0.55000000000000004">
      <c r="A1227"/>
    </row>
    <row r="1228" spans="1:1" x14ac:dyDescent="0.55000000000000004">
      <c r="A1228"/>
    </row>
    <row r="1229" spans="1:1" x14ac:dyDescent="0.55000000000000004">
      <c r="A1229"/>
    </row>
    <row r="1230" spans="1:1" x14ac:dyDescent="0.55000000000000004">
      <c r="A1230"/>
    </row>
    <row r="1231" spans="1:1" x14ac:dyDescent="0.55000000000000004">
      <c r="A1231"/>
    </row>
    <row r="1232" spans="1:1" x14ac:dyDescent="0.55000000000000004">
      <c r="A1232"/>
    </row>
    <row r="1233" spans="1:1" x14ac:dyDescent="0.55000000000000004">
      <c r="A1233"/>
    </row>
    <row r="1234" spans="1:1" x14ac:dyDescent="0.55000000000000004">
      <c r="A1234"/>
    </row>
    <row r="1235" spans="1:1" x14ac:dyDescent="0.55000000000000004">
      <c r="A1235"/>
    </row>
    <row r="1236" spans="1:1" x14ac:dyDescent="0.55000000000000004">
      <c r="A1236"/>
    </row>
    <row r="1237" spans="1:1" x14ac:dyDescent="0.55000000000000004">
      <c r="A1237"/>
    </row>
    <row r="1238" spans="1:1" x14ac:dyDescent="0.55000000000000004">
      <c r="A1238"/>
    </row>
    <row r="1239" spans="1:1" x14ac:dyDescent="0.55000000000000004">
      <c r="A1239"/>
    </row>
    <row r="1240" spans="1:1" x14ac:dyDescent="0.55000000000000004">
      <c r="A1240"/>
    </row>
    <row r="1241" spans="1:1" x14ac:dyDescent="0.55000000000000004">
      <c r="A1241"/>
    </row>
    <row r="1242" spans="1:1" x14ac:dyDescent="0.55000000000000004">
      <c r="A1242"/>
    </row>
    <row r="1243" spans="1:1" x14ac:dyDescent="0.55000000000000004">
      <c r="A1243"/>
    </row>
    <row r="1244" spans="1:1" x14ac:dyDescent="0.55000000000000004">
      <c r="A1244"/>
    </row>
    <row r="1245" spans="1:1" x14ac:dyDescent="0.55000000000000004">
      <c r="A1245"/>
    </row>
    <row r="1246" spans="1:1" x14ac:dyDescent="0.55000000000000004">
      <c r="A1246"/>
    </row>
    <row r="1247" spans="1:1" x14ac:dyDescent="0.55000000000000004">
      <c r="A1247"/>
    </row>
    <row r="1248" spans="1:1" x14ac:dyDescent="0.55000000000000004">
      <c r="A1248"/>
    </row>
    <row r="1249" spans="1:1" x14ac:dyDescent="0.55000000000000004">
      <c r="A1249"/>
    </row>
    <row r="1250" spans="1:1" x14ac:dyDescent="0.55000000000000004">
      <c r="A1250"/>
    </row>
    <row r="1251" spans="1:1" x14ac:dyDescent="0.55000000000000004">
      <c r="A1251"/>
    </row>
    <row r="1252" spans="1:1" x14ac:dyDescent="0.55000000000000004">
      <c r="A1252"/>
    </row>
    <row r="1253" spans="1:1" x14ac:dyDescent="0.55000000000000004">
      <c r="A1253"/>
    </row>
    <row r="1254" spans="1:1" x14ac:dyDescent="0.55000000000000004">
      <c r="A1254"/>
    </row>
    <row r="1255" spans="1:1" x14ac:dyDescent="0.55000000000000004">
      <c r="A1255"/>
    </row>
    <row r="1256" spans="1:1" x14ac:dyDescent="0.55000000000000004">
      <c r="A1256"/>
    </row>
    <row r="1257" spans="1:1" x14ac:dyDescent="0.55000000000000004">
      <c r="A1257"/>
    </row>
    <row r="1258" spans="1:1" x14ac:dyDescent="0.55000000000000004">
      <c r="A1258"/>
    </row>
    <row r="1259" spans="1:1" x14ac:dyDescent="0.55000000000000004">
      <c r="A1259"/>
    </row>
    <row r="1260" spans="1:1" x14ac:dyDescent="0.55000000000000004">
      <c r="A1260"/>
    </row>
    <row r="1261" spans="1:1" x14ac:dyDescent="0.55000000000000004">
      <c r="A1261"/>
    </row>
    <row r="1262" spans="1:1" x14ac:dyDescent="0.55000000000000004">
      <c r="A1262"/>
    </row>
    <row r="1263" spans="1:1" x14ac:dyDescent="0.55000000000000004">
      <c r="A1263"/>
    </row>
    <row r="1264" spans="1:1" x14ac:dyDescent="0.55000000000000004">
      <c r="A1264"/>
    </row>
    <row r="1265" spans="1:1" x14ac:dyDescent="0.55000000000000004">
      <c r="A1265"/>
    </row>
    <row r="1266" spans="1:1" x14ac:dyDescent="0.55000000000000004">
      <c r="A1266"/>
    </row>
    <row r="1267" spans="1:1" x14ac:dyDescent="0.55000000000000004">
      <c r="A1267"/>
    </row>
    <row r="1268" spans="1:1" x14ac:dyDescent="0.55000000000000004">
      <c r="A1268"/>
    </row>
    <row r="1269" spans="1:1" x14ac:dyDescent="0.55000000000000004">
      <c r="A1269"/>
    </row>
    <row r="1270" spans="1:1" x14ac:dyDescent="0.55000000000000004">
      <c r="A1270"/>
    </row>
    <row r="1271" spans="1:1" x14ac:dyDescent="0.55000000000000004">
      <c r="A1271"/>
    </row>
    <row r="1272" spans="1:1" x14ac:dyDescent="0.55000000000000004">
      <c r="A1272"/>
    </row>
    <row r="1273" spans="1:1" x14ac:dyDescent="0.55000000000000004">
      <c r="A1273"/>
    </row>
    <row r="1274" spans="1:1" x14ac:dyDescent="0.55000000000000004">
      <c r="A1274"/>
    </row>
    <row r="1275" spans="1:1" x14ac:dyDescent="0.55000000000000004">
      <c r="A1275"/>
    </row>
    <row r="1276" spans="1:1" x14ac:dyDescent="0.55000000000000004">
      <c r="A1276"/>
    </row>
    <row r="1277" spans="1:1" x14ac:dyDescent="0.55000000000000004">
      <c r="A1277"/>
    </row>
    <row r="1278" spans="1:1" x14ac:dyDescent="0.55000000000000004">
      <c r="A1278"/>
    </row>
    <row r="1279" spans="1:1" x14ac:dyDescent="0.55000000000000004">
      <c r="A1279"/>
    </row>
    <row r="1280" spans="1:1" x14ac:dyDescent="0.55000000000000004">
      <c r="A1280"/>
    </row>
    <row r="1281" spans="1:1" x14ac:dyDescent="0.55000000000000004">
      <c r="A1281"/>
    </row>
    <row r="1282" spans="1:1" x14ac:dyDescent="0.55000000000000004">
      <c r="A1282"/>
    </row>
    <row r="1283" spans="1:1" x14ac:dyDescent="0.55000000000000004">
      <c r="A1283"/>
    </row>
    <row r="1284" spans="1:1" x14ac:dyDescent="0.55000000000000004">
      <c r="A1284"/>
    </row>
    <row r="1285" spans="1:1" x14ac:dyDescent="0.55000000000000004">
      <c r="A1285"/>
    </row>
    <row r="1286" spans="1:1" x14ac:dyDescent="0.55000000000000004">
      <c r="A1286"/>
    </row>
    <row r="1287" spans="1:1" x14ac:dyDescent="0.55000000000000004">
      <c r="A1287"/>
    </row>
    <row r="1288" spans="1:1" x14ac:dyDescent="0.55000000000000004">
      <c r="A1288"/>
    </row>
    <row r="1289" spans="1:1" x14ac:dyDescent="0.55000000000000004">
      <c r="A1289"/>
    </row>
    <row r="1290" spans="1:1" x14ac:dyDescent="0.55000000000000004">
      <c r="A1290"/>
    </row>
    <row r="1291" spans="1:1" x14ac:dyDescent="0.55000000000000004">
      <c r="A1291"/>
    </row>
    <row r="1292" spans="1:1" x14ac:dyDescent="0.55000000000000004">
      <c r="A1292"/>
    </row>
    <row r="1293" spans="1:1" x14ac:dyDescent="0.55000000000000004">
      <c r="A1293"/>
    </row>
    <row r="1294" spans="1:1" x14ac:dyDescent="0.55000000000000004">
      <c r="A1294"/>
    </row>
    <row r="1295" spans="1:1" x14ac:dyDescent="0.55000000000000004">
      <c r="A1295"/>
    </row>
    <row r="1296" spans="1:1" x14ac:dyDescent="0.55000000000000004">
      <c r="A1296"/>
    </row>
    <row r="1297" spans="1:1" x14ac:dyDescent="0.55000000000000004">
      <c r="A1297"/>
    </row>
    <row r="1298" spans="1:1" x14ac:dyDescent="0.55000000000000004">
      <c r="A1298"/>
    </row>
    <row r="1299" spans="1:1" x14ac:dyDescent="0.55000000000000004">
      <c r="A1299"/>
    </row>
    <row r="1300" spans="1:1" x14ac:dyDescent="0.55000000000000004">
      <c r="A1300"/>
    </row>
    <row r="1301" spans="1:1" x14ac:dyDescent="0.55000000000000004">
      <c r="A1301"/>
    </row>
    <row r="1302" spans="1:1" x14ac:dyDescent="0.55000000000000004">
      <c r="A1302"/>
    </row>
    <row r="1303" spans="1:1" x14ac:dyDescent="0.55000000000000004">
      <c r="A1303"/>
    </row>
    <row r="1304" spans="1:1" x14ac:dyDescent="0.55000000000000004">
      <c r="A1304"/>
    </row>
    <row r="1305" spans="1:1" x14ac:dyDescent="0.55000000000000004">
      <c r="A1305"/>
    </row>
    <row r="1306" spans="1:1" x14ac:dyDescent="0.55000000000000004">
      <c r="A1306"/>
    </row>
    <row r="1307" spans="1:1" x14ac:dyDescent="0.55000000000000004">
      <c r="A1307"/>
    </row>
    <row r="1308" spans="1:1" x14ac:dyDescent="0.55000000000000004">
      <c r="A1308"/>
    </row>
    <row r="1309" spans="1:1" x14ac:dyDescent="0.55000000000000004">
      <c r="A1309"/>
    </row>
    <row r="1310" spans="1:1" x14ac:dyDescent="0.55000000000000004">
      <c r="A1310"/>
    </row>
    <row r="1311" spans="1:1" x14ac:dyDescent="0.55000000000000004">
      <c r="A1311"/>
    </row>
    <row r="1312" spans="1:1" x14ac:dyDescent="0.55000000000000004">
      <c r="A1312"/>
    </row>
    <row r="1313" spans="1:1" x14ac:dyDescent="0.55000000000000004">
      <c r="A1313"/>
    </row>
    <row r="1314" spans="1:1" x14ac:dyDescent="0.55000000000000004">
      <c r="A1314"/>
    </row>
    <row r="1315" spans="1:1" x14ac:dyDescent="0.55000000000000004">
      <c r="A1315"/>
    </row>
    <row r="1316" spans="1:1" x14ac:dyDescent="0.55000000000000004">
      <c r="A1316"/>
    </row>
    <row r="1317" spans="1:1" x14ac:dyDescent="0.55000000000000004">
      <c r="A1317"/>
    </row>
    <row r="1318" spans="1:1" x14ac:dyDescent="0.55000000000000004">
      <c r="A1318"/>
    </row>
    <row r="1319" spans="1:1" x14ac:dyDescent="0.55000000000000004">
      <c r="A1319"/>
    </row>
    <row r="1320" spans="1:1" x14ac:dyDescent="0.55000000000000004">
      <c r="A1320"/>
    </row>
    <row r="1321" spans="1:1" x14ac:dyDescent="0.55000000000000004">
      <c r="A1321"/>
    </row>
    <row r="1322" spans="1:1" x14ac:dyDescent="0.55000000000000004">
      <c r="A1322"/>
    </row>
    <row r="1323" spans="1:1" x14ac:dyDescent="0.55000000000000004">
      <c r="A1323"/>
    </row>
    <row r="1324" spans="1:1" x14ac:dyDescent="0.55000000000000004">
      <c r="A1324"/>
    </row>
    <row r="1325" spans="1:1" x14ac:dyDescent="0.55000000000000004">
      <c r="A1325"/>
    </row>
    <row r="1326" spans="1:1" x14ac:dyDescent="0.55000000000000004">
      <c r="A1326"/>
    </row>
    <row r="1327" spans="1:1" x14ac:dyDescent="0.55000000000000004">
      <c r="A1327"/>
    </row>
    <row r="1328" spans="1:1" x14ac:dyDescent="0.55000000000000004">
      <c r="A1328"/>
    </row>
    <row r="1329" spans="1:1" x14ac:dyDescent="0.55000000000000004">
      <c r="A1329"/>
    </row>
    <row r="1330" spans="1:1" x14ac:dyDescent="0.55000000000000004">
      <c r="A1330"/>
    </row>
    <row r="1331" spans="1:1" x14ac:dyDescent="0.55000000000000004">
      <c r="A1331"/>
    </row>
    <row r="1332" spans="1:1" x14ac:dyDescent="0.55000000000000004">
      <c r="A1332"/>
    </row>
    <row r="1333" spans="1:1" x14ac:dyDescent="0.55000000000000004">
      <c r="A1333"/>
    </row>
    <row r="1334" spans="1:1" x14ac:dyDescent="0.55000000000000004">
      <c r="A1334"/>
    </row>
    <row r="1335" spans="1:1" x14ac:dyDescent="0.55000000000000004">
      <c r="A1335"/>
    </row>
    <row r="1336" spans="1:1" x14ac:dyDescent="0.55000000000000004">
      <c r="A1336"/>
    </row>
    <row r="1337" spans="1:1" x14ac:dyDescent="0.55000000000000004">
      <c r="A1337"/>
    </row>
    <row r="1338" spans="1:1" x14ac:dyDescent="0.55000000000000004">
      <c r="A1338"/>
    </row>
    <row r="1339" spans="1:1" x14ac:dyDescent="0.55000000000000004">
      <c r="A1339"/>
    </row>
    <row r="1340" spans="1:1" x14ac:dyDescent="0.55000000000000004">
      <c r="A1340"/>
    </row>
    <row r="1341" spans="1:1" x14ac:dyDescent="0.55000000000000004">
      <c r="A1341"/>
    </row>
    <row r="1342" spans="1:1" x14ac:dyDescent="0.55000000000000004">
      <c r="A1342"/>
    </row>
    <row r="1343" spans="1:1" x14ac:dyDescent="0.55000000000000004">
      <c r="A1343"/>
    </row>
    <row r="1344" spans="1:1" x14ac:dyDescent="0.55000000000000004">
      <c r="A1344"/>
    </row>
    <row r="1345" spans="1:1" x14ac:dyDescent="0.55000000000000004">
      <c r="A1345"/>
    </row>
    <row r="1346" spans="1:1" x14ac:dyDescent="0.55000000000000004">
      <c r="A1346"/>
    </row>
    <row r="1347" spans="1:1" x14ac:dyDescent="0.55000000000000004">
      <c r="A1347"/>
    </row>
    <row r="1348" spans="1:1" x14ac:dyDescent="0.55000000000000004">
      <c r="A1348"/>
    </row>
    <row r="1349" spans="1:1" x14ac:dyDescent="0.55000000000000004">
      <c r="A1349"/>
    </row>
    <row r="1350" spans="1:1" x14ac:dyDescent="0.55000000000000004">
      <c r="A1350"/>
    </row>
    <row r="1351" spans="1:1" x14ac:dyDescent="0.55000000000000004">
      <c r="A1351"/>
    </row>
    <row r="1352" spans="1:1" x14ac:dyDescent="0.55000000000000004">
      <c r="A1352"/>
    </row>
    <row r="1353" spans="1:1" x14ac:dyDescent="0.55000000000000004">
      <c r="A1353"/>
    </row>
    <row r="1354" spans="1:1" x14ac:dyDescent="0.55000000000000004">
      <c r="A1354"/>
    </row>
    <row r="1355" spans="1:1" x14ac:dyDescent="0.55000000000000004">
      <c r="A1355"/>
    </row>
    <row r="1356" spans="1:1" x14ac:dyDescent="0.55000000000000004">
      <c r="A1356"/>
    </row>
    <row r="1357" spans="1:1" x14ac:dyDescent="0.55000000000000004">
      <c r="A1357"/>
    </row>
    <row r="1358" spans="1:1" x14ac:dyDescent="0.55000000000000004">
      <c r="A1358"/>
    </row>
    <row r="1359" spans="1:1" x14ac:dyDescent="0.55000000000000004">
      <c r="A1359"/>
    </row>
    <row r="1360" spans="1:1" x14ac:dyDescent="0.55000000000000004">
      <c r="A1360"/>
    </row>
    <row r="1361" spans="1:1" x14ac:dyDescent="0.55000000000000004">
      <c r="A1361"/>
    </row>
    <row r="1362" spans="1:1" x14ac:dyDescent="0.55000000000000004">
      <c r="A1362"/>
    </row>
    <row r="1363" spans="1:1" x14ac:dyDescent="0.55000000000000004">
      <c r="A1363"/>
    </row>
    <row r="1364" spans="1:1" x14ac:dyDescent="0.55000000000000004">
      <c r="A1364"/>
    </row>
    <row r="1365" spans="1:1" x14ac:dyDescent="0.55000000000000004">
      <c r="A1365"/>
    </row>
    <row r="1366" spans="1:1" x14ac:dyDescent="0.55000000000000004">
      <c r="A1366"/>
    </row>
    <row r="1367" spans="1:1" x14ac:dyDescent="0.55000000000000004">
      <c r="A1367"/>
    </row>
    <row r="1368" spans="1:1" x14ac:dyDescent="0.55000000000000004">
      <c r="A1368"/>
    </row>
    <row r="1369" spans="1:1" x14ac:dyDescent="0.55000000000000004">
      <c r="A1369"/>
    </row>
    <row r="1370" spans="1:1" x14ac:dyDescent="0.55000000000000004">
      <c r="A1370"/>
    </row>
    <row r="1371" spans="1:1" x14ac:dyDescent="0.55000000000000004">
      <c r="A1371"/>
    </row>
    <row r="1372" spans="1:1" x14ac:dyDescent="0.55000000000000004">
      <c r="A1372"/>
    </row>
    <row r="1373" spans="1:1" x14ac:dyDescent="0.55000000000000004">
      <c r="A1373"/>
    </row>
    <row r="1374" spans="1:1" x14ac:dyDescent="0.55000000000000004">
      <c r="A1374"/>
    </row>
    <row r="1375" spans="1:1" x14ac:dyDescent="0.55000000000000004">
      <c r="A1375"/>
    </row>
    <row r="1376" spans="1:1" x14ac:dyDescent="0.55000000000000004">
      <c r="A1376"/>
    </row>
    <row r="1377" spans="1:1" x14ac:dyDescent="0.55000000000000004">
      <c r="A1377"/>
    </row>
    <row r="1378" spans="1:1" x14ac:dyDescent="0.55000000000000004">
      <c r="A1378"/>
    </row>
    <row r="1379" spans="1:1" x14ac:dyDescent="0.55000000000000004">
      <c r="A1379"/>
    </row>
    <row r="1380" spans="1:1" x14ac:dyDescent="0.55000000000000004">
      <c r="A1380"/>
    </row>
    <row r="1381" spans="1:1" x14ac:dyDescent="0.55000000000000004">
      <c r="A1381"/>
    </row>
    <row r="1382" spans="1:1" x14ac:dyDescent="0.55000000000000004">
      <c r="A1382"/>
    </row>
    <row r="1383" spans="1:1" x14ac:dyDescent="0.55000000000000004">
      <c r="A1383"/>
    </row>
    <row r="1384" spans="1:1" x14ac:dyDescent="0.55000000000000004">
      <c r="A1384"/>
    </row>
    <row r="1385" spans="1:1" x14ac:dyDescent="0.55000000000000004">
      <c r="A1385"/>
    </row>
    <row r="1386" spans="1:1" x14ac:dyDescent="0.55000000000000004">
      <c r="A1386"/>
    </row>
    <row r="1387" spans="1:1" x14ac:dyDescent="0.55000000000000004">
      <c r="A1387"/>
    </row>
    <row r="1388" spans="1:1" x14ac:dyDescent="0.55000000000000004">
      <c r="A1388"/>
    </row>
    <row r="1389" spans="1:1" x14ac:dyDescent="0.55000000000000004">
      <c r="A1389"/>
    </row>
    <row r="1390" spans="1:1" x14ac:dyDescent="0.55000000000000004">
      <c r="A1390"/>
    </row>
    <row r="1391" spans="1:1" x14ac:dyDescent="0.55000000000000004">
      <c r="A1391"/>
    </row>
    <row r="1392" spans="1:1" x14ac:dyDescent="0.55000000000000004">
      <c r="A1392"/>
    </row>
    <row r="1393" spans="1:1" x14ac:dyDescent="0.55000000000000004">
      <c r="A1393"/>
    </row>
    <row r="1394" spans="1:1" x14ac:dyDescent="0.55000000000000004">
      <c r="A1394"/>
    </row>
    <row r="1395" spans="1:1" x14ac:dyDescent="0.55000000000000004">
      <c r="A1395"/>
    </row>
    <row r="1396" spans="1:1" x14ac:dyDescent="0.55000000000000004">
      <c r="A1396"/>
    </row>
    <row r="1397" spans="1:1" x14ac:dyDescent="0.55000000000000004">
      <c r="A1397"/>
    </row>
    <row r="1398" spans="1:1" x14ac:dyDescent="0.55000000000000004">
      <c r="A1398"/>
    </row>
    <row r="1399" spans="1:1" x14ac:dyDescent="0.55000000000000004">
      <c r="A1399"/>
    </row>
    <row r="1400" spans="1:1" x14ac:dyDescent="0.55000000000000004">
      <c r="A1400"/>
    </row>
    <row r="1401" spans="1:1" x14ac:dyDescent="0.55000000000000004">
      <c r="A1401"/>
    </row>
    <row r="1402" spans="1:1" x14ac:dyDescent="0.55000000000000004">
      <c r="A1402"/>
    </row>
    <row r="1403" spans="1:1" x14ac:dyDescent="0.55000000000000004">
      <c r="A1403"/>
    </row>
    <row r="1404" spans="1:1" x14ac:dyDescent="0.55000000000000004">
      <c r="A1404"/>
    </row>
    <row r="1405" spans="1:1" x14ac:dyDescent="0.55000000000000004">
      <c r="A1405"/>
    </row>
    <row r="1406" spans="1:1" x14ac:dyDescent="0.55000000000000004">
      <c r="A1406"/>
    </row>
    <row r="1407" spans="1:1" x14ac:dyDescent="0.55000000000000004">
      <c r="A1407"/>
    </row>
    <row r="1408" spans="1:1" x14ac:dyDescent="0.55000000000000004">
      <c r="A1408"/>
    </row>
    <row r="1409" spans="1:1" x14ac:dyDescent="0.55000000000000004">
      <c r="A1409"/>
    </row>
    <row r="1410" spans="1:1" x14ac:dyDescent="0.55000000000000004">
      <c r="A1410"/>
    </row>
    <row r="1411" spans="1:1" x14ac:dyDescent="0.55000000000000004">
      <c r="A1411"/>
    </row>
    <row r="1412" spans="1:1" x14ac:dyDescent="0.55000000000000004">
      <c r="A1412"/>
    </row>
    <row r="1413" spans="1:1" x14ac:dyDescent="0.55000000000000004">
      <c r="A1413"/>
    </row>
    <row r="1414" spans="1:1" x14ac:dyDescent="0.55000000000000004">
      <c r="A1414"/>
    </row>
    <row r="1415" spans="1:1" x14ac:dyDescent="0.55000000000000004">
      <c r="A1415"/>
    </row>
    <row r="1416" spans="1:1" x14ac:dyDescent="0.55000000000000004">
      <c r="A1416"/>
    </row>
    <row r="1417" spans="1:1" x14ac:dyDescent="0.55000000000000004">
      <c r="A1417"/>
    </row>
    <row r="1418" spans="1:1" x14ac:dyDescent="0.55000000000000004">
      <c r="A1418"/>
    </row>
    <row r="1419" spans="1:1" x14ac:dyDescent="0.55000000000000004">
      <c r="A1419"/>
    </row>
    <row r="1420" spans="1:1" x14ac:dyDescent="0.55000000000000004">
      <c r="A1420"/>
    </row>
    <row r="1421" spans="1:1" x14ac:dyDescent="0.55000000000000004">
      <c r="A1421"/>
    </row>
    <row r="1422" spans="1:1" x14ac:dyDescent="0.55000000000000004">
      <c r="A1422"/>
    </row>
    <row r="1423" spans="1:1" x14ac:dyDescent="0.55000000000000004">
      <c r="A1423"/>
    </row>
    <row r="1424" spans="1:1" x14ac:dyDescent="0.55000000000000004">
      <c r="A1424"/>
    </row>
    <row r="1425" spans="1:1" x14ac:dyDescent="0.55000000000000004">
      <c r="A1425"/>
    </row>
    <row r="1426" spans="1:1" x14ac:dyDescent="0.55000000000000004">
      <c r="A1426"/>
    </row>
    <row r="1427" spans="1:1" x14ac:dyDescent="0.55000000000000004">
      <c r="A1427"/>
    </row>
    <row r="1428" spans="1:1" x14ac:dyDescent="0.55000000000000004">
      <c r="A1428"/>
    </row>
    <row r="1429" spans="1:1" x14ac:dyDescent="0.55000000000000004">
      <c r="A1429"/>
    </row>
    <row r="1430" spans="1:1" x14ac:dyDescent="0.55000000000000004">
      <c r="A1430"/>
    </row>
    <row r="1431" spans="1:1" x14ac:dyDescent="0.55000000000000004">
      <c r="A1431"/>
    </row>
    <row r="1432" spans="1:1" x14ac:dyDescent="0.55000000000000004">
      <c r="A1432"/>
    </row>
    <row r="1433" spans="1:1" x14ac:dyDescent="0.55000000000000004">
      <c r="A1433"/>
    </row>
    <row r="1434" spans="1:1" x14ac:dyDescent="0.55000000000000004">
      <c r="A1434"/>
    </row>
    <row r="1435" spans="1:1" x14ac:dyDescent="0.55000000000000004">
      <c r="A1435"/>
    </row>
    <row r="1436" spans="1:1" x14ac:dyDescent="0.55000000000000004">
      <c r="A1436"/>
    </row>
    <row r="1437" spans="1:1" x14ac:dyDescent="0.55000000000000004">
      <c r="A1437"/>
    </row>
    <row r="1438" spans="1:1" x14ac:dyDescent="0.55000000000000004">
      <c r="A1438"/>
    </row>
    <row r="1439" spans="1:1" x14ac:dyDescent="0.55000000000000004">
      <c r="A1439"/>
    </row>
    <row r="1440" spans="1:1" x14ac:dyDescent="0.55000000000000004">
      <c r="A1440"/>
    </row>
    <row r="1441" spans="1:1" x14ac:dyDescent="0.55000000000000004">
      <c r="A1441"/>
    </row>
    <row r="1442" spans="1:1" x14ac:dyDescent="0.55000000000000004">
      <c r="A1442"/>
    </row>
    <row r="1443" spans="1:1" x14ac:dyDescent="0.55000000000000004">
      <c r="A1443"/>
    </row>
    <row r="1444" spans="1:1" x14ac:dyDescent="0.55000000000000004">
      <c r="A1444"/>
    </row>
    <row r="1445" spans="1:1" x14ac:dyDescent="0.55000000000000004">
      <c r="A1445"/>
    </row>
    <row r="1446" spans="1:1" x14ac:dyDescent="0.55000000000000004">
      <c r="A1446"/>
    </row>
    <row r="1447" spans="1:1" x14ac:dyDescent="0.55000000000000004">
      <c r="A1447"/>
    </row>
    <row r="1448" spans="1:1" x14ac:dyDescent="0.55000000000000004">
      <c r="A1448"/>
    </row>
    <row r="1449" spans="1:1" x14ac:dyDescent="0.55000000000000004">
      <c r="A1449"/>
    </row>
    <row r="1450" spans="1:1" x14ac:dyDescent="0.55000000000000004">
      <c r="A1450"/>
    </row>
    <row r="1451" spans="1:1" x14ac:dyDescent="0.55000000000000004">
      <c r="A1451"/>
    </row>
    <row r="1452" spans="1:1" x14ac:dyDescent="0.55000000000000004">
      <c r="A1452"/>
    </row>
    <row r="1453" spans="1:1" x14ac:dyDescent="0.55000000000000004">
      <c r="A1453"/>
    </row>
    <row r="1454" spans="1:1" x14ac:dyDescent="0.55000000000000004">
      <c r="A1454"/>
    </row>
    <row r="1455" spans="1:1" x14ac:dyDescent="0.55000000000000004">
      <c r="A1455"/>
    </row>
    <row r="1456" spans="1:1" x14ac:dyDescent="0.55000000000000004">
      <c r="A1456"/>
    </row>
    <row r="1457" spans="1:1" x14ac:dyDescent="0.55000000000000004">
      <c r="A1457"/>
    </row>
    <row r="1458" spans="1:1" x14ac:dyDescent="0.55000000000000004">
      <c r="A1458"/>
    </row>
    <row r="1459" spans="1:1" x14ac:dyDescent="0.55000000000000004">
      <c r="A1459"/>
    </row>
    <row r="1460" spans="1:1" x14ac:dyDescent="0.55000000000000004">
      <c r="A1460"/>
    </row>
    <row r="1461" spans="1:1" x14ac:dyDescent="0.55000000000000004">
      <c r="A1461"/>
    </row>
    <row r="1462" spans="1:1" x14ac:dyDescent="0.55000000000000004">
      <c r="A1462"/>
    </row>
    <row r="1463" spans="1:1" x14ac:dyDescent="0.55000000000000004">
      <c r="A1463"/>
    </row>
    <row r="1464" spans="1:1" x14ac:dyDescent="0.55000000000000004">
      <c r="A1464"/>
    </row>
    <row r="1465" spans="1:1" x14ac:dyDescent="0.55000000000000004">
      <c r="A1465"/>
    </row>
    <row r="1466" spans="1:1" x14ac:dyDescent="0.55000000000000004">
      <c r="A1466"/>
    </row>
    <row r="1467" spans="1:1" x14ac:dyDescent="0.55000000000000004">
      <c r="A1467"/>
    </row>
    <row r="1468" spans="1:1" x14ac:dyDescent="0.55000000000000004">
      <c r="A1468"/>
    </row>
    <row r="1469" spans="1:1" x14ac:dyDescent="0.55000000000000004">
      <c r="A1469"/>
    </row>
    <row r="1470" spans="1:1" x14ac:dyDescent="0.55000000000000004">
      <c r="A1470"/>
    </row>
    <row r="1471" spans="1:1" x14ac:dyDescent="0.55000000000000004">
      <c r="A1471"/>
    </row>
    <row r="1472" spans="1:1" x14ac:dyDescent="0.55000000000000004">
      <c r="A1472"/>
    </row>
    <row r="1473" spans="1:1" x14ac:dyDescent="0.55000000000000004">
      <c r="A1473"/>
    </row>
    <row r="1474" spans="1:1" x14ac:dyDescent="0.55000000000000004">
      <c r="A1474"/>
    </row>
    <row r="1475" spans="1:1" x14ac:dyDescent="0.55000000000000004">
      <c r="A1475"/>
    </row>
    <row r="1476" spans="1:1" x14ac:dyDescent="0.55000000000000004">
      <c r="A1476"/>
    </row>
    <row r="1477" spans="1:1" x14ac:dyDescent="0.55000000000000004">
      <c r="A1477"/>
    </row>
    <row r="1478" spans="1:1" x14ac:dyDescent="0.55000000000000004">
      <c r="A1478"/>
    </row>
    <row r="1479" spans="1:1" x14ac:dyDescent="0.55000000000000004">
      <c r="A1479"/>
    </row>
    <row r="1480" spans="1:1" x14ac:dyDescent="0.55000000000000004">
      <c r="A1480"/>
    </row>
    <row r="1481" spans="1:1" x14ac:dyDescent="0.55000000000000004">
      <c r="A1481"/>
    </row>
    <row r="1482" spans="1:1" x14ac:dyDescent="0.55000000000000004">
      <c r="A1482"/>
    </row>
    <row r="1483" spans="1:1" x14ac:dyDescent="0.55000000000000004">
      <c r="A1483"/>
    </row>
    <row r="1484" spans="1:1" x14ac:dyDescent="0.55000000000000004">
      <c r="A1484"/>
    </row>
    <row r="1485" spans="1:1" x14ac:dyDescent="0.55000000000000004">
      <c r="A1485"/>
    </row>
    <row r="1486" spans="1:1" x14ac:dyDescent="0.55000000000000004">
      <c r="A1486"/>
    </row>
    <row r="1487" spans="1:1" x14ac:dyDescent="0.55000000000000004">
      <c r="A1487"/>
    </row>
    <row r="1488" spans="1:1" x14ac:dyDescent="0.55000000000000004">
      <c r="A1488"/>
    </row>
    <row r="1489" spans="1:1" x14ac:dyDescent="0.55000000000000004">
      <c r="A1489"/>
    </row>
    <row r="1490" spans="1:1" x14ac:dyDescent="0.55000000000000004">
      <c r="A1490"/>
    </row>
    <row r="1491" spans="1:1" x14ac:dyDescent="0.55000000000000004">
      <c r="A1491"/>
    </row>
    <row r="1492" spans="1:1" x14ac:dyDescent="0.55000000000000004">
      <c r="A1492"/>
    </row>
    <row r="1493" spans="1:1" x14ac:dyDescent="0.55000000000000004">
      <c r="A1493"/>
    </row>
    <row r="1494" spans="1:1" x14ac:dyDescent="0.55000000000000004">
      <c r="A1494"/>
    </row>
    <row r="1495" spans="1:1" x14ac:dyDescent="0.55000000000000004">
      <c r="A1495"/>
    </row>
    <row r="1496" spans="1:1" x14ac:dyDescent="0.55000000000000004">
      <c r="A1496"/>
    </row>
    <row r="1497" spans="1:1" x14ac:dyDescent="0.55000000000000004">
      <c r="A1497"/>
    </row>
    <row r="1498" spans="1:1" x14ac:dyDescent="0.55000000000000004">
      <c r="A1498"/>
    </row>
    <row r="1499" spans="1:1" x14ac:dyDescent="0.55000000000000004">
      <c r="A1499"/>
    </row>
    <row r="1500" spans="1:1" x14ac:dyDescent="0.55000000000000004">
      <c r="A1500"/>
    </row>
    <row r="1501" spans="1:1" x14ac:dyDescent="0.55000000000000004">
      <c r="A1501"/>
    </row>
    <row r="1502" spans="1:1" x14ac:dyDescent="0.55000000000000004">
      <c r="A1502"/>
    </row>
    <row r="1503" spans="1:1" x14ac:dyDescent="0.55000000000000004">
      <c r="A1503"/>
    </row>
    <row r="1504" spans="1:1" x14ac:dyDescent="0.55000000000000004">
      <c r="A1504"/>
    </row>
    <row r="1505" spans="1:1" x14ac:dyDescent="0.55000000000000004">
      <c r="A1505"/>
    </row>
    <row r="1506" spans="1:1" x14ac:dyDescent="0.55000000000000004">
      <c r="A1506"/>
    </row>
    <row r="1507" spans="1:1" x14ac:dyDescent="0.55000000000000004">
      <c r="A1507"/>
    </row>
    <row r="1508" spans="1:1" x14ac:dyDescent="0.55000000000000004">
      <c r="A1508"/>
    </row>
    <row r="1509" spans="1:1" x14ac:dyDescent="0.55000000000000004">
      <c r="A1509"/>
    </row>
    <row r="1510" spans="1:1" x14ac:dyDescent="0.55000000000000004">
      <c r="A1510"/>
    </row>
    <row r="1511" spans="1:1" x14ac:dyDescent="0.55000000000000004">
      <c r="A1511"/>
    </row>
    <row r="1512" spans="1:1" x14ac:dyDescent="0.55000000000000004">
      <c r="A1512"/>
    </row>
    <row r="1513" spans="1:1" x14ac:dyDescent="0.55000000000000004">
      <c r="A1513"/>
    </row>
    <row r="1514" spans="1:1" x14ac:dyDescent="0.55000000000000004">
      <c r="A1514"/>
    </row>
    <row r="1515" spans="1:1" x14ac:dyDescent="0.55000000000000004">
      <c r="A1515"/>
    </row>
    <row r="1516" spans="1:1" x14ac:dyDescent="0.55000000000000004">
      <c r="A1516"/>
    </row>
    <row r="1517" spans="1:1" x14ac:dyDescent="0.55000000000000004">
      <c r="A1517"/>
    </row>
    <row r="1518" spans="1:1" x14ac:dyDescent="0.55000000000000004">
      <c r="A1518"/>
    </row>
    <row r="1519" spans="1:1" x14ac:dyDescent="0.55000000000000004">
      <c r="A1519"/>
    </row>
    <row r="1520" spans="1:1" x14ac:dyDescent="0.55000000000000004">
      <c r="A1520"/>
    </row>
    <row r="1521" spans="1:1" x14ac:dyDescent="0.55000000000000004">
      <c r="A1521"/>
    </row>
    <row r="1522" spans="1:1" x14ac:dyDescent="0.55000000000000004">
      <c r="A1522"/>
    </row>
    <row r="1523" spans="1:1" x14ac:dyDescent="0.55000000000000004">
      <c r="A1523"/>
    </row>
    <row r="1524" spans="1:1" x14ac:dyDescent="0.55000000000000004">
      <c r="A1524"/>
    </row>
    <row r="1525" spans="1:1" x14ac:dyDescent="0.55000000000000004">
      <c r="A1525"/>
    </row>
    <row r="1526" spans="1:1" x14ac:dyDescent="0.55000000000000004">
      <c r="A1526"/>
    </row>
    <row r="1527" spans="1:1" x14ac:dyDescent="0.55000000000000004">
      <c r="A1527"/>
    </row>
    <row r="1528" spans="1:1" x14ac:dyDescent="0.55000000000000004">
      <c r="A1528"/>
    </row>
    <row r="1529" spans="1:1" x14ac:dyDescent="0.55000000000000004">
      <c r="A1529"/>
    </row>
    <row r="1530" spans="1:1" x14ac:dyDescent="0.55000000000000004">
      <c r="A1530"/>
    </row>
    <row r="1531" spans="1:1" x14ac:dyDescent="0.55000000000000004">
      <c r="A1531"/>
    </row>
    <row r="1532" spans="1:1" x14ac:dyDescent="0.55000000000000004">
      <c r="A1532"/>
    </row>
    <row r="1533" spans="1:1" x14ac:dyDescent="0.55000000000000004">
      <c r="A1533"/>
    </row>
    <row r="1534" spans="1:1" x14ac:dyDescent="0.55000000000000004">
      <c r="A1534"/>
    </row>
    <row r="1535" spans="1:1" x14ac:dyDescent="0.55000000000000004">
      <c r="A1535"/>
    </row>
    <row r="1536" spans="1:1" x14ac:dyDescent="0.55000000000000004">
      <c r="A1536"/>
    </row>
    <row r="1537" spans="1:1" x14ac:dyDescent="0.55000000000000004">
      <c r="A1537"/>
    </row>
    <row r="1538" spans="1:1" x14ac:dyDescent="0.55000000000000004">
      <c r="A1538"/>
    </row>
    <row r="1539" spans="1:1" x14ac:dyDescent="0.55000000000000004">
      <c r="A1539"/>
    </row>
    <row r="1540" spans="1:1" x14ac:dyDescent="0.55000000000000004">
      <c r="A1540"/>
    </row>
    <row r="1541" spans="1:1" x14ac:dyDescent="0.55000000000000004">
      <c r="A1541"/>
    </row>
    <row r="1542" spans="1:1" x14ac:dyDescent="0.55000000000000004">
      <c r="A1542"/>
    </row>
    <row r="1543" spans="1:1" x14ac:dyDescent="0.55000000000000004">
      <c r="A1543"/>
    </row>
    <row r="1544" spans="1:1" x14ac:dyDescent="0.55000000000000004">
      <c r="A1544"/>
    </row>
    <row r="1545" spans="1:1" x14ac:dyDescent="0.55000000000000004">
      <c r="A1545"/>
    </row>
    <row r="1546" spans="1:1" x14ac:dyDescent="0.55000000000000004">
      <c r="A1546"/>
    </row>
    <row r="1547" spans="1:1" x14ac:dyDescent="0.55000000000000004">
      <c r="A1547"/>
    </row>
    <row r="1548" spans="1:1" x14ac:dyDescent="0.55000000000000004">
      <c r="A1548"/>
    </row>
    <row r="1549" spans="1:1" x14ac:dyDescent="0.55000000000000004">
      <c r="A1549"/>
    </row>
    <row r="1550" spans="1:1" x14ac:dyDescent="0.55000000000000004">
      <c r="A1550"/>
    </row>
    <row r="1551" spans="1:1" x14ac:dyDescent="0.55000000000000004">
      <c r="A1551"/>
    </row>
    <row r="1552" spans="1:1" x14ac:dyDescent="0.55000000000000004">
      <c r="A1552"/>
    </row>
    <row r="1553" spans="1:1" x14ac:dyDescent="0.55000000000000004">
      <c r="A1553"/>
    </row>
    <row r="1554" spans="1:1" x14ac:dyDescent="0.55000000000000004">
      <c r="A1554"/>
    </row>
    <row r="1555" spans="1:1" x14ac:dyDescent="0.55000000000000004">
      <c r="A1555"/>
    </row>
    <row r="1556" spans="1:1" x14ac:dyDescent="0.55000000000000004">
      <c r="A1556"/>
    </row>
    <row r="1557" spans="1:1" x14ac:dyDescent="0.55000000000000004">
      <c r="A1557"/>
    </row>
    <row r="1558" spans="1:1" x14ac:dyDescent="0.55000000000000004">
      <c r="A1558"/>
    </row>
    <row r="1559" spans="1:1" x14ac:dyDescent="0.55000000000000004">
      <c r="A1559"/>
    </row>
    <row r="1560" spans="1:1" x14ac:dyDescent="0.55000000000000004">
      <c r="A1560"/>
    </row>
    <row r="1561" spans="1:1" x14ac:dyDescent="0.55000000000000004">
      <c r="A1561"/>
    </row>
    <row r="1562" spans="1:1" x14ac:dyDescent="0.55000000000000004">
      <c r="A1562"/>
    </row>
    <row r="1563" spans="1:1" x14ac:dyDescent="0.55000000000000004">
      <c r="A1563"/>
    </row>
    <row r="1564" spans="1:1" x14ac:dyDescent="0.55000000000000004">
      <c r="A1564"/>
    </row>
    <row r="1565" spans="1:1" x14ac:dyDescent="0.55000000000000004">
      <c r="A1565"/>
    </row>
    <row r="1566" spans="1:1" x14ac:dyDescent="0.55000000000000004">
      <c r="A1566"/>
    </row>
    <row r="1567" spans="1:1" x14ac:dyDescent="0.55000000000000004">
      <c r="A1567"/>
    </row>
    <row r="1568" spans="1:1" x14ac:dyDescent="0.55000000000000004">
      <c r="A1568"/>
    </row>
    <row r="1569" spans="1:1" x14ac:dyDescent="0.55000000000000004">
      <c r="A1569"/>
    </row>
    <row r="1570" spans="1:1" x14ac:dyDescent="0.55000000000000004">
      <c r="A1570"/>
    </row>
    <row r="1571" spans="1:1" x14ac:dyDescent="0.55000000000000004">
      <c r="A1571"/>
    </row>
    <row r="1572" spans="1:1" x14ac:dyDescent="0.55000000000000004">
      <c r="A1572"/>
    </row>
    <row r="1573" spans="1:1" x14ac:dyDescent="0.55000000000000004">
      <c r="A1573"/>
    </row>
    <row r="1574" spans="1:1" x14ac:dyDescent="0.55000000000000004">
      <c r="A1574"/>
    </row>
    <row r="1575" spans="1:1" x14ac:dyDescent="0.55000000000000004">
      <c r="A1575"/>
    </row>
    <row r="1576" spans="1:1" x14ac:dyDescent="0.55000000000000004">
      <c r="A1576"/>
    </row>
    <row r="1577" spans="1:1" x14ac:dyDescent="0.55000000000000004">
      <c r="A1577"/>
    </row>
    <row r="1578" spans="1:1" x14ac:dyDescent="0.55000000000000004">
      <c r="A1578"/>
    </row>
    <row r="1579" spans="1:1" x14ac:dyDescent="0.55000000000000004">
      <c r="A1579"/>
    </row>
    <row r="1580" spans="1:1" x14ac:dyDescent="0.55000000000000004">
      <c r="A1580"/>
    </row>
    <row r="1581" spans="1:1" x14ac:dyDescent="0.55000000000000004">
      <c r="A1581"/>
    </row>
    <row r="1582" spans="1:1" x14ac:dyDescent="0.55000000000000004">
      <c r="A1582"/>
    </row>
    <row r="1583" spans="1:1" x14ac:dyDescent="0.55000000000000004">
      <c r="A1583"/>
    </row>
    <row r="1584" spans="1:1" x14ac:dyDescent="0.55000000000000004">
      <c r="A1584"/>
    </row>
    <row r="1585" spans="1:1" x14ac:dyDescent="0.55000000000000004">
      <c r="A1585"/>
    </row>
    <row r="1586" spans="1:1" x14ac:dyDescent="0.55000000000000004">
      <c r="A1586"/>
    </row>
    <row r="1587" spans="1:1" x14ac:dyDescent="0.55000000000000004">
      <c r="A1587"/>
    </row>
    <row r="1588" spans="1:1" x14ac:dyDescent="0.55000000000000004">
      <c r="A1588"/>
    </row>
    <row r="1589" spans="1:1" x14ac:dyDescent="0.55000000000000004">
      <c r="A1589"/>
    </row>
    <row r="1590" spans="1:1" x14ac:dyDescent="0.55000000000000004">
      <c r="A1590"/>
    </row>
    <row r="1591" spans="1:1" x14ac:dyDescent="0.55000000000000004">
      <c r="A1591"/>
    </row>
    <row r="1592" spans="1:1" x14ac:dyDescent="0.55000000000000004">
      <c r="A1592"/>
    </row>
    <row r="1593" spans="1:1" x14ac:dyDescent="0.55000000000000004">
      <c r="A1593"/>
    </row>
    <row r="1594" spans="1:1" x14ac:dyDescent="0.55000000000000004">
      <c r="A1594"/>
    </row>
    <row r="1595" spans="1:1" x14ac:dyDescent="0.55000000000000004">
      <c r="A1595"/>
    </row>
    <row r="1596" spans="1:1" x14ac:dyDescent="0.55000000000000004">
      <c r="A1596"/>
    </row>
    <row r="1597" spans="1:1" x14ac:dyDescent="0.55000000000000004">
      <c r="A1597"/>
    </row>
    <row r="1598" spans="1:1" x14ac:dyDescent="0.55000000000000004">
      <c r="A1598"/>
    </row>
    <row r="1599" spans="1:1" x14ac:dyDescent="0.55000000000000004">
      <c r="A1599"/>
    </row>
    <row r="1600" spans="1:1" x14ac:dyDescent="0.55000000000000004">
      <c r="A1600"/>
    </row>
    <row r="1601" spans="1:1" x14ac:dyDescent="0.55000000000000004">
      <c r="A1601"/>
    </row>
    <row r="1602" spans="1:1" x14ac:dyDescent="0.55000000000000004">
      <c r="A1602"/>
    </row>
    <row r="1603" spans="1:1" x14ac:dyDescent="0.55000000000000004">
      <c r="A1603"/>
    </row>
    <row r="1604" spans="1:1" x14ac:dyDescent="0.55000000000000004">
      <c r="A1604"/>
    </row>
    <row r="1605" spans="1:1" x14ac:dyDescent="0.55000000000000004">
      <c r="A1605"/>
    </row>
    <row r="1606" spans="1:1" x14ac:dyDescent="0.55000000000000004">
      <c r="A1606"/>
    </row>
    <row r="1607" spans="1:1" x14ac:dyDescent="0.55000000000000004">
      <c r="A1607"/>
    </row>
    <row r="1608" spans="1:1" x14ac:dyDescent="0.55000000000000004">
      <c r="A1608"/>
    </row>
    <row r="1609" spans="1:1" x14ac:dyDescent="0.55000000000000004">
      <c r="A1609"/>
    </row>
    <row r="1610" spans="1:1" x14ac:dyDescent="0.55000000000000004">
      <c r="A1610"/>
    </row>
    <row r="1611" spans="1:1" x14ac:dyDescent="0.55000000000000004">
      <c r="A1611"/>
    </row>
    <row r="1612" spans="1:1" x14ac:dyDescent="0.55000000000000004">
      <c r="A1612"/>
    </row>
    <row r="1613" spans="1:1" x14ac:dyDescent="0.55000000000000004">
      <c r="A1613"/>
    </row>
    <row r="1614" spans="1:1" x14ac:dyDescent="0.55000000000000004">
      <c r="A1614"/>
    </row>
    <row r="1615" spans="1:1" x14ac:dyDescent="0.55000000000000004">
      <c r="A1615"/>
    </row>
    <row r="1616" spans="1:1" x14ac:dyDescent="0.55000000000000004">
      <c r="A1616"/>
    </row>
    <row r="1617" spans="1:1" x14ac:dyDescent="0.55000000000000004">
      <c r="A1617"/>
    </row>
    <row r="1618" spans="1:1" x14ac:dyDescent="0.55000000000000004">
      <c r="A1618"/>
    </row>
    <row r="1619" spans="1:1" x14ac:dyDescent="0.55000000000000004">
      <c r="A1619"/>
    </row>
    <row r="1620" spans="1:1" x14ac:dyDescent="0.55000000000000004">
      <c r="A1620"/>
    </row>
    <row r="1621" spans="1:1" x14ac:dyDescent="0.55000000000000004">
      <c r="A1621"/>
    </row>
    <row r="1622" spans="1:1" x14ac:dyDescent="0.55000000000000004">
      <c r="A1622"/>
    </row>
    <row r="1623" spans="1:1" x14ac:dyDescent="0.55000000000000004">
      <c r="A1623"/>
    </row>
    <row r="1624" spans="1:1" x14ac:dyDescent="0.55000000000000004">
      <c r="A1624"/>
    </row>
    <row r="1625" spans="1:1" x14ac:dyDescent="0.55000000000000004">
      <c r="A1625"/>
    </row>
    <row r="1626" spans="1:1" x14ac:dyDescent="0.55000000000000004">
      <c r="A1626"/>
    </row>
    <row r="1627" spans="1:1" x14ac:dyDescent="0.55000000000000004">
      <c r="A1627"/>
    </row>
    <row r="1628" spans="1:1" x14ac:dyDescent="0.55000000000000004">
      <c r="A1628"/>
    </row>
    <row r="1629" spans="1:1" x14ac:dyDescent="0.55000000000000004">
      <c r="A1629"/>
    </row>
    <row r="1630" spans="1:1" x14ac:dyDescent="0.55000000000000004">
      <c r="A1630"/>
    </row>
    <row r="1631" spans="1:1" x14ac:dyDescent="0.55000000000000004">
      <c r="A1631"/>
    </row>
    <row r="1632" spans="1:1" x14ac:dyDescent="0.55000000000000004">
      <c r="A1632"/>
    </row>
    <row r="1633" spans="1:1" x14ac:dyDescent="0.55000000000000004">
      <c r="A1633"/>
    </row>
    <row r="1634" spans="1:1" x14ac:dyDescent="0.55000000000000004">
      <c r="A1634"/>
    </row>
    <row r="1635" spans="1:1" x14ac:dyDescent="0.55000000000000004">
      <c r="A1635"/>
    </row>
    <row r="1636" spans="1:1" x14ac:dyDescent="0.55000000000000004">
      <c r="A1636"/>
    </row>
    <row r="1637" spans="1:1" x14ac:dyDescent="0.55000000000000004">
      <c r="A1637"/>
    </row>
    <row r="1638" spans="1:1" x14ac:dyDescent="0.55000000000000004">
      <c r="A1638"/>
    </row>
    <row r="1639" spans="1:1" x14ac:dyDescent="0.55000000000000004">
      <c r="A1639"/>
    </row>
    <row r="1640" spans="1:1" x14ac:dyDescent="0.55000000000000004">
      <c r="A1640"/>
    </row>
    <row r="1641" spans="1:1" x14ac:dyDescent="0.55000000000000004">
      <c r="A1641"/>
    </row>
    <row r="1642" spans="1:1" x14ac:dyDescent="0.55000000000000004">
      <c r="A1642"/>
    </row>
    <row r="1643" spans="1:1" x14ac:dyDescent="0.55000000000000004">
      <c r="A1643"/>
    </row>
    <row r="1644" spans="1:1" x14ac:dyDescent="0.55000000000000004">
      <c r="A1644"/>
    </row>
    <row r="1645" spans="1:1" x14ac:dyDescent="0.55000000000000004">
      <c r="A1645"/>
    </row>
    <row r="1646" spans="1:1" x14ac:dyDescent="0.55000000000000004">
      <c r="A1646"/>
    </row>
    <row r="1647" spans="1:1" x14ac:dyDescent="0.55000000000000004">
      <c r="A1647"/>
    </row>
    <row r="1648" spans="1:1" x14ac:dyDescent="0.55000000000000004">
      <c r="A1648"/>
    </row>
    <row r="1649" spans="1:1" x14ac:dyDescent="0.55000000000000004">
      <c r="A1649"/>
    </row>
    <row r="1650" spans="1:1" x14ac:dyDescent="0.55000000000000004">
      <c r="A1650"/>
    </row>
    <row r="1651" spans="1:1" x14ac:dyDescent="0.55000000000000004">
      <c r="A1651"/>
    </row>
    <row r="1652" spans="1:1" x14ac:dyDescent="0.55000000000000004">
      <c r="A1652"/>
    </row>
    <row r="1653" spans="1:1" x14ac:dyDescent="0.55000000000000004">
      <c r="A1653"/>
    </row>
    <row r="1654" spans="1:1" x14ac:dyDescent="0.55000000000000004">
      <c r="A1654"/>
    </row>
    <row r="1655" spans="1:1" x14ac:dyDescent="0.55000000000000004">
      <c r="A1655"/>
    </row>
    <row r="1656" spans="1:1" x14ac:dyDescent="0.55000000000000004">
      <c r="A1656"/>
    </row>
    <row r="1657" spans="1:1" x14ac:dyDescent="0.55000000000000004">
      <c r="A1657"/>
    </row>
    <row r="1658" spans="1:1" x14ac:dyDescent="0.55000000000000004">
      <c r="A1658"/>
    </row>
    <row r="1659" spans="1:1" x14ac:dyDescent="0.55000000000000004">
      <c r="A1659"/>
    </row>
    <row r="1660" spans="1:1" x14ac:dyDescent="0.55000000000000004">
      <c r="A1660"/>
    </row>
    <row r="1661" spans="1:1" x14ac:dyDescent="0.55000000000000004">
      <c r="A1661"/>
    </row>
    <row r="1662" spans="1:1" x14ac:dyDescent="0.55000000000000004">
      <c r="A1662"/>
    </row>
    <row r="1663" spans="1:1" x14ac:dyDescent="0.55000000000000004">
      <c r="A1663"/>
    </row>
    <row r="1664" spans="1:1" x14ac:dyDescent="0.55000000000000004">
      <c r="A1664"/>
    </row>
    <row r="1665" spans="1:1" x14ac:dyDescent="0.55000000000000004">
      <c r="A1665"/>
    </row>
    <row r="1666" spans="1:1" x14ac:dyDescent="0.55000000000000004">
      <c r="A1666"/>
    </row>
    <row r="1667" spans="1:1" x14ac:dyDescent="0.55000000000000004">
      <c r="A1667"/>
    </row>
    <row r="1668" spans="1:1" x14ac:dyDescent="0.55000000000000004">
      <c r="A1668"/>
    </row>
    <row r="1669" spans="1:1" x14ac:dyDescent="0.55000000000000004">
      <c r="A1669"/>
    </row>
    <row r="1670" spans="1:1" x14ac:dyDescent="0.55000000000000004">
      <c r="A1670"/>
    </row>
    <row r="1671" spans="1:1" x14ac:dyDescent="0.55000000000000004">
      <c r="A1671"/>
    </row>
    <row r="1672" spans="1:1" x14ac:dyDescent="0.55000000000000004">
      <c r="A1672"/>
    </row>
    <row r="1673" spans="1:1" x14ac:dyDescent="0.55000000000000004">
      <c r="A1673"/>
    </row>
    <row r="1674" spans="1:1" x14ac:dyDescent="0.55000000000000004">
      <c r="A1674"/>
    </row>
    <row r="1675" spans="1:1" x14ac:dyDescent="0.55000000000000004">
      <c r="A1675"/>
    </row>
    <row r="1676" spans="1:1" x14ac:dyDescent="0.55000000000000004">
      <c r="A1676"/>
    </row>
    <row r="1677" spans="1:1" x14ac:dyDescent="0.55000000000000004">
      <c r="A1677"/>
    </row>
    <row r="1678" spans="1:1" x14ac:dyDescent="0.55000000000000004">
      <c r="A1678"/>
    </row>
    <row r="1679" spans="1:1" x14ac:dyDescent="0.55000000000000004">
      <c r="A1679"/>
    </row>
    <row r="1680" spans="1:1" x14ac:dyDescent="0.55000000000000004">
      <c r="A1680"/>
    </row>
    <row r="1681" spans="1:1" x14ac:dyDescent="0.55000000000000004">
      <c r="A1681"/>
    </row>
    <row r="1682" spans="1:1" x14ac:dyDescent="0.55000000000000004">
      <c r="A1682"/>
    </row>
    <row r="1683" spans="1:1" x14ac:dyDescent="0.55000000000000004">
      <c r="A1683"/>
    </row>
    <row r="1684" spans="1:1" x14ac:dyDescent="0.55000000000000004">
      <c r="A1684"/>
    </row>
    <row r="1685" spans="1:1" x14ac:dyDescent="0.55000000000000004">
      <c r="A1685"/>
    </row>
    <row r="1686" spans="1:1" x14ac:dyDescent="0.55000000000000004">
      <c r="A1686"/>
    </row>
    <row r="1687" spans="1:1" x14ac:dyDescent="0.55000000000000004">
      <c r="A1687"/>
    </row>
    <row r="1688" spans="1:1" x14ac:dyDescent="0.55000000000000004">
      <c r="A1688"/>
    </row>
    <row r="1689" spans="1:1" x14ac:dyDescent="0.55000000000000004">
      <c r="A1689"/>
    </row>
    <row r="1690" spans="1:1" x14ac:dyDescent="0.55000000000000004">
      <c r="A1690"/>
    </row>
    <row r="1691" spans="1:1" x14ac:dyDescent="0.55000000000000004">
      <c r="A1691"/>
    </row>
    <row r="1692" spans="1:1" x14ac:dyDescent="0.55000000000000004">
      <c r="A1692"/>
    </row>
    <row r="1693" spans="1:1" x14ac:dyDescent="0.55000000000000004">
      <c r="A1693"/>
    </row>
    <row r="1694" spans="1:1" x14ac:dyDescent="0.55000000000000004">
      <c r="A1694"/>
    </row>
    <row r="1695" spans="1:1" x14ac:dyDescent="0.55000000000000004">
      <c r="A1695"/>
    </row>
    <row r="1696" spans="1:1" x14ac:dyDescent="0.55000000000000004">
      <c r="A1696"/>
    </row>
    <row r="1697" spans="1:1" x14ac:dyDescent="0.55000000000000004">
      <c r="A1697"/>
    </row>
    <row r="1698" spans="1:1" x14ac:dyDescent="0.55000000000000004">
      <c r="A1698"/>
    </row>
    <row r="1699" spans="1:1" x14ac:dyDescent="0.55000000000000004">
      <c r="A1699"/>
    </row>
    <row r="1700" spans="1:1" x14ac:dyDescent="0.55000000000000004">
      <c r="A1700"/>
    </row>
    <row r="1701" spans="1:1" x14ac:dyDescent="0.55000000000000004">
      <c r="A1701"/>
    </row>
    <row r="1702" spans="1:1" x14ac:dyDescent="0.55000000000000004">
      <c r="A1702"/>
    </row>
    <row r="1703" spans="1:1" x14ac:dyDescent="0.55000000000000004">
      <c r="A1703"/>
    </row>
    <row r="1704" spans="1:1" x14ac:dyDescent="0.55000000000000004">
      <c r="A1704"/>
    </row>
    <row r="1705" spans="1:1" x14ac:dyDescent="0.55000000000000004">
      <c r="A1705"/>
    </row>
    <row r="1706" spans="1:1" x14ac:dyDescent="0.55000000000000004">
      <c r="A1706"/>
    </row>
    <row r="1707" spans="1:1" x14ac:dyDescent="0.55000000000000004">
      <c r="A1707"/>
    </row>
    <row r="1708" spans="1:1" x14ac:dyDescent="0.55000000000000004">
      <c r="A1708"/>
    </row>
    <row r="1709" spans="1:1" x14ac:dyDescent="0.55000000000000004">
      <c r="A1709"/>
    </row>
    <row r="1710" spans="1:1" x14ac:dyDescent="0.55000000000000004">
      <c r="A1710"/>
    </row>
    <row r="1711" spans="1:1" x14ac:dyDescent="0.55000000000000004">
      <c r="A1711"/>
    </row>
    <row r="1712" spans="1:1" x14ac:dyDescent="0.55000000000000004">
      <c r="A1712"/>
    </row>
    <row r="1713" spans="1:1" x14ac:dyDescent="0.55000000000000004">
      <c r="A1713"/>
    </row>
    <row r="1714" spans="1:1" x14ac:dyDescent="0.55000000000000004">
      <c r="A1714"/>
    </row>
    <row r="1715" spans="1:1" x14ac:dyDescent="0.55000000000000004">
      <c r="A1715"/>
    </row>
    <row r="1716" spans="1:1" x14ac:dyDescent="0.55000000000000004">
      <c r="A1716"/>
    </row>
    <row r="1717" spans="1:1" x14ac:dyDescent="0.55000000000000004">
      <c r="A1717"/>
    </row>
    <row r="1718" spans="1:1" x14ac:dyDescent="0.55000000000000004">
      <c r="A1718"/>
    </row>
    <row r="1719" spans="1:1" x14ac:dyDescent="0.55000000000000004">
      <c r="A1719"/>
    </row>
    <row r="1720" spans="1:1" x14ac:dyDescent="0.55000000000000004">
      <c r="A1720"/>
    </row>
    <row r="1721" spans="1:1" x14ac:dyDescent="0.55000000000000004">
      <c r="A1721"/>
    </row>
    <row r="1722" spans="1:1" x14ac:dyDescent="0.55000000000000004">
      <c r="A1722"/>
    </row>
    <row r="1723" spans="1:1" x14ac:dyDescent="0.55000000000000004">
      <c r="A1723"/>
    </row>
    <row r="1724" spans="1:1" x14ac:dyDescent="0.55000000000000004">
      <c r="A1724"/>
    </row>
    <row r="1725" spans="1:1" x14ac:dyDescent="0.55000000000000004">
      <c r="A1725"/>
    </row>
    <row r="1726" spans="1:1" x14ac:dyDescent="0.55000000000000004">
      <c r="A1726"/>
    </row>
    <row r="1727" spans="1:1" x14ac:dyDescent="0.55000000000000004">
      <c r="A1727"/>
    </row>
    <row r="1728" spans="1:1" x14ac:dyDescent="0.55000000000000004">
      <c r="A1728"/>
    </row>
    <row r="1729" spans="1:1" x14ac:dyDescent="0.55000000000000004">
      <c r="A1729"/>
    </row>
    <row r="1730" spans="1:1" x14ac:dyDescent="0.55000000000000004">
      <c r="A1730"/>
    </row>
    <row r="1731" spans="1:1" x14ac:dyDescent="0.55000000000000004">
      <c r="A1731"/>
    </row>
    <row r="1732" spans="1:1" x14ac:dyDescent="0.55000000000000004">
      <c r="A1732"/>
    </row>
    <row r="1733" spans="1:1" x14ac:dyDescent="0.55000000000000004">
      <c r="A1733"/>
    </row>
    <row r="1734" spans="1:1" x14ac:dyDescent="0.55000000000000004">
      <c r="A1734"/>
    </row>
    <row r="1735" spans="1:1" x14ac:dyDescent="0.55000000000000004">
      <c r="A1735"/>
    </row>
    <row r="1736" spans="1:1" x14ac:dyDescent="0.55000000000000004">
      <c r="A1736"/>
    </row>
    <row r="1737" spans="1:1" x14ac:dyDescent="0.55000000000000004">
      <c r="A1737"/>
    </row>
    <row r="1738" spans="1:1" x14ac:dyDescent="0.55000000000000004">
      <c r="A1738"/>
    </row>
    <row r="1739" spans="1:1" x14ac:dyDescent="0.55000000000000004">
      <c r="A1739"/>
    </row>
    <row r="1740" spans="1:1" x14ac:dyDescent="0.55000000000000004">
      <c r="A1740"/>
    </row>
    <row r="1741" spans="1:1" x14ac:dyDescent="0.55000000000000004">
      <c r="A1741"/>
    </row>
    <row r="1742" spans="1:1" x14ac:dyDescent="0.55000000000000004">
      <c r="A1742"/>
    </row>
    <row r="1743" spans="1:1" x14ac:dyDescent="0.55000000000000004">
      <c r="A1743"/>
    </row>
    <row r="1744" spans="1:1" x14ac:dyDescent="0.55000000000000004">
      <c r="A1744"/>
    </row>
    <row r="1745" spans="1:1" x14ac:dyDescent="0.55000000000000004">
      <c r="A1745"/>
    </row>
    <row r="1746" spans="1:1" x14ac:dyDescent="0.55000000000000004">
      <c r="A1746"/>
    </row>
    <row r="1747" spans="1:1" x14ac:dyDescent="0.55000000000000004">
      <c r="A1747"/>
    </row>
    <row r="1748" spans="1:1" x14ac:dyDescent="0.55000000000000004">
      <c r="A1748"/>
    </row>
    <row r="1749" spans="1:1" x14ac:dyDescent="0.55000000000000004">
      <c r="A1749"/>
    </row>
    <row r="1750" spans="1:1" x14ac:dyDescent="0.55000000000000004">
      <c r="A1750"/>
    </row>
    <row r="1751" spans="1:1" x14ac:dyDescent="0.55000000000000004">
      <c r="A1751"/>
    </row>
    <row r="1752" spans="1:1" x14ac:dyDescent="0.55000000000000004">
      <c r="A1752"/>
    </row>
    <row r="1753" spans="1:1" x14ac:dyDescent="0.55000000000000004">
      <c r="A1753"/>
    </row>
    <row r="1754" spans="1:1" x14ac:dyDescent="0.55000000000000004">
      <c r="A1754"/>
    </row>
    <row r="1755" spans="1:1" x14ac:dyDescent="0.55000000000000004">
      <c r="A1755"/>
    </row>
    <row r="1756" spans="1:1" x14ac:dyDescent="0.55000000000000004">
      <c r="A1756"/>
    </row>
    <row r="1757" spans="1:1" x14ac:dyDescent="0.55000000000000004">
      <c r="A1757"/>
    </row>
    <row r="1758" spans="1:1" x14ac:dyDescent="0.55000000000000004">
      <c r="A1758"/>
    </row>
    <row r="1759" spans="1:1" x14ac:dyDescent="0.55000000000000004">
      <c r="A1759"/>
    </row>
    <row r="1760" spans="1:1" x14ac:dyDescent="0.55000000000000004">
      <c r="A1760"/>
    </row>
    <row r="1761" spans="1:1" x14ac:dyDescent="0.55000000000000004">
      <c r="A1761"/>
    </row>
    <row r="1762" spans="1:1" x14ac:dyDescent="0.55000000000000004">
      <c r="A1762"/>
    </row>
    <row r="1763" spans="1:1" x14ac:dyDescent="0.55000000000000004">
      <c r="A1763"/>
    </row>
    <row r="1764" spans="1:1" x14ac:dyDescent="0.55000000000000004">
      <c r="A1764"/>
    </row>
    <row r="1765" spans="1:1" x14ac:dyDescent="0.55000000000000004">
      <c r="A1765"/>
    </row>
    <row r="1766" spans="1:1" x14ac:dyDescent="0.55000000000000004">
      <c r="A1766"/>
    </row>
    <row r="1767" spans="1:1" x14ac:dyDescent="0.55000000000000004">
      <c r="A1767"/>
    </row>
    <row r="1768" spans="1:1" x14ac:dyDescent="0.55000000000000004">
      <c r="A1768"/>
    </row>
    <row r="1769" spans="1:1" x14ac:dyDescent="0.55000000000000004">
      <c r="A1769"/>
    </row>
    <row r="1770" spans="1:1" x14ac:dyDescent="0.55000000000000004">
      <c r="A1770"/>
    </row>
    <row r="1771" spans="1:1" x14ac:dyDescent="0.55000000000000004">
      <c r="A1771"/>
    </row>
    <row r="1772" spans="1:1" x14ac:dyDescent="0.55000000000000004">
      <c r="A1772"/>
    </row>
    <row r="1773" spans="1:1" x14ac:dyDescent="0.55000000000000004">
      <c r="A1773"/>
    </row>
    <row r="1774" spans="1:1" x14ac:dyDescent="0.55000000000000004">
      <c r="A1774"/>
    </row>
    <row r="1775" spans="1:1" x14ac:dyDescent="0.55000000000000004">
      <c r="A1775"/>
    </row>
    <row r="1776" spans="1:1" x14ac:dyDescent="0.55000000000000004">
      <c r="A1776"/>
    </row>
    <row r="1777" spans="1:1" x14ac:dyDescent="0.55000000000000004">
      <c r="A1777"/>
    </row>
    <row r="1778" spans="1:1" x14ac:dyDescent="0.55000000000000004">
      <c r="A1778"/>
    </row>
    <row r="1779" spans="1:1" x14ac:dyDescent="0.55000000000000004">
      <c r="A1779"/>
    </row>
    <row r="1780" spans="1:1" x14ac:dyDescent="0.55000000000000004">
      <c r="A1780"/>
    </row>
    <row r="1781" spans="1:1" x14ac:dyDescent="0.55000000000000004">
      <c r="A1781"/>
    </row>
    <row r="1782" spans="1:1" x14ac:dyDescent="0.55000000000000004">
      <c r="A1782"/>
    </row>
    <row r="1783" spans="1:1" x14ac:dyDescent="0.55000000000000004">
      <c r="A1783"/>
    </row>
    <row r="1784" spans="1:1" x14ac:dyDescent="0.55000000000000004">
      <c r="A1784"/>
    </row>
    <row r="1785" spans="1:1" x14ac:dyDescent="0.55000000000000004">
      <c r="A1785"/>
    </row>
    <row r="1786" spans="1:1" x14ac:dyDescent="0.55000000000000004">
      <c r="A1786"/>
    </row>
    <row r="1787" spans="1:1" x14ac:dyDescent="0.55000000000000004">
      <c r="A1787"/>
    </row>
    <row r="1788" spans="1:1" x14ac:dyDescent="0.55000000000000004">
      <c r="A1788"/>
    </row>
    <row r="1789" spans="1:1" x14ac:dyDescent="0.55000000000000004">
      <c r="A1789"/>
    </row>
    <row r="1790" spans="1:1" x14ac:dyDescent="0.55000000000000004">
      <c r="A1790"/>
    </row>
    <row r="1791" spans="1:1" x14ac:dyDescent="0.55000000000000004">
      <c r="A1791"/>
    </row>
    <row r="1792" spans="1:1" x14ac:dyDescent="0.55000000000000004">
      <c r="A1792"/>
    </row>
    <row r="1793" spans="1:1" x14ac:dyDescent="0.55000000000000004">
      <c r="A1793"/>
    </row>
    <row r="1794" spans="1:1" x14ac:dyDescent="0.55000000000000004">
      <c r="A1794"/>
    </row>
    <row r="1795" spans="1:1" x14ac:dyDescent="0.55000000000000004">
      <c r="A1795"/>
    </row>
    <row r="1796" spans="1:1" x14ac:dyDescent="0.55000000000000004">
      <c r="A1796"/>
    </row>
    <row r="1797" spans="1:1" x14ac:dyDescent="0.55000000000000004">
      <c r="A1797"/>
    </row>
    <row r="1798" spans="1:1" x14ac:dyDescent="0.55000000000000004">
      <c r="A1798"/>
    </row>
    <row r="1799" spans="1:1" x14ac:dyDescent="0.55000000000000004">
      <c r="A1799"/>
    </row>
    <row r="1800" spans="1:1" x14ac:dyDescent="0.55000000000000004">
      <c r="A1800"/>
    </row>
    <row r="1801" spans="1:1" x14ac:dyDescent="0.55000000000000004">
      <c r="A1801"/>
    </row>
    <row r="1802" spans="1:1" x14ac:dyDescent="0.55000000000000004">
      <c r="A1802"/>
    </row>
    <row r="1803" spans="1:1" x14ac:dyDescent="0.55000000000000004">
      <c r="A1803"/>
    </row>
    <row r="1804" spans="1:1" x14ac:dyDescent="0.55000000000000004">
      <c r="A1804"/>
    </row>
    <row r="1805" spans="1:1" x14ac:dyDescent="0.55000000000000004">
      <c r="A1805"/>
    </row>
    <row r="1806" spans="1:1" x14ac:dyDescent="0.55000000000000004">
      <c r="A1806"/>
    </row>
    <row r="1807" spans="1:1" x14ac:dyDescent="0.55000000000000004">
      <c r="A1807"/>
    </row>
    <row r="1808" spans="1:1" x14ac:dyDescent="0.55000000000000004">
      <c r="A1808"/>
    </row>
    <row r="1809" spans="1:1" x14ac:dyDescent="0.55000000000000004">
      <c r="A1809"/>
    </row>
    <row r="1810" spans="1:1" x14ac:dyDescent="0.55000000000000004">
      <c r="A1810"/>
    </row>
    <row r="1811" spans="1:1" x14ac:dyDescent="0.55000000000000004">
      <c r="A1811"/>
    </row>
    <row r="1812" spans="1:1" x14ac:dyDescent="0.55000000000000004">
      <c r="A1812"/>
    </row>
    <row r="1813" spans="1:1" x14ac:dyDescent="0.55000000000000004">
      <c r="A1813"/>
    </row>
    <row r="1814" spans="1:1" x14ac:dyDescent="0.55000000000000004">
      <c r="A1814"/>
    </row>
    <row r="1815" spans="1:1" x14ac:dyDescent="0.55000000000000004">
      <c r="A1815"/>
    </row>
    <row r="1816" spans="1:1" x14ac:dyDescent="0.55000000000000004">
      <c r="A1816"/>
    </row>
    <row r="1817" spans="1:1" x14ac:dyDescent="0.55000000000000004">
      <c r="A1817"/>
    </row>
    <row r="1818" spans="1:1" x14ac:dyDescent="0.55000000000000004">
      <c r="A1818"/>
    </row>
    <row r="1819" spans="1:1" x14ac:dyDescent="0.55000000000000004">
      <c r="A1819"/>
    </row>
    <row r="1820" spans="1:1" x14ac:dyDescent="0.55000000000000004">
      <c r="A1820"/>
    </row>
    <row r="1821" spans="1:1" x14ac:dyDescent="0.55000000000000004">
      <c r="A1821"/>
    </row>
    <row r="1822" spans="1:1" x14ac:dyDescent="0.55000000000000004">
      <c r="A1822"/>
    </row>
    <row r="1823" spans="1:1" x14ac:dyDescent="0.55000000000000004">
      <c r="A1823"/>
    </row>
    <row r="1824" spans="1:1" x14ac:dyDescent="0.55000000000000004">
      <c r="A1824"/>
    </row>
    <row r="1825" spans="1:1" x14ac:dyDescent="0.55000000000000004">
      <c r="A1825"/>
    </row>
    <row r="1826" spans="1:1" x14ac:dyDescent="0.55000000000000004">
      <c r="A1826"/>
    </row>
    <row r="1827" spans="1:1" x14ac:dyDescent="0.55000000000000004">
      <c r="A1827"/>
    </row>
    <row r="1828" spans="1:1" x14ac:dyDescent="0.55000000000000004">
      <c r="A1828"/>
    </row>
    <row r="1829" spans="1:1" x14ac:dyDescent="0.55000000000000004">
      <c r="A1829"/>
    </row>
    <row r="1830" spans="1:1" x14ac:dyDescent="0.55000000000000004">
      <c r="A1830"/>
    </row>
    <row r="1831" spans="1:1" x14ac:dyDescent="0.55000000000000004">
      <c r="A1831"/>
    </row>
    <row r="1832" spans="1:1" x14ac:dyDescent="0.55000000000000004">
      <c r="A1832"/>
    </row>
    <row r="1833" spans="1:1" x14ac:dyDescent="0.55000000000000004">
      <c r="A1833"/>
    </row>
    <row r="1834" spans="1:1" x14ac:dyDescent="0.55000000000000004">
      <c r="A1834"/>
    </row>
    <row r="1835" spans="1:1" x14ac:dyDescent="0.55000000000000004">
      <c r="A1835"/>
    </row>
    <row r="1836" spans="1:1" x14ac:dyDescent="0.55000000000000004">
      <c r="A1836"/>
    </row>
    <row r="1837" spans="1:1" x14ac:dyDescent="0.55000000000000004">
      <c r="A1837"/>
    </row>
    <row r="1838" spans="1:1" x14ac:dyDescent="0.55000000000000004">
      <c r="A1838"/>
    </row>
    <row r="1839" spans="1:1" x14ac:dyDescent="0.55000000000000004">
      <c r="A1839"/>
    </row>
    <row r="1840" spans="1:1" x14ac:dyDescent="0.55000000000000004">
      <c r="A1840"/>
    </row>
    <row r="1841" spans="1:1" x14ac:dyDescent="0.55000000000000004">
      <c r="A1841"/>
    </row>
    <row r="1842" spans="1:1" x14ac:dyDescent="0.55000000000000004">
      <c r="A1842"/>
    </row>
    <row r="1843" spans="1:1" x14ac:dyDescent="0.55000000000000004">
      <c r="A1843"/>
    </row>
    <row r="1844" spans="1:1" x14ac:dyDescent="0.55000000000000004">
      <c r="A1844"/>
    </row>
    <row r="1845" spans="1:1" x14ac:dyDescent="0.55000000000000004">
      <c r="A1845"/>
    </row>
    <row r="1846" spans="1:1" x14ac:dyDescent="0.55000000000000004">
      <c r="A1846"/>
    </row>
    <row r="1847" spans="1:1" x14ac:dyDescent="0.55000000000000004">
      <c r="A1847"/>
    </row>
    <row r="1848" spans="1:1" x14ac:dyDescent="0.55000000000000004">
      <c r="A1848"/>
    </row>
    <row r="1849" spans="1:1" x14ac:dyDescent="0.55000000000000004">
      <c r="A1849"/>
    </row>
    <row r="1850" spans="1:1" x14ac:dyDescent="0.55000000000000004">
      <c r="A1850"/>
    </row>
    <row r="1851" spans="1:1" x14ac:dyDescent="0.55000000000000004">
      <c r="A1851"/>
    </row>
    <row r="1852" spans="1:1" x14ac:dyDescent="0.55000000000000004">
      <c r="A1852"/>
    </row>
    <row r="1853" spans="1:1" x14ac:dyDescent="0.55000000000000004">
      <c r="A1853"/>
    </row>
    <row r="1854" spans="1:1" x14ac:dyDescent="0.55000000000000004">
      <c r="A1854"/>
    </row>
    <row r="1855" spans="1:1" x14ac:dyDescent="0.55000000000000004">
      <c r="A1855"/>
    </row>
    <row r="1856" spans="1:1" x14ac:dyDescent="0.55000000000000004">
      <c r="A1856"/>
    </row>
    <row r="1857" spans="1:1" x14ac:dyDescent="0.55000000000000004">
      <c r="A1857"/>
    </row>
    <row r="1858" spans="1:1" x14ac:dyDescent="0.55000000000000004">
      <c r="A1858"/>
    </row>
    <row r="1859" spans="1:1" x14ac:dyDescent="0.55000000000000004">
      <c r="A1859"/>
    </row>
    <row r="1860" spans="1:1" x14ac:dyDescent="0.55000000000000004">
      <c r="A1860"/>
    </row>
    <row r="1861" spans="1:1" x14ac:dyDescent="0.55000000000000004">
      <c r="A1861"/>
    </row>
    <row r="1862" spans="1:1" x14ac:dyDescent="0.55000000000000004">
      <c r="A1862"/>
    </row>
    <row r="1863" spans="1:1" x14ac:dyDescent="0.55000000000000004">
      <c r="A1863"/>
    </row>
    <row r="1864" spans="1:1" x14ac:dyDescent="0.55000000000000004">
      <c r="A1864"/>
    </row>
    <row r="1865" spans="1:1" x14ac:dyDescent="0.55000000000000004">
      <c r="A1865"/>
    </row>
    <row r="1866" spans="1:1" x14ac:dyDescent="0.55000000000000004">
      <c r="A1866"/>
    </row>
    <row r="1867" spans="1:1" x14ac:dyDescent="0.55000000000000004">
      <c r="A1867"/>
    </row>
    <row r="1868" spans="1:1" x14ac:dyDescent="0.55000000000000004">
      <c r="A1868"/>
    </row>
    <row r="1869" spans="1:1" x14ac:dyDescent="0.55000000000000004">
      <c r="A1869"/>
    </row>
    <row r="1870" spans="1:1" x14ac:dyDescent="0.55000000000000004">
      <c r="A1870"/>
    </row>
    <row r="1871" spans="1:1" x14ac:dyDescent="0.55000000000000004">
      <c r="A1871"/>
    </row>
    <row r="1872" spans="1:1" x14ac:dyDescent="0.55000000000000004">
      <c r="A1872"/>
    </row>
    <row r="1873" spans="1:1" x14ac:dyDescent="0.55000000000000004">
      <c r="A1873"/>
    </row>
    <row r="1874" spans="1:1" x14ac:dyDescent="0.55000000000000004">
      <c r="A1874"/>
    </row>
    <row r="1875" spans="1:1" x14ac:dyDescent="0.55000000000000004">
      <c r="A1875"/>
    </row>
    <row r="1876" spans="1:1" x14ac:dyDescent="0.55000000000000004">
      <c r="A1876"/>
    </row>
    <row r="1877" spans="1:1" x14ac:dyDescent="0.55000000000000004">
      <c r="A1877"/>
    </row>
    <row r="1878" spans="1:1" x14ac:dyDescent="0.55000000000000004">
      <c r="A1878"/>
    </row>
    <row r="1879" spans="1:1" x14ac:dyDescent="0.55000000000000004">
      <c r="A1879"/>
    </row>
    <row r="1880" spans="1:1" x14ac:dyDescent="0.55000000000000004">
      <c r="A1880"/>
    </row>
    <row r="1881" spans="1:1" x14ac:dyDescent="0.55000000000000004">
      <c r="A1881"/>
    </row>
    <row r="1882" spans="1:1" x14ac:dyDescent="0.55000000000000004">
      <c r="A1882"/>
    </row>
    <row r="1883" spans="1:1" x14ac:dyDescent="0.55000000000000004">
      <c r="A1883"/>
    </row>
    <row r="1884" spans="1:1" x14ac:dyDescent="0.55000000000000004">
      <c r="A1884"/>
    </row>
    <row r="1885" spans="1:1" x14ac:dyDescent="0.55000000000000004">
      <c r="A1885"/>
    </row>
    <row r="1886" spans="1:1" x14ac:dyDescent="0.55000000000000004">
      <c r="A1886"/>
    </row>
    <row r="1887" spans="1:1" x14ac:dyDescent="0.55000000000000004">
      <c r="A1887"/>
    </row>
    <row r="1888" spans="1:1" x14ac:dyDescent="0.55000000000000004">
      <c r="A1888"/>
    </row>
    <row r="1889" spans="1:1" x14ac:dyDescent="0.55000000000000004">
      <c r="A1889"/>
    </row>
    <row r="1890" spans="1:1" x14ac:dyDescent="0.55000000000000004">
      <c r="A1890"/>
    </row>
    <row r="1891" spans="1:1" x14ac:dyDescent="0.55000000000000004">
      <c r="A1891"/>
    </row>
    <row r="1892" spans="1:1" x14ac:dyDescent="0.55000000000000004">
      <c r="A1892"/>
    </row>
    <row r="1893" spans="1:1" x14ac:dyDescent="0.55000000000000004">
      <c r="A1893"/>
    </row>
    <row r="1894" spans="1:1" x14ac:dyDescent="0.55000000000000004">
      <c r="A1894"/>
    </row>
    <row r="1895" spans="1:1" x14ac:dyDescent="0.55000000000000004">
      <c r="A1895"/>
    </row>
    <row r="1896" spans="1:1" x14ac:dyDescent="0.55000000000000004">
      <c r="A1896"/>
    </row>
    <row r="1897" spans="1:1" x14ac:dyDescent="0.55000000000000004">
      <c r="A1897"/>
    </row>
    <row r="1898" spans="1:1" x14ac:dyDescent="0.55000000000000004">
      <c r="A1898"/>
    </row>
    <row r="1899" spans="1:1" x14ac:dyDescent="0.55000000000000004">
      <c r="A1899"/>
    </row>
    <row r="1900" spans="1:1" x14ac:dyDescent="0.55000000000000004">
      <c r="A1900"/>
    </row>
    <row r="1901" spans="1:1" x14ac:dyDescent="0.55000000000000004">
      <c r="A1901"/>
    </row>
    <row r="1902" spans="1:1" x14ac:dyDescent="0.55000000000000004">
      <c r="A1902"/>
    </row>
    <row r="1903" spans="1:1" x14ac:dyDescent="0.55000000000000004">
      <c r="A1903"/>
    </row>
    <row r="1904" spans="1:1" x14ac:dyDescent="0.55000000000000004">
      <c r="A1904"/>
    </row>
    <row r="1905" spans="1:1" x14ac:dyDescent="0.55000000000000004">
      <c r="A1905"/>
    </row>
    <row r="1906" spans="1:1" x14ac:dyDescent="0.55000000000000004">
      <c r="A1906"/>
    </row>
    <row r="1907" spans="1:1" x14ac:dyDescent="0.55000000000000004">
      <c r="A1907"/>
    </row>
    <row r="1908" spans="1:1" x14ac:dyDescent="0.55000000000000004">
      <c r="A1908"/>
    </row>
    <row r="1909" spans="1:1" x14ac:dyDescent="0.55000000000000004">
      <c r="A1909"/>
    </row>
    <row r="1910" spans="1:1" x14ac:dyDescent="0.55000000000000004">
      <c r="A1910"/>
    </row>
    <row r="1911" spans="1:1" x14ac:dyDescent="0.55000000000000004">
      <c r="A1911"/>
    </row>
    <row r="1912" spans="1:1" x14ac:dyDescent="0.55000000000000004">
      <c r="A1912"/>
    </row>
    <row r="1913" spans="1:1" x14ac:dyDescent="0.55000000000000004">
      <c r="A1913"/>
    </row>
    <row r="1914" spans="1:1" x14ac:dyDescent="0.55000000000000004">
      <c r="A1914"/>
    </row>
    <row r="1915" spans="1:1" x14ac:dyDescent="0.55000000000000004">
      <c r="A1915"/>
    </row>
    <row r="1916" spans="1:1" x14ac:dyDescent="0.55000000000000004">
      <c r="A1916"/>
    </row>
    <row r="1917" spans="1:1" x14ac:dyDescent="0.55000000000000004">
      <c r="A1917"/>
    </row>
    <row r="1918" spans="1:1" x14ac:dyDescent="0.55000000000000004">
      <c r="A1918"/>
    </row>
    <row r="1919" spans="1:1" x14ac:dyDescent="0.55000000000000004">
      <c r="A1919"/>
    </row>
    <row r="1920" spans="1:1" x14ac:dyDescent="0.55000000000000004">
      <c r="A1920"/>
    </row>
    <row r="1921" spans="1:1" x14ac:dyDescent="0.55000000000000004">
      <c r="A1921"/>
    </row>
    <row r="1922" spans="1:1" x14ac:dyDescent="0.55000000000000004">
      <c r="A1922"/>
    </row>
    <row r="1923" spans="1:1" x14ac:dyDescent="0.55000000000000004">
      <c r="A1923"/>
    </row>
    <row r="1924" spans="1:1" x14ac:dyDescent="0.55000000000000004">
      <c r="A1924"/>
    </row>
    <row r="1925" spans="1:1" x14ac:dyDescent="0.55000000000000004">
      <c r="A1925"/>
    </row>
    <row r="1926" spans="1:1" x14ac:dyDescent="0.55000000000000004">
      <c r="A1926"/>
    </row>
    <row r="1927" spans="1:1" x14ac:dyDescent="0.55000000000000004">
      <c r="A1927"/>
    </row>
    <row r="1928" spans="1:1" x14ac:dyDescent="0.55000000000000004">
      <c r="A1928"/>
    </row>
    <row r="1929" spans="1:1" x14ac:dyDescent="0.55000000000000004">
      <c r="A1929"/>
    </row>
    <row r="1930" spans="1:1" x14ac:dyDescent="0.55000000000000004">
      <c r="A1930"/>
    </row>
    <row r="1931" spans="1:1" x14ac:dyDescent="0.55000000000000004">
      <c r="A1931"/>
    </row>
    <row r="1932" spans="1:1" x14ac:dyDescent="0.55000000000000004">
      <c r="A1932"/>
    </row>
    <row r="1933" spans="1:1" x14ac:dyDescent="0.55000000000000004">
      <c r="A1933"/>
    </row>
    <row r="1934" spans="1:1" x14ac:dyDescent="0.55000000000000004">
      <c r="A1934"/>
    </row>
    <row r="1935" spans="1:1" x14ac:dyDescent="0.55000000000000004">
      <c r="A1935"/>
    </row>
    <row r="1936" spans="1:1" x14ac:dyDescent="0.55000000000000004">
      <c r="A1936"/>
    </row>
    <row r="1937" spans="1:1" x14ac:dyDescent="0.55000000000000004">
      <c r="A1937"/>
    </row>
    <row r="1938" spans="1:1" x14ac:dyDescent="0.55000000000000004">
      <c r="A1938"/>
    </row>
    <row r="1939" spans="1:1" x14ac:dyDescent="0.55000000000000004">
      <c r="A1939"/>
    </row>
    <row r="1940" spans="1:1" x14ac:dyDescent="0.55000000000000004">
      <c r="A1940"/>
    </row>
    <row r="1941" spans="1:1" x14ac:dyDescent="0.55000000000000004">
      <c r="A1941"/>
    </row>
    <row r="1942" spans="1:1" x14ac:dyDescent="0.55000000000000004">
      <c r="A1942"/>
    </row>
    <row r="1943" spans="1:1" x14ac:dyDescent="0.55000000000000004">
      <c r="A1943"/>
    </row>
    <row r="1944" spans="1:1" x14ac:dyDescent="0.55000000000000004">
      <c r="A1944"/>
    </row>
    <row r="1945" spans="1:1" x14ac:dyDescent="0.55000000000000004">
      <c r="A1945"/>
    </row>
    <row r="1946" spans="1:1" x14ac:dyDescent="0.55000000000000004">
      <c r="A1946"/>
    </row>
    <row r="1947" spans="1:1" x14ac:dyDescent="0.55000000000000004">
      <c r="A1947"/>
    </row>
    <row r="1948" spans="1:1" x14ac:dyDescent="0.55000000000000004">
      <c r="A1948"/>
    </row>
    <row r="1949" spans="1:1" x14ac:dyDescent="0.55000000000000004">
      <c r="A1949"/>
    </row>
    <row r="1950" spans="1:1" x14ac:dyDescent="0.55000000000000004">
      <c r="A1950"/>
    </row>
    <row r="1951" spans="1:1" x14ac:dyDescent="0.55000000000000004">
      <c r="A1951"/>
    </row>
    <row r="1952" spans="1:1" x14ac:dyDescent="0.55000000000000004">
      <c r="A1952"/>
    </row>
    <row r="1953" spans="1:1" x14ac:dyDescent="0.55000000000000004">
      <c r="A1953"/>
    </row>
    <row r="1954" spans="1:1" x14ac:dyDescent="0.55000000000000004">
      <c r="A1954"/>
    </row>
    <row r="1955" spans="1:1" x14ac:dyDescent="0.55000000000000004">
      <c r="A1955"/>
    </row>
    <row r="1956" spans="1:1" x14ac:dyDescent="0.55000000000000004">
      <c r="A1956"/>
    </row>
    <row r="1957" spans="1:1" x14ac:dyDescent="0.55000000000000004">
      <c r="A1957"/>
    </row>
    <row r="1958" spans="1:1" x14ac:dyDescent="0.55000000000000004">
      <c r="A1958"/>
    </row>
    <row r="1959" spans="1:1" x14ac:dyDescent="0.55000000000000004">
      <c r="A1959"/>
    </row>
    <row r="1960" spans="1:1" x14ac:dyDescent="0.55000000000000004">
      <c r="A1960"/>
    </row>
    <row r="1961" spans="1:1" x14ac:dyDescent="0.55000000000000004">
      <c r="A1961"/>
    </row>
    <row r="1962" spans="1:1" x14ac:dyDescent="0.55000000000000004">
      <c r="A1962"/>
    </row>
    <row r="1963" spans="1:1" x14ac:dyDescent="0.55000000000000004">
      <c r="A1963"/>
    </row>
    <row r="1964" spans="1:1" x14ac:dyDescent="0.55000000000000004">
      <c r="A1964"/>
    </row>
    <row r="1965" spans="1:1" x14ac:dyDescent="0.55000000000000004">
      <c r="A1965"/>
    </row>
    <row r="1966" spans="1:1" x14ac:dyDescent="0.55000000000000004">
      <c r="A1966"/>
    </row>
    <row r="1967" spans="1:1" x14ac:dyDescent="0.55000000000000004">
      <c r="A1967"/>
    </row>
    <row r="1968" spans="1:1" x14ac:dyDescent="0.55000000000000004">
      <c r="A1968"/>
    </row>
    <row r="1969" spans="1:1" x14ac:dyDescent="0.55000000000000004">
      <c r="A1969"/>
    </row>
    <row r="1970" spans="1:1" x14ac:dyDescent="0.55000000000000004">
      <c r="A1970"/>
    </row>
    <row r="1971" spans="1:1" x14ac:dyDescent="0.55000000000000004">
      <c r="A1971"/>
    </row>
    <row r="1972" spans="1:1" x14ac:dyDescent="0.55000000000000004">
      <c r="A1972"/>
    </row>
    <row r="1973" spans="1:1" x14ac:dyDescent="0.55000000000000004">
      <c r="A1973"/>
    </row>
    <row r="1974" spans="1:1" x14ac:dyDescent="0.55000000000000004">
      <c r="A1974"/>
    </row>
    <row r="1975" spans="1:1" x14ac:dyDescent="0.55000000000000004">
      <c r="A1975"/>
    </row>
    <row r="1976" spans="1:1" x14ac:dyDescent="0.55000000000000004">
      <c r="A1976"/>
    </row>
    <row r="1977" spans="1:1" x14ac:dyDescent="0.55000000000000004">
      <c r="A1977"/>
    </row>
    <row r="1978" spans="1:1" x14ac:dyDescent="0.55000000000000004">
      <c r="A1978"/>
    </row>
    <row r="1979" spans="1:1" x14ac:dyDescent="0.55000000000000004">
      <c r="A1979"/>
    </row>
    <row r="1980" spans="1:1" x14ac:dyDescent="0.55000000000000004">
      <c r="A1980"/>
    </row>
    <row r="1981" spans="1:1" x14ac:dyDescent="0.55000000000000004">
      <c r="A1981"/>
    </row>
    <row r="1982" spans="1:1" x14ac:dyDescent="0.55000000000000004">
      <c r="A1982"/>
    </row>
    <row r="1983" spans="1:1" x14ac:dyDescent="0.55000000000000004">
      <c r="A1983"/>
    </row>
    <row r="1984" spans="1:1" x14ac:dyDescent="0.55000000000000004">
      <c r="A1984"/>
    </row>
    <row r="1985" spans="1:1" x14ac:dyDescent="0.55000000000000004">
      <c r="A1985"/>
    </row>
    <row r="1986" spans="1:1" x14ac:dyDescent="0.55000000000000004">
      <c r="A1986"/>
    </row>
    <row r="1987" spans="1:1" x14ac:dyDescent="0.55000000000000004">
      <c r="A1987"/>
    </row>
    <row r="1988" spans="1:1" x14ac:dyDescent="0.55000000000000004">
      <c r="A1988"/>
    </row>
    <row r="1989" spans="1:1" x14ac:dyDescent="0.55000000000000004">
      <c r="A1989"/>
    </row>
    <row r="1990" spans="1:1" x14ac:dyDescent="0.55000000000000004">
      <c r="A1990"/>
    </row>
    <row r="1991" spans="1:1" x14ac:dyDescent="0.55000000000000004">
      <c r="A1991"/>
    </row>
    <row r="1992" spans="1:1" x14ac:dyDescent="0.55000000000000004">
      <c r="A1992"/>
    </row>
    <row r="1993" spans="1:1" x14ac:dyDescent="0.55000000000000004">
      <c r="A1993"/>
    </row>
    <row r="1994" spans="1:1" x14ac:dyDescent="0.55000000000000004">
      <c r="A1994"/>
    </row>
    <row r="1995" spans="1:1" x14ac:dyDescent="0.55000000000000004">
      <c r="A1995"/>
    </row>
    <row r="1996" spans="1:1" x14ac:dyDescent="0.55000000000000004">
      <c r="A1996"/>
    </row>
    <row r="1997" spans="1:1" x14ac:dyDescent="0.55000000000000004">
      <c r="A1997"/>
    </row>
    <row r="1998" spans="1:1" x14ac:dyDescent="0.55000000000000004">
      <c r="A1998"/>
    </row>
    <row r="1999" spans="1:1" x14ac:dyDescent="0.55000000000000004">
      <c r="A1999"/>
    </row>
    <row r="2000" spans="1:1" x14ac:dyDescent="0.55000000000000004">
      <c r="A2000"/>
    </row>
    <row r="2001" spans="1:1" x14ac:dyDescent="0.55000000000000004">
      <c r="A2001"/>
    </row>
    <row r="2002" spans="1:1" x14ac:dyDescent="0.55000000000000004">
      <c r="A2002"/>
    </row>
    <row r="2003" spans="1:1" x14ac:dyDescent="0.55000000000000004">
      <c r="A2003"/>
    </row>
    <row r="2004" spans="1:1" x14ac:dyDescent="0.55000000000000004">
      <c r="A2004"/>
    </row>
    <row r="2005" spans="1:1" x14ac:dyDescent="0.55000000000000004">
      <c r="A2005"/>
    </row>
    <row r="2006" spans="1:1" x14ac:dyDescent="0.55000000000000004">
      <c r="A2006"/>
    </row>
    <row r="2007" spans="1:1" x14ac:dyDescent="0.55000000000000004">
      <c r="A2007"/>
    </row>
    <row r="2008" spans="1:1" x14ac:dyDescent="0.55000000000000004">
      <c r="A2008"/>
    </row>
    <row r="2009" spans="1:1" x14ac:dyDescent="0.55000000000000004">
      <c r="A2009"/>
    </row>
    <row r="2010" spans="1:1" x14ac:dyDescent="0.55000000000000004">
      <c r="A2010"/>
    </row>
    <row r="2011" spans="1:1" x14ac:dyDescent="0.55000000000000004">
      <c r="A2011"/>
    </row>
    <row r="2012" spans="1:1" x14ac:dyDescent="0.55000000000000004">
      <c r="A2012"/>
    </row>
    <row r="2013" spans="1:1" x14ac:dyDescent="0.55000000000000004">
      <c r="A2013"/>
    </row>
    <row r="2014" spans="1:1" x14ac:dyDescent="0.55000000000000004">
      <c r="A2014"/>
    </row>
    <row r="2015" spans="1:1" x14ac:dyDescent="0.55000000000000004">
      <c r="A2015"/>
    </row>
    <row r="2016" spans="1:1" x14ac:dyDescent="0.55000000000000004">
      <c r="A2016"/>
    </row>
    <row r="2017" spans="1:1" x14ac:dyDescent="0.55000000000000004">
      <c r="A2017"/>
    </row>
    <row r="2018" spans="1:1" x14ac:dyDescent="0.55000000000000004">
      <c r="A2018"/>
    </row>
    <row r="2019" spans="1:1" x14ac:dyDescent="0.55000000000000004">
      <c r="A2019"/>
    </row>
    <row r="2020" spans="1:1" x14ac:dyDescent="0.55000000000000004">
      <c r="A2020"/>
    </row>
    <row r="2021" spans="1:1" x14ac:dyDescent="0.55000000000000004">
      <c r="A2021"/>
    </row>
    <row r="2022" spans="1:1" x14ac:dyDescent="0.55000000000000004">
      <c r="A2022"/>
    </row>
    <row r="2023" spans="1:1" x14ac:dyDescent="0.55000000000000004">
      <c r="A2023"/>
    </row>
    <row r="2024" spans="1:1" x14ac:dyDescent="0.55000000000000004">
      <c r="A2024"/>
    </row>
    <row r="2025" spans="1:1" x14ac:dyDescent="0.55000000000000004">
      <c r="A2025"/>
    </row>
    <row r="2026" spans="1:1" x14ac:dyDescent="0.55000000000000004">
      <c r="A2026"/>
    </row>
    <row r="2027" spans="1:1" x14ac:dyDescent="0.55000000000000004">
      <c r="A2027"/>
    </row>
    <row r="2028" spans="1:1" x14ac:dyDescent="0.55000000000000004">
      <c r="A2028"/>
    </row>
    <row r="2029" spans="1:1" x14ac:dyDescent="0.55000000000000004">
      <c r="A2029"/>
    </row>
    <row r="2030" spans="1:1" x14ac:dyDescent="0.55000000000000004">
      <c r="A2030"/>
    </row>
    <row r="2031" spans="1:1" x14ac:dyDescent="0.55000000000000004">
      <c r="A2031"/>
    </row>
    <row r="2032" spans="1:1" x14ac:dyDescent="0.55000000000000004">
      <c r="A2032"/>
    </row>
    <row r="2033" spans="1:1" x14ac:dyDescent="0.55000000000000004">
      <c r="A2033"/>
    </row>
    <row r="2034" spans="1:1" x14ac:dyDescent="0.55000000000000004">
      <c r="A2034"/>
    </row>
    <row r="2035" spans="1:1" x14ac:dyDescent="0.55000000000000004">
      <c r="A2035"/>
    </row>
    <row r="2036" spans="1:1" x14ac:dyDescent="0.55000000000000004">
      <c r="A2036"/>
    </row>
    <row r="2037" spans="1:1" x14ac:dyDescent="0.55000000000000004">
      <c r="A2037"/>
    </row>
    <row r="2038" spans="1:1" x14ac:dyDescent="0.55000000000000004">
      <c r="A2038"/>
    </row>
    <row r="2039" spans="1:1" x14ac:dyDescent="0.55000000000000004">
      <c r="A2039"/>
    </row>
    <row r="2040" spans="1:1" x14ac:dyDescent="0.55000000000000004">
      <c r="A2040"/>
    </row>
    <row r="2041" spans="1:1" x14ac:dyDescent="0.55000000000000004">
      <c r="A2041"/>
    </row>
    <row r="2042" spans="1:1" x14ac:dyDescent="0.55000000000000004">
      <c r="A2042"/>
    </row>
    <row r="2043" spans="1:1" x14ac:dyDescent="0.55000000000000004">
      <c r="A2043"/>
    </row>
    <row r="2044" spans="1:1" x14ac:dyDescent="0.55000000000000004">
      <c r="A2044"/>
    </row>
    <row r="2045" spans="1:1" x14ac:dyDescent="0.55000000000000004">
      <c r="A2045"/>
    </row>
    <row r="2046" spans="1:1" x14ac:dyDescent="0.55000000000000004">
      <c r="A2046"/>
    </row>
    <row r="2047" spans="1:1" x14ac:dyDescent="0.55000000000000004">
      <c r="A2047"/>
    </row>
    <row r="2048" spans="1:1" x14ac:dyDescent="0.55000000000000004">
      <c r="A2048"/>
    </row>
    <row r="2049" spans="1:1" x14ac:dyDescent="0.55000000000000004">
      <c r="A2049"/>
    </row>
    <row r="2050" spans="1:1" x14ac:dyDescent="0.55000000000000004">
      <c r="A2050"/>
    </row>
    <row r="2051" spans="1:1" x14ac:dyDescent="0.55000000000000004">
      <c r="A2051"/>
    </row>
    <row r="2052" spans="1:1" x14ac:dyDescent="0.55000000000000004">
      <c r="A2052"/>
    </row>
    <row r="2053" spans="1:1" x14ac:dyDescent="0.55000000000000004">
      <c r="A2053"/>
    </row>
    <row r="2054" spans="1:1" x14ac:dyDescent="0.55000000000000004">
      <c r="A2054"/>
    </row>
    <row r="2055" spans="1:1" x14ac:dyDescent="0.55000000000000004">
      <c r="A2055"/>
    </row>
    <row r="2056" spans="1:1" x14ac:dyDescent="0.55000000000000004">
      <c r="A2056"/>
    </row>
    <row r="2057" spans="1:1" x14ac:dyDescent="0.55000000000000004">
      <c r="A2057"/>
    </row>
    <row r="2058" spans="1:1" x14ac:dyDescent="0.55000000000000004">
      <c r="A2058"/>
    </row>
    <row r="2059" spans="1:1" x14ac:dyDescent="0.55000000000000004">
      <c r="A2059"/>
    </row>
    <row r="2060" spans="1:1" x14ac:dyDescent="0.55000000000000004">
      <c r="A2060"/>
    </row>
    <row r="2061" spans="1:1" x14ac:dyDescent="0.55000000000000004">
      <c r="A2061"/>
    </row>
    <row r="2062" spans="1:1" x14ac:dyDescent="0.55000000000000004">
      <c r="A2062"/>
    </row>
    <row r="2063" spans="1:1" x14ac:dyDescent="0.55000000000000004">
      <c r="A2063"/>
    </row>
    <row r="2064" spans="1:1" x14ac:dyDescent="0.55000000000000004">
      <c r="A2064"/>
    </row>
    <row r="2065" spans="1:1" x14ac:dyDescent="0.55000000000000004">
      <c r="A2065"/>
    </row>
    <row r="2066" spans="1:1" x14ac:dyDescent="0.55000000000000004">
      <c r="A2066"/>
    </row>
    <row r="2067" spans="1:1" x14ac:dyDescent="0.55000000000000004">
      <c r="A2067"/>
    </row>
    <row r="2068" spans="1:1" x14ac:dyDescent="0.55000000000000004">
      <c r="A2068"/>
    </row>
    <row r="2069" spans="1:1" x14ac:dyDescent="0.55000000000000004">
      <c r="A2069"/>
    </row>
    <row r="2070" spans="1:1" x14ac:dyDescent="0.55000000000000004">
      <c r="A2070"/>
    </row>
    <row r="2071" spans="1:1" x14ac:dyDescent="0.55000000000000004">
      <c r="A2071"/>
    </row>
    <row r="2072" spans="1:1" x14ac:dyDescent="0.55000000000000004">
      <c r="A2072"/>
    </row>
    <row r="2073" spans="1:1" x14ac:dyDescent="0.55000000000000004">
      <c r="A2073"/>
    </row>
    <row r="2074" spans="1:1" x14ac:dyDescent="0.55000000000000004">
      <c r="A2074"/>
    </row>
    <row r="2075" spans="1:1" x14ac:dyDescent="0.55000000000000004">
      <c r="A2075"/>
    </row>
    <row r="2076" spans="1:1" x14ac:dyDescent="0.55000000000000004">
      <c r="A2076"/>
    </row>
    <row r="2077" spans="1:1" x14ac:dyDescent="0.55000000000000004">
      <c r="A2077"/>
    </row>
    <row r="2078" spans="1:1" x14ac:dyDescent="0.55000000000000004">
      <c r="A2078"/>
    </row>
    <row r="2079" spans="1:1" x14ac:dyDescent="0.55000000000000004">
      <c r="A2079"/>
    </row>
    <row r="2080" spans="1:1" x14ac:dyDescent="0.55000000000000004">
      <c r="A2080"/>
    </row>
    <row r="2081" spans="1:1" x14ac:dyDescent="0.55000000000000004">
      <c r="A2081"/>
    </row>
    <row r="2082" spans="1:1" x14ac:dyDescent="0.55000000000000004">
      <c r="A2082"/>
    </row>
    <row r="2083" spans="1:1" x14ac:dyDescent="0.55000000000000004">
      <c r="A2083"/>
    </row>
    <row r="2084" spans="1:1" x14ac:dyDescent="0.55000000000000004">
      <c r="A2084"/>
    </row>
    <row r="2085" spans="1:1" x14ac:dyDescent="0.55000000000000004">
      <c r="A2085"/>
    </row>
    <row r="2086" spans="1:1" x14ac:dyDescent="0.55000000000000004">
      <c r="A2086"/>
    </row>
    <row r="2087" spans="1:1" x14ac:dyDescent="0.55000000000000004">
      <c r="A2087"/>
    </row>
    <row r="2088" spans="1:1" x14ac:dyDescent="0.55000000000000004">
      <c r="A2088"/>
    </row>
    <row r="2089" spans="1:1" x14ac:dyDescent="0.55000000000000004">
      <c r="A2089"/>
    </row>
    <row r="2090" spans="1:1" x14ac:dyDescent="0.55000000000000004">
      <c r="A2090"/>
    </row>
    <row r="2091" spans="1:1" x14ac:dyDescent="0.55000000000000004">
      <c r="A2091"/>
    </row>
    <row r="2092" spans="1:1" x14ac:dyDescent="0.55000000000000004">
      <c r="A2092"/>
    </row>
    <row r="2093" spans="1:1" x14ac:dyDescent="0.55000000000000004">
      <c r="A2093"/>
    </row>
    <row r="2094" spans="1:1" x14ac:dyDescent="0.55000000000000004">
      <c r="A2094"/>
    </row>
    <row r="2095" spans="1:1" x14ac:dyDescent="0.55000000000000004">
      <c r="A2095"/>
    </row>
    <row r="2096" spans="1:1" x14ac:dyDescent="0.55000000000000004">
      <c r="A2096"/>
    </row>
    <row r="2097" spans="1:1" x14ac:dyDescent="0.55000000000000004">
      <c r="A2097"/>
    </row>
    <row r="2098" spans="1:1" x14ac:dyDescent="0.55000000000000004">
      <c r="A2098"/>
    </row>
    <row r="2099" spans="1:1" x14ac:dyDescent="0.55000000000000004">
      <c r="A2099"/>
    </row>
    <row r="2100" spans="1:1" x14ac:dyDescent="0.55000000000000004">
      <c r="A2100"/>
    </row>
    <row r="2101" spans="1:1" x14ac:dyDescent="0.55000000000000004">
      <c r="A2101"/>
    </row>
    <row r="2102" spans="1:1" x14ac:dyDescent="0.55000000000000004">
      <c r="A2102"/>
    </row>
    <row r="2103" spans="1:1" x14ac:dyDescent="0.55000000000000004">
      <c r="A2103"/>
    </row>
    <row r="2104" spans="1:1" x14ac:dyDescent="0.55000000000000004">
      <c r="A2104"/>
    </row>
    <row r="2105" spans="1:1" x14ac:dyDescent="0.55000000000000004">
      <c r="A2105"/>
    </row>
    <row r="2106" spans="1:1" x14ac:dyDescent="0.55000000000000004">
      <c r="A2106"/>
    </row>
    <row r="2107" spans="1:1" x14ac:dyDescent="0.55000000000000004">
      <c r="A2107"/>
    </row>
    <row r="2108" spans="1:1" x14ac:dyDescent="0.55000000000000004">
      <c r="A2108"/>
    </row>
    <row r="2109" spans="1:1" x14ac:dyDescent="0.55000000000000004">
      <c r="A2109"/>
    </row>
    <row r="2110" spans="1:1" x14ac:dyDescent="0.55000000000000004">
      <c r="A2110"/>
    </row>
    <row r="2111" spans="1:1" x14ac:dyDescent="0.55000000000000004">
      <c r="A2111"/>
    </row>
    <row r="2112" spans="1:1" x14ac:dyDescent="0.55000000000000004">
      <c r="A2112"/>
    </row>
    <row r="2113" spans="1:1" x14ac:dyDescent="0.55000000000000004">
      <c r="A2113"/>
    </row>
    <row r="2114" spans="1:1" x14ac:dyDescent="0.55000000000000004">
      <c r="A2114"/>
    </row>
    <row r="2115" spans="1:1" x14ac:dyDescent="0.55000000000000004">
      <c r="A2115"/>
    </row>
    <row r="2116" spans="1:1" x14ac:dyDescent="0.55000000000000004">
      <c r="A2116"/>
    </row>
    <row r="2117" spans="1:1" x14ac:dyDescent="0.55000000000000004">
      <c r="A2117"/>
    </row>
    <row r="2118" spans="1:1" x14ac:dyDescent="0.55000000000000004">
      <c r="A2118"/>
    </row>
    <row r="2119" spans="1:1" x14ac:dyDescent="0.55000000000000004">
      <c r="A2119"/>
    </row>
    <row r="2120" spans="1:1" x14ac:dyDescent="0.55000000000000004">
      <c r="A2120"/>
    </row>
    <row r="2121" spans="1:1" x14ac:dyDescent="0.55000000000000004">
      <c r="A2121"/>
    </row>
    <row r="2122" spans="1:1" x14ac:dyDescent="0.55000000000000004">
      <c r="A2122"/>
    </row>
    <row r="2123" spans="1:1" x14ac:dyDescent="0.55000000000000004">
      <c r="A2123"/>
    </row>
    <row r="2124" spans="1:1" x14ac:dyDescent="0.55000000000000004">
      <c r="A2124"/>
    </row>
    <row r="2125" spans="1:1" x14ac:dyDescent="0.55000000000000004">
      <c r="A2125"/>
    </row>
    <row r="2126" spans="1:1" x14ac:dyDescent="0.55000000000000004">
      <c r="A2126"/>
    </row>
    <row r="2127" spans="1:1" x14ac:dyDescent="0.55000000000000004">
      <c r="A2127"/>
    </row>
    <row r="2128" spans="1:1" x14ac:dyDescent="0.55000000000000004">
      <c r="A2128"/>
    </row>
    <row r="2129" spans="1:1" x14ac:dyDescent="0.55000000000000004">
      <c r="A2129"/>
    </row>
    <row r="2130" spans="1:1" x14ac:dyDescent="0.55000000000000004">
      <c r="A2130"/>
    </row>
    <row r="2131" spans="1:1" x14ac:dyDescent="0.55000000000000004">
      <c r="A2131"/>
    </row>
    <row r="2132" spans="1:1" x14ac:dyDescent="0.55000000000000004">
      <c r="A2132"/>
    </row>
    <row r="2133" spans="1:1" x14ac:dyDescent="0.55000000000000004">
      <c r="A2133"/>
    </row>
    <row r="2134" spans="1:1" x14ac:dyDescent="0.55000000000000004">
      <c r="A2134"/>
    </row>
    <row r="2135" spans="1:1" x14ac:dyDescent="0.55000000000000004">
      <c r="A2135"/>
    </row>
    <row r="2136" spans="1:1" x14ac:dyDescent="0.55000000000000004">
      <c r="A2136"/>
    </row>
    <row r="2137" spans="1:1" x14ac:dyDescent="0.55000000000000004">
      <c r="A2137"/>
    </row>
    <row r="2138" spans="1:1" x14ac:dyDescent="0.55000000000000004">
      <c r="A2138"/>
    </row>
    <row r="2139" spans="1:1" x14ac:dyDescent="0.55000000000000004">
      <c r="A2139"/>
    </row>
    <row r="2140" spans="1:1" x14ac:dyDescent="0.55000000000000004">
      <c r="A2140"/>
    </row>
    <row r="2141" spans="1:1" x14ac:dyDescent="0.55000000000000004">
      <c r="A2141"/>
    </row>
    <row r="2142" spans="1:1" x14ac:dyDescent="0.55000000000000004">
      <c r="A2142"/>
    </row>
    <row r="2143" spans="1:1" x14ac:dyDescent="0.55000000000000004">
      <c r="A2143"/>
    </row>
    <row r="2144" spans="1:1" x14ac:dyDescent="0.55000000000000004">
      <c r="A2144"/>
    </row>
    <row r="2145" spans="1:1" x14ac:dyDescent="0.55000000000000004">
      <c r="A2145"/>
    </row>
    <row r="2146" spans="1:1" x14ac:dyDescent="0.55000000000000004">
      <c r="A2146"/>
    </row>
    <row r="2147" spans="1:1" x14ac:dyDescent="0.55000000000000004">
      <c r="A2147"/>
    </row>
    <row r="2148" spans="1:1" x14ac:dyDescent="0.55000000000000004">
      <c r="A2148"/>
    </row>
    <row r="2149" spans="1:1" x14ac:dyDescent="0.55000000000000004">
      <c r="A2149"/>
    </row>
    <row r="2150" spans="1:1" x14ac:dyDescent="0.55000000000000004">
      <c r="A2150"/>
    </row>
    <row r="2151" spans="1:1" x14ac:dyDescent="0.55000000000000004">
      <c r="A2151"/>
    </row>
    <row r="2152" spans="1:1" x14ac:dyDescent="0.55000000000000004">
      <c r="A2152"/>
    </row>
    <row r="2153" spans="1:1" x14ac:dyDescent="0.55000000000000004">
      <c r="A2153"/>
    </row>
    <row r="2154" spans="1:1" x14ac:dyDescent="0.55000000000000004">
      <c r="A2154"/>
    </row>
    <row r="2155" spans="1:1" x14ac:dyDescent="0.55000000000000004">
      <c r="A2155"/>
    </row>
    <row r="2156" spans="1:1" x14ac:dyDescent="0.55000000000000004">
      <c r="A2156"/>
    </row>
    <row r="2157" spans="1:1" x14ac:dyDescent="0.55000000000000004">
      <c r="A2157"/>
    </row>
    <row r="2158" spans="1:1" x14ac:dyDescent="0.55000000000000004">
      <c r="A2158"/>
    </row>
    <row r="2159" spans="1:1" x14ac:dyDescent="0.55000000000000004">
      <c r="A2159"/>
    </row>
    <row r="2160" spans="1:1" x14ac:dyDescent="0.55000000000000004">
      <c r="A2160"/>
    </row>
    <row r="2161" spans="1:1" x14ac:dyDescent="0.55000000000000004">
      <c r="A2161"/>
    </row>
    <row r="2162" spans="1:1" x14ac:dyDescent="0.55000000000000004">
      <c r="A2162"/>
    </row>
    <row r="2163" spans="1:1" x14ac:dyDescent="0.55000000000000004">
      <c r="A2163"/>
    </row>
    <row r="2164" spans="1:1" x14ac:dyDescent="0.55000000000000004">
      <c r="A2164"/>
    </row>
    <row r="2165" spans="1:1" x14ac:dyDescent="0.55000000000000004">
      <c r="A2165"/>
    </row>
    <row r="2166" spans="1:1" x14ac:dyDescent="0.55000000000000004">
      <c r="A2166"/>
    </row>
    <row r="2167" spans="1:1" x14ac:dyDescent="0.55000000000000004">
      <c r="A2167"/>
    </row>
    <row r="2168" spans="1:1" x14ac:dyDescent="0.55000000000000004">
      <c r="A2168"/>
    </row>
    <row r="2169" spans="1:1" x14ac:dyDescent="0.55000000000000004">
      <c r="A2169"/>
    </row>
    <row r="2170" spans="1:1" x14ac:dyDescent="0.55000000000000004">
      <c r="A2170"/>
    </row>
    <row r="2171" spans="1:1" x14ac:dyDescent="0.55000000000000004">
      <c r="A2171"/>
    </row>
    <row r="2172" spans="1:1" x14ac:dyDescent="0.55000000000000004">
      <c r="A2172"/>
    </row>
    <row r="2173" spans="1:1" x14ac:dyDescent="0.55000000000000004">
      <c r="A2173"/>
    </row>
    <row r="2174" spans="1:1" x14ac:dyDescent="0.55000000000000004">
      <c r="A2174"/>
    </row>
    <row r="2175" spans="1:1" x14ac:dyDescent="0.55000000000000004">
      <c r="A2175"/>
    </row>
    <row r="2176" spans="1:1" x14ac:dyDescent="0.55000000000000004">
      <c r="A2176"/>
    </row>
    <row r="2177" spans="1:1" x14ac:dyDescent="0.55000000000000004">
      <c r="A2177"/>
    </row>
    <row r="2178" spans="1:1" x14ac:dyDescent="0.55000000000000004">
      <c r="A2178"/>
    </row>
    <row r="2179" spans="1:1" x14ac:dyDescent="0.55000000000000004">
      <c r="A2179"/>
    </row>
    <row r="2180" spans="1:1" x14ac:dyDescent="0.55000000000000004">
      <c r="A2180"/>
    </row>
    <row r="2181" spans="1:1" x14ac:dyDescent="0.55000000000000004">
      <c r="A2181"/>
    </row>
    <row r="2182" spans="1:1" x14ac:dyDescent="0.55000000000000004">
      <c r="A2182"/>
    </row>
    <row r="2183" spans="1:1" x14ac:dyDescent="0.55000000000000004">
      <c r="A2183"/>
    </row>
    <row r="2184" spans="1:1" x14ac:dyDescent="0.55000000000000004">
      <c r="A2184"/>
    </row>
    <row r="2185" spans="1:1" x14ac:dyDescent="0.55000000000000004">
      <c r="A2185"/>
    </row>
    <row r="2186" spans="1:1" x14ac:dyDescent="0.55000000000000004">
      <c r="A2186"/>
    </row>
    <row r="2187" spans="1:1" x14ac:dyDescent="0.55000000000000004">
      <c r="A2187"/>
    </row>
    <row r="2188" spans="1:1" x14ac:dyDescent="0.55000000000000004">
      <c r="A2188"/>
    </row>
    <row r="2189" spans="1:1" x14ac:dyDescent="0.55000000000000004">
      <c r="A2189"/>
    </row>
    <row r="2190" spans="1:1" x14ac:dyDescent="0.55000000000000004">
      <c r="A2190"/>
    </row>
    <row r="2191" spans="1:1" x14ac:dyDescent="0.55000000000000004">
      <c r="A2191"/>
    </row>
    <row r="2192" spans="1:1" x14ac:dyDescent="0.55000000000000004">
      <c r="A2192"/>
    </row>
    <row r="2193" spans="1:1" x14ac:dyDescent="0.55000000000000004">
      <c r="A2193"/>
    </row>
    <row r="2194" spans="1:1" x14ac:dyDescent="0.55000000000000004">
      <c r="A2194"/>
    </row>
    <row r="2195" spans="1:1" x14ac:dyDescent="0.55000000000000004">
      <c r="A2195"/>
    </row>
    <row r="2196" spans="1:1" x14ac:dyDescent="0.55000000000000004">
      <c r="A2196"/>
    </row>
    <row r="2197" spans="1:1" x14ac:dyDescent="0.55000000000000004">
      <c r="A2197"/>
    </row>
    <row r="2198" spans="1:1" x14ac:dyDescent="0.55000000000000004">
      <c r="A2198"/>
    </row>
    <row r="2199" spans="1:1" x14ac:dyDescent="0.55000000000000004">
      <c r="A2199"/>
    </row>
    <row r="2200" spans="1:1" x14ac:dyDescent="0.55000000000000004">
      <c r="A2200"/>
    </row>
    <row r="2201" spans="1:1" x14ac:dyDescent="0.55000000000000004">
      <c r="A2201"/>
    </row>
    <row r="2202" spans="1:1" x14ac:dyDescent="0.55000000000000004">
      <c r="A2202"/>
    </row>
    <row r="2203" spans="1:1" x14ac:dyDescent="0.55000000000000004">
      <c r="A2203"/>
    </row>
    <row r="2204" spans="1:1" x14ac:dyDescent="0.55000000000000004">
      <c r="A2204"/>
    </row>
    <row r="2205" spans="1:1" x14ac:dyDescent="0.55000000000000004">
      <c r="A2205"/>
    </row>
    <row r="2206" spans="1:1" x14ac:dyDescent="0.55000000000000004">
      <c r="A2206"/>
    </row>
    <row r="2207" spans="1:1" x14ac:dyDescent="0.55000000000000004">
      <c r="A2207"/>
    </row>
    <row r="2208" spans="1:1" x14ac:dyDescent="0.55000000000000004">
      <c r="A2208"/>
    </row>
    <row r="2209" spans="1:1" x14ac:dyDescent="0.55000000000000004">
      <c r="A2209"/>
    </row>
    <row r="2210" spans="1:1" x14ac:dyDescent="0.55000000000000004">
      <c r="A2210"/>
    </row>
    <row r="2211" spans="1:1" x14ac:dyDescent="0.55000000000000004">
      <c r="A2211"/>
    </row>
    <row r="2212" spans="1:1" x14ac:dyDescent="0.55000000000000004">
      <c r="A2212"/>
    </row>
    <row r="2213" spans="1:1" x14ac:dyDescent="0.55000000000000004">
      <c r="A2213"/>
    </row>
    <row r="2214" spans="1:1" x14ac:dyDescent="0.55000000000000004">
      <c r="A2214"/>
    </row>
    <row r="2215" spans="1:1" x14ac:dyDescent="0.55000000000000004">
      <c r="A2215"/>
    </row>
    <row r="2216" spans="1:1" x14ac:dyDescent="0.55000000000000004">
      <c r="A2216"/>
    </row>
    <row r="2217" spans="1:1" x14ac:dyDescent="0.55000000000000004">
      <c r="A2217"/>
    </row>
    <row r="2218" spans="1:1" x14ac:dyDescent="0.55000000000000004">
      <c r="A2218"/>
    </row>
    <row r="2219" spans="1:1" x14ac:dyDescent="0.55000000000000004">
      <c r="A2219"/>
    </row>
    <row r="2220" spans="1:1" x14ac:dyDescent="0.55000000000000004">
      <c r="A2220"/>
    </row>
    <row r="2221" spans="1:1" x14ac:dyDescent="0.55000000000000004">
      <c r="A2221"/>
    </row>
    <row r="2222" spans="1:1" x14ac:dyDescent="0.55000000000000004">
      <c r="A2222"/>
    </row>
    <row r="2223" spans="1:1" x14ac:dyDescent="0.55000000000000004">
      <c r="A2223"/>
    </row>
    <row r="2224" spans="1:1" x14ac:dyDescent="0.55000000000000004">
      <c r="A2224"/>
    </row>
    <row r="2225" spans="1:1" x14ac:dyDescent="0.55000000000000004">
      <c r="A2225"/>
    </row>
    <row r="2226" spans="1:1" x14ac:dyDescent="0.55000000000000004">
      <c r="A2226"/>
    </row>
    <row r="2227" spans="1:1" x14ac:dyDescent="0.55000000000000004">
      <c r="A2227"/>
    </row>
    <row r="2228" spans="1:1" x14ac:dyDescent="0.55000000000000004">
      <c r="A2228"/>
    </row>
    <row r="2229" spans="1:1" x14ac:dyDescent="0.55000000000000004">
      <c r="A2229"/>
    </row>
    <row r="2230" spans="1:1" x14ac:dyDescent="0.55000000000000004">
      <c r="A2230"/>
    </row>
    <row r="2231" spans="1:1" x14ac:dyDescent="0.55000000000000004">
      <c r="A2231"/>
    </row>
    <row r="2232" spans="1:1" x14ac:dyDescent="0.55000000000000004">
      <c r="A2232"/>
    </row>
    <row r="2233" spans="1:1" x14ac:dyDescent="0.55000000000000004">
      <c r="A2233"/>
    </row>
    <row r="2234" spans="1:1" x14ac:dyDescent="0.55000000000000004">
      <c r="A2234"/>
    </row>
    <row r="2235" spans="1:1" x14ac:dyDescent="0.55000000000000004">
      <c r="A2235"/>
    </row>
    <row r="2236" spans="1:1" x14ac:dyDescent="0.55000000000000004">
      <c r="A2236"/>
    </row>
    <row r="2237" spans="1:1" x14ac:dyDescent="0.55000000000000004">
      <c r="A2237"/>
    </row>
    <row r="2238" spans="1:1" x14ac:dyDescent="0.55000000000000004">
      <c r="A2238"/>
    </row>
    <row r="2239" spans="1:1" x14ac:dyDescent="0.55000000000000004">
      <c r="A2239"/>
    </row>
    <row r="2240" spans="1:1" x14ac:dyDescent="0.55000000000000004">
      <c r="A2240"/>
    </row>
    <row r="2241" spans="1:1" x14ac:dyDescent="0.55000000000000004">
      <c r="A2241"/>
    </row>
    <row r="2242" spans="1:1" x14ac:dyDescent="0.55000000000000004">
      <c r="A2242"/>
    </row>
    <row r="2243" spans="1:1" x14ac:dyDescent="0.55000000000000004">
      <c r="A2243"/>
    </row>
    <row r="2244" spans="1:1" x14ac:dyDescent="0.55000000000000004">
      <c r="A2244"/>
    </row>
    <row r="2245" spans="1:1" x14ac:dyDescent="0.55000000000000004">
      <c r="A2245"/>
    </row>
    <row r="2246" spans="1:1" x14ac:dyDescent="0.55000000000000004">
      <c r="A2246"/>
    </row>
    <row r="2247" spans="1:1" x14ac:dyDescent="0.55000000000000004">
      <c r="A2247"/>
    </row>
    <row r="2248" spans="1:1" x14ac:dyDescent="0.55000000000000004">
      <c r="A2248"/>
    </row>
    <row r="2249" spans="1:1" x14ac:dyDescent="0.55000000000000004">
      <c r="A2249"/>
    </row>
    <row r="2250" spans="1:1" x14ac:dyDescent="0.55000000000000004">
      <c r="A2250"/>
    </row>
    <row r="2251" spans="1:1" x14ac:dyDescent="0.55000000000000004">
      <c r="A2251"/>
    </row>
    <row r="2252" spans="1:1" x14ac:dyDescent="0.55000000000000004">
      <c r="A2252"/>
    </row>
    <row r="2253" spans="1:1" x14ac:dyDescent="0.55000000000000004">
      <c r="A2253"/>
    </row>
    <row r="2254" spans="1:1" x14ac:dyDescent="0.55000000000000004">
      <c r="A2254"/>
    </row>
    <row r="2255" spans="1:1" x14ac:dyDescent="0.55000000000000004">
      <c r="A2255"/>
    </row>
    <row r="2256" spans="1:1" x14ac:dyDescent="0.55000000000000004">
      <c r="A2256"/>
    </row>
    <row r="2257" spans="1:1" x14ac:dyDescent="0.55000000000000004">
      <c r="A2257"/>
    </row>
    <row r="2258" spans="1:1" x14ac:dyDescent="0.55000000000000004">
      <c r="A2258"/>
    </row>
    <row r="2259" spans="1:1" x14ac:dyDescent="0.55000000000000004">
      <c r="A2259"/>
    </row>
    <row r="2260" spans="1:1" x14ac:dyDescent="0.55000000000000004">
      <c r="A2260"/>
    </row>
    <row r="2261" spans="1:1" x14ac:dyDescent="0.55000000000000004">
      <c r="A2261"/>
    </row>
    <row r="2262" spans="1:1" x14ac:dyDescent="0.55000000000000004">
      <c r="A2262"/>
    </row>
    <row r="2263" spans="1:1" x14ac:dyDescent="0.55000000000000004">
      <c r="A2263"/>
    </row>
    <row r="2264" spans="1:1" x14ac:dyDescent="0.55000000000000004">
      <c r="A2264"/>
    </row>
    <row r="2265" spans="1:1" x14ac:dyDescent="0.55000000000000004">
      <c r="A2265"/>
    </row>
    <row r="2266" spans="1:1" x14ac:dyDescent="0.55000000000000004">
      <c r="A2266"/>
    </row>
    <row r="2267" spans="1:1" x14ac:dyDescent="0.55000000000000004">
      <c r="A2267"/>
    </row>
    <row r="2268" spans="1:1" x14ac:dyDescent="0.55000000000000004">
      <c r="A2268"/>
    </row>
    <row r="2269" spans="1:1" x14ac:dyDescent="0.55000000000000004">
      <c r="A2269"/>
    </row>
    <row r="2270" spans="1:1" x14ac:dyDescent="0.55000000000000004">
      <c r="A2270"/>
    </row>
    <row r="2271" spans="1:1" x14ac:dyDescent="0.55000000000000004">
      <c r="A2271"/>
    </row>
    <row r="2272" spans="1:1" x14ac:dyDescent="0.55000000000000004">
      <c r="A2272"/>
    </row>
    <row r="2273" spans="1:1" x14ac:dyDescent="0.55000000000000004">
      <c r="A2273"/>
    </row>
    <row r="2274" spans="1:1" x14ac:dyDescent="0.55000000000000004">
      <c r="A2274"/>
    </row>
    <row r="2275" spans="1:1" x14ac:dyDescent="0.55000000000000004">
      <c r="A2275"/>
    </row>
    <row r="2276" spans="1:1" x14ac:dyDescent="0.55000000000000004">
      <c r="A2276"/>
    </row>
    <row r="2277" spans="1:1" x14ac:dyDescent="0.55000000000000004">
      <c r="A2277"/>
    </row>
    <row r="2278" spans="1:1" x14ac:dyDescent="0.55000000000000004">
      <c r="A2278"/>
    </row>
    <row r="2279" spans="1:1" x14ac:dyDescent="0.55000000000000004">
      <c r="A2279"/>
    </row>
    <row r="2280" spans="1:1" x14ac:dyDescent="0.55000000000000004">
      <c r="A2280"/>
    </row>
    <row r="2281" spans="1:1" x14ac:dyDescent="0.55000000000000004">
      <c r="A2281"/>
    </row>
    <row r="2282" spans="1:1" x14ac:dyDescent="0.55000000000000004">
      <c r="A2282"/>
    </row>
    <row r="2283" spans="1:1" x14ac:dyDescent="0.55000000000000004">
      <c r="A2283"/>
    </row>
    <row r="2284" spans="1:1" x14ac:dyDescent="0.55000000000000004">
      <c r="A2284"/>
    </row>
    <row r="2285" spans="1:1" x14ac:dyDescent="0.55000000000000004">
      <c r="A2285"/>
    </row>
    <row r="2286" spans="1:1" x14ac:dyDescent="0.55000000000000004">
      <c r="A2286"/>
    </row>
    <row r="2287" spans="1:1" x14ac:dyDescent="0.55000000000000004">
      <c r="A2287"/>
    </row>
    <row r="2288" spans="1:1" x14ac:dyDescent="0.55000000000000004">
      <c r="A2288"/>
    </row>
    <row r="2289" spans="1:1" x14ac:dyDescent="0.55000000000000004">
      <c r="A2289"/>
    </row>
    <row r="2290" spans="1:1" x14ac:dyDescent="0.55000000000000004">
      <c r="A2290"/>
    </row>
    <row r="2291" spans="1:1" x14ac:dyDescent="0.55000000000000004">
      <c r="A2291"/>
    </row>
    <row r="2292" spans="1:1" x14ac:dyDescent="0.55000000000000004">
      <c r="A2292"/>
    </row>
    <row r="2293" spans="1:1" x14ac:dyDescent="0.55000000000000004">
      <c r="A2293"/>
    </row>
    <row r="2294" spans="1:1" x14ac:dyDescent="0.55000000000000004">
      <c r="A2294"/>
    </row>
    <row r="2295" spans="1:1" x14ac:dyDescent="0.55000000000000004">
      <c r="A2295"/>
    </row>
    <row r="2296" spans="1:1" x14ac:dyDescent="0.55000000000000004">
      <c r="A2296"/>
    </row>
    <row r="2297" spans="1:1" x14ac:dyDescent="0.55000000000000004">
      <c r="A2297"/>
    </row>
    <row r="2298" spans="1:1" x14ac:dyDescent="0.55000000000000004">
      <c r="A2298"/>
    </row>
    <row r="2299" spans="1:1" x14ac:dyDescent="0.55000000000000004">
      <c r="A2299"/>
    </row>
    <row r="2300" spans="1:1" x14ac:dyDescent="0.55000000000000004">
      <c r="A2300"/>
    </row>
    <row r="2301" spans="1:1" x14ac:dyDescent="0.55000000000000004">
      <c r="A2301"/>
    </row>
    <row r="2302" spans="1:1" x14ac:dyDescent="0.55000000000000004">
      <c r="A2302"/>
    </row>
    <row r="2303" spans="1:1" x14ac:dyDescent="0.55000000000000004">
      <c r="A2303"/>
    </row>
    <row r="2304" spans="1:1" x14ac:dyDescent="0.55000000000000004">
      <c r="A2304"/>
    </row>
    <row r="2305" spans="1:1" x14ac:dyDescent="0.55000000000000004">
      <c r="A2305"/>
    </row>
    <row r="2306" spans="1:1" x14ac:dyDescent="0.55000000000000004">
      <c r="A2306"/>
    </row>
    <row r="2307" spans="1:1" x14ac:dyDescent="0.55000000000000004">
      <c r="A2307"/>
    </row>
    <row r="2308" spans="1:1" x14ac:dyDescent="0.55000000000000004">
      <c r="A2308"/>
    </row>
    <row r="2309" spans="1:1" x14ac:dyDescent="0.55000000000000004">
      <c r="A2309"/>
    </row>
    <row r="2310" spans="1:1" x14ac:dyDescent="0.55000000000000004">
      <c r="A2310"/>
    </row>
    <row r="2311" spans="1:1" x14ac:dyDescent="0.55000000000000004">
      <c r="A2311"/>
    </row>
    <row r="2312" spans="1:1" x14ac:dyDescent="0.55000000000000004">
      <c r="A2312"/>
    </row>
    <row r="2313" spans="1:1" x14ac:dyDescent="0.55000000000000004">
      <c r="A2313"/>
    </row>
    <row r="2314" spans="1:1" x14ac:dyDescent="0.55000000000000004">
      <c r="A2314"/>
    </row>
    <row r="2315" spans="1:1" x14ac:dyDescent="0.55000000000000004">
      <c r="A2315"/>
    </row>
    <row r="2316" spans="1:1" x14ac:dyDescent="0.55000000000000004">
      <c r="A2316"/>
    </row>
    <row r="2317" spans="1:1" x14ac:dyDescent="0.55000000000000004">
      <c r="A2317"/>
    </row>
    <row r="2318" spans="1:1" x14ac:dyDescent="0.55000000000000004">
      <c r="A2318"/>
    </row>
    <row r="2319" spans="1:1" x14ac:dyDescent="0.55000000000000004">
      <c r="A2319"/>
    </row>
    <row r="2320" spans="1:1" x14ac:dyDescent="0.55000000000000004">
      <c r="A2320"/>
    </row>
    <row r="2321" spans="1:1" x14ac:dyDescent="0.55000000000000004">
      <c r="A2321"/>
    </row>
    <row r="2322" spans="1:1" x14ac:dyDescent="0.55000000000000004">
      <c r="A2322"/>
    </row>
    <row r="2323" spans="1:1" x14ac:dyDescent="0.55000000000000004">
      <c r="A2323"/>
    </row>
    <row r="2324" spans="1:1" x14ac:dyDescent="0.55000000000000004">
      <c r="A2324"/>
    </row>
    <row r="2325" spans="1:1" x14ac:dyDescent="0.55000000000000004">
      <c r="A2325"/>
    </row>
    <row r="2326" spans="1:1" x14ac:dyDescent="0.55000000000000004">
      <c r="A2326"/>
    </row>
    <row r="2327" spans="1:1" x14ac:dyDescent="0.55000000000000004">
      <c r="A2327"/>
    </row>
    <row r="2328" spans="1:1" x14ac:dyDescent="0.55000000000000004">
      <c r="A2328"/>
    </row>
    <row r="2329" spans="1:1" x14ac:dyDescent="0.55000000000000004">
      <c r="A2329"/>
    </row>
    <row r="2330" spans="1:1" x14ac:dyDescent="0.55000000000000004">
      <c r="A2330"/>
    </row>
    <row r="2331" spans="1:1" x14ac:dyDescent="0.55000000000000004">
      <c r="A2331"/>
    </row>
    <row r="2332" spans="1:1" x14ac:dyDescent="0.55000000000000004">
      <c r="A2332"/>
    </row>
    <row r="2333" spans="1:1" x14ac:dyDescent="0.55000000000000004">
      <c r="A2333"/>
    </row>
    <row r="2334" spans="1:1" x14ac:dyDescent="0.55000000000000004">
      <c r="A2334"/>
    </row>
    <row r="2335" spans="1:1" x14ac:dyDescent="0.55000000000000004">
      <c r="A2335"/>
    </row>
    <row r="2336" spans="1:1" x14ac:dyDescent="0.55000000000000004">
      <c r="A2336"/>
    </row>
    <row r="2337" spans="1:1" x14ac:dyDescent="0.55000000000000004">
      <c r="A2337"/>
    </row>
    <row r="2338" spans="1:1" x14ac:dyDescent="0.55000000000000004">
      <c r="A2338"/>
    </row>
    <row r="2339" spans="1:1" x14ac:dyDescent="0.55000000000000004">
      <c r="A2339"/>
    </row>
    <row r="2340" spans="1:1" x14ac:dyDescent="0.55000000000000004">
      <c r="A2340"/>
    </row>
    <row r="2341" spans="1:1" x14ac:dyDescent="0.55000000000000004">
      <c r="A2341"/>
    </row>
    <row r="2342" spans="1:1" x14ac:dyDescent="0.55000000000000004">
      <c r="A2342"/>
    </row>
    <row r="2343" spans="1:1" x14ac:dyDescent="0.55000000000000004">
      <c r="A2343"/>
    </row>
    <row r="2344" spans="1:1" x14ac:dyDescent="0.55000000000000004">
      <c r="A2344"/>
    </row>
    <row r="2345" spans="1:1" x14ac:dyDescent="0.55000000000000004">
      <c r="A2345"/>
    </row>
    <row r="2346" spans="1:1" x14ac:dyDescent="0.55000000000000004">
      <c r="A2346"/>
    </row>
    <row r="2347" spans="1:1" x14ac:dyDescent="0.55000000000000004">
      <c r="A2347"/>
    </row>
    <row r="2348" spans="1:1" x14ac:dyDescent="0.55000000000000004">
      <c r="A2348"/>
    </row>
    <row r="2349" spans="1:1" x14ac:dyDescent="0.55000000000000004">
      <c r="A2349"/>
    </row>
    <row r="2350" spans="1:1" x14ac:dyDescent="0.55000000000000004">
      <c r="A2350"/>
    </row>
    <row r="2351" spans="1:1" x14ac:dyDescent="0.55000000000000004">
      <c r="A2351"/>
    </row>
    <row r="2352" spans="1:1" x14ac:dyDescent="0.55000000000000004">
      <c r="A2352"/>
    </row>
    <row r="2353" spans="1:1" x14ac:dyDescent="0.55000000000000004">
      <c r="A2353"/>
    </row>
    <row r="2354" spans="1:1" x14ac:dyDescent="0.55000000000000004">
      <c r="A2354"/>
    </row>
    <row r="2355" spans="1:1" x14ac:dyDescent="0.55000000000000004">
      <c r="A2355"/>
    </row>
    <row r="2356" spans="1:1" x14ac:dyDescent="0.55000000000000004">
      <c r="A2356"/>
    </row>
    <row r="2357" spans="1:1" x14ac:dyDescent="0.55000000000000004">
      <c r="A2357"/>
    </row>
    <row r="2358" spans="1:1" x14ac:dyDescent="0.55000000000000004">
      <c r="A2358"/>
    </row>
    <row r="2359" spans="1:1" x14ac:dyDescent="0.55000000000000004">
      <c r="A2359"/>
    </row>
    <row r="2360" spans="1:1" x14ac:dyDescent="0.55000000000000004">
      <c r="A2360"/>
    </row>
    <row r="2361" spans="1:1" x14ac:dyDescent="0.55000000000000004">
      <c r="A2361"/>
    </row>
    <row r="2362" spans="1:1" x14ac:dyDescent="0.55000000000000004">
      <c r="A2362"/>
    </row>
    <row r="2363" spans="1:1" x14ac:dyDescent="0.55000000000000004">
      <c r="A2363"/>
    </row>
    <row r="2364" spans="1:1" x14ac:dyDescent="0.55000000000000004">
      <c r="A2364"/>
    </row>
    <row r="2365" spans="1:1" x14ac:dyDescent="0.55000000000000004">
      <c r="A2365"/>
    </row>
    <row r="2366" spans="1:1" x14ac:dyDescent="0.55000000000000004">
      <c r="A2366"/>
    </row>
    <row r="2367" spans="1:1" x14ac:dyDescent="0.55000000000000004">
      <c r="A2367"/>
    </row>
    <row r="2368" spans="1:1" x14ac:dyDescent="0.55000000000000004">
      <c r="A2368"/>
    </row>
    <row r="2369" spans="1:1" x14ac:dyDescent="0.55000000000000004">
      <c r="A2369"/>
    </row>
    <row r="2370" spans="1:1" x14ac:dyDescent="0.55000000000000004">
      <c r="A2370"/>
    </row>
    <row r="2371" spans="1:1" x14ac:dyDescent="0.55000000000000004">
      <c r="A2371"/>
    </row>
    <row r="2372" spans="1:1" x14ac:dyDescent="0.55000000000000004">
      <c r="A2372"/>
    </row>
    <row r="2373" spans="1:1" x14ac:dyDescent="0.55000000000000004">
      <c r="A2373"/>
    </row>
    <row r="2374" spans="1:1" x14ac:dyDescent="0.55000000000000004">
      <c r="A2374"/>
    </row>
    <row r="2375" spans="1:1" x14ac:dyDescent="0.55000000000000004">
      <c r="A2375"/>
    </row>
    <row r="2376" spans="1:1" x14ac:dyDescent="0.55000000000000004">
      <c r="A2376"/>
    </row>
    <row r="2377" spans="1:1" x14ac:dyDescent="0.55000000000000004">
      <c r="A2377"/>
    </row>
    <row r="2378" spans="1:1" x14ac:dyDescent="0.55000000000000004">
      <c r="A2378"/>
    </row>
    <row r="2379" spans="1:1" x14ac:dyDescent="0.55000000000000004">
      <c r="A2379"/>
    </row>
    <row r="2380" spans="1:1" x14ac:dyDescent="0.55000000000000004">
      <c r="A2380"/>
    </row>
    <row r="2381" spans="1:1" x14ac:dyDescent="0.55000000000000004">
      <c r="A2381"/>
    </row>
    <row r="2382" spans="1:1" x14ac:dyDescent="0.55000000000000004">
      <c r="A2382"/>
    </row>
    <row r="2383" spans="1:1" x14ac:dyDescent="0.55000000000000004">
      <c r="A2383"/>
    </row>
    <row r="2384" spans="1:1" x14ac:dyDescent="0.55000000000000004">
      <c r="A2384"/>
    </row>
    <row r="2385" spans="1:1" x14ac:dyDescent="0.55000000000000004">
      <c r="A2385"/>
    </row>
    <row r="2386" spans="1:1" x14ac:dyDescent="0.55000000000000004">
      <c r="A2386"/>
    </row>
    <row r="2387" spans="1:1" x14ac:dyDescent="0.55000000000000004">
      <c r="A2387"/>
    </row>
    <row r="2388" spans="1:1" x14ac:dyDescent="0.55000000000000004">
      <c r="A2388"/>
    </row>
    <row r="2389" spans="1:1" x14ac:dyDescent="0.55000000000000004">
      <c r="A2389"/>
    </row>
    <row r="2390" spans="1:1" x14ac:dyDescent="0.55000000000000004">
      <c r="A2390"/>
    </row>
    <row r="2391" spans="1:1" x14ac:dyDescent="0.55000000000000004">
      <c r="A2391"/>
    </row>
    <row r="2392" spans="1:1" x14ac:dyDescent="0.55000000000000004">
      <c r="A2392"/>
    </row>
    <row r="2393" spans="1:1" x14ac:dyDescent="0.55000000000000004">
      <c r="A2393"/>
    </row>
    <row r="2394" spans="1:1" x14ac:dyDescent="0.55000000000000004">
      <c r="A2394"/>
    </row>
    <row r="2395" spans="1:1" x14ac:dyDescent="0.55000000000000004">
      <c r="A2395"/>
    </row>
    <row r="2396" spans="1:1" x14ac:dyDescent="0.55000000000000004">
      <c r="A2396"/>
    </row>
    <row r="2397" spans="1:1" x14ac:dyDescent="0.55000000000000004">
      <c r="A2397"/>
    </row>
    <row r="2398" spans="1:1" x14ac:dyDescent="0.55000000000000004">
      <c r="A2398"/>
    </row>
    <row r="2399" spans="1:1" x14ac:dyDescent="0.55000000000000004">
      <c r="A2399"/>
    </row>
    <row r="2400" spans="1:1" x14ac:dyDescent="0.55000000000000004">
      <c r="A2400"/>
    </row>
    <row r="2401" spans="1:1" x14ac:dyDescent="0.55000000000000004">
      <c r="A2401"/>
    </row>
    <row r="2402" spans="1:1" x14ac:dyDescent="0.55000000000000004">
      <c r="A2402"/>
    </row>
    <row r="2403" spans="1:1" x14ac:dyDescent="0.55000000000000004">
      <c r="A2403"/>
    </row>
    <row r="2404" spans="1:1" x14ac:dyDescent="0.55000000000000004">
      <c r="A2404"/>
    </row>
    <row r="2405" spans="1:1" x14ac:dyDescent="0.55000000000000004">
      <c r="A2405"/>
    </row>
    <row r="2406" spans="1:1" x14ac:dyDescent="0.55000000000000004">
      <c r="A2406"/>
    </row>
    <row r="2407" spans="1:1" x14ac:dyDescent="0.55000000000000004">
      <c r="A2407"/>
    </row>
    <row r="2408" spans="1:1" x14ac:dyDescent="0.55000000000000004">
      <c r="A2408"/>
    </row>
    <row r="2409" spans="1:1" x14ac:dyDescent="0.55000000000000004">
      <c r="A2409"/>
    </row>
    <row r="2410" spans="1:1" x14ac:dyDescent="0.55000000000000004">
      <c r="A2410"/>
    </row>
    <row r="2411" spans="1:1" x14ac:dyDescent="0.55000000000000004">
      <c r="A2411"/>
    </row>
    <row r="2412" spans="1:1" x14ac:dyDescent="0.55000000000000004">
      <c r="A2412"/>
    </row>
    <row r="2413" spans="1:1" x14ac:dyDescent="0.55000000000000004">
      <c r="A2413"/>
    </row>
    <row r="2414" spans="1:1" x14ac:dyDescent="0.55000000000000004">
      <c r="A2414"/>
    </row>
    <row r="2415" spans="1:1" x14ac:dyDescent="0.55000000000000004">
      <c r="A2415"/>
    </row>
    <row r="2416" spans="1:1" x14ac:dyDescent="0.55000000000000004">
      <c r="A2416"/>
    </row>
    <row r="2417" spans="1:1" x14ac:dyDescent="0.55000000000000004">
      <c r="A2417"/>
    </row>
    <row r="2418" spans="1:1" x14ac:dyDescent="0.55000000000000004">
      <c r="A2418"/>
    </row>
    <row r="2419" spans="1:1" x14ac:dyDescent="0.55000000000000004">
      <c r="A2419"/>
    </row>
    <row r="2420" spans="1:1" x14ac:dyDescent="0.55000000000000004">
      <c r="A2420"/>
    </row>
    <row r="2421" spans="1:1" x14ac:dyDescent="0.55000000000000004">
      <c r="A2421"/>
    </row>
    <row r="2422" spans="1:1" x14ac:dyDescent="0.55000000000000004">
      <c r="A2422"/>
    </row>
    <row r="2423" spans="1:1" x14ac:dyDescent="0.55000000000000004">
      <c r="A2423"/>
    </row>
    <row r="2424" spans="1:1" x14ac:dyDescent="0.55000000000000004">
      <c r="A2424"/>
    </row>
    <row r="2425" spans="1:1" x14ac:dyDescent="0.55000000000000004">
      <c r="A2425"/>
    </row>
    <row r="2426" spans="1:1" x14ac:dyDescent="0.55000000000000004">
      <c r="A2426"/>
    </row>
    <row r="2427" spans="1:1" x14ac:dyDescent="0.55000000000000004">
      <c r="A2427"/>
    </row>
    <row r="2428" spans="1:1" x14ac:dyDescent="0.55000000000000004">
      <c r="A2428"/>
    </row>
    <row r="2429" spans="1:1" x14ac:dyDescent="0.55000000000000004">
      <c r="A2429"/>
    </row>
    <row r="2430" spans="1:1" x14ac:dyDescent="0.55000000000000004">
      <c r="A2430"/>
    </row>
    <row r="2431" spans="1:1" x14ac:dyDescent="0.55000000000000004">
      <c r="A2431"/>
    </row>
    <row r="2432" spans="1:1" x14ac:dyDescent="0.55000000000000004">
      <c r="A2432"/>
    </row>
    <row r="2433" spans="1:1" x14ac:dyDescent="0.55000000000000004">
      <c r="A2433"/>
    </row>
    <row r="2434" spans="1:1" x14ac:dyDescent="0.55000000000000004">
      <c r="A2434"/>
    </row>
    <row r="2435" spans="1:1" x14ac:dyDescent="0.55000000000000004">
      <c r="A2435"/>
    </row>
    <row r="2436" spans="1:1" x14ac:dyDescent="0.55000000000000004">
      <c r="A2436"/>
    </row>
    <row r="2437" spans="1:1" x14ac:dyDescent="0.55000000000000004">
      <c r="A2437"/>
    </row>
    <row r="2438" spans="1:1" x14ac:dyDescent="0.55000000000000004">
      <c r="A2438"/>
    </row>
    <row r="2439" spans="1:1" x14ac:dyDescent="0.55000000000000004">
      <c r="A2439"/>
    </row>
    <row r="2440" spans="1:1" x14ac:dyDescent="0.55000000000000004">
      <c r="A2440"/>
    </row>
    <row r="2441" spans="1:1" x14ac:dyDescent="0.55000000000000004">
      <c r="A2441"/>
    </row>
    <row r="2442" spans="1:1" x14ac:dyDescent="0.55000000000000004">
      <c r="A2442"/>
    </row>
    <row r="2443" spans="1:1" x14ac:dyDescent="0.55000000000000004">
      <c r="A2443"/>
    </row>
    <row r="2444" spans="1:1" x14ac:dyDescent="0.55000000000000004">
      <c r="A2444"/>
    </row>
    <row r="2445" spans="1:1" x14ac:dyDescent="0.55000000000000004">
      <c r="A2445"/>
    </row>
    <row r="2446" spans="1:1" x14ac:dyDescent="0.55000000000000004">
      <c r="A2446"/>
    </row>
    <row r="2447" spans="1:1" x14ac:dyDescent="0.55000000000000004">
      <c r="A2447"/>
    </row>
    <row r="2448" spans="1:1" x14ac:dyDescent="0.55000000000000004">
      <c r="A2448"/>
    </row>
    <row r="2449" spans="1:1" x14ac:dyDescent="0.55000000000000004">
      <c r="A2449"/>
    </row>
    <row r="2450" spans="1:1" x14ac:dyDescent="0.55000000000000004">
      <c r="A2450"/>
    </row>
    <row r="2451" spans="1:1" x14ac:dyDescent="0.55000000000000004">
      <c r="A2451"/>
    </row>
    <row r="2452" spans="1:1" x14ac:dyDescent="0.55000000000000004">
      <c r="A2452"/>
    </row>
    <row r="2453" spans="1:1" x14ac:dyDescent="0.55000000000000004">
      <c r="A2453"/>
    </row>
    <row r="2454" spans="1:1" x14ac:dyDescent="0.55000000000000004">
      <c r="A2454"/>
    </row>
    <row r="2455" spans="1:1" x14ac:dyDescent="0.55000000000000004">
      <c r="A2455"/>
    </row>
    <row r="2456" spans="1:1" x14ac:dyDescent="0.55000000000000004">
      <c r="A2456"/>
    </row>
    <row r="2457" spans="1:1" x14ac:dyDescent="0.55000000000000004">
      <c r="A2457"/>
    </row>
    <row r="2458" spans="1:1" x14ac:dyDescent="0.55000000000000004">
      <c r="A2458"/>
    </row>
    <row r="2459" spans="1:1" x14ac:dyDescent="0.55000000000000004">
      <c r="A2459"/>
    </row>
    <row r="2460" spans="1:1" x14ac:dyDescent="0.55000000000000004">
      <c r="A2460"/>
    </row>
    <row r="2461" spans="1:1" x14ac:dyDescent="0.55000000000000004">
      <c r="A2461"/>
    </row>
    <row r="2462" spans="1:1" x14ac:dyDescent="0.55000000000000004">
      <c r="A2462"/>
    </row>
    <row r="2463" spans="1:1" x14ac:dyDescent="0.55000000000000004">
      <c r="A2463"/>
    </row>
    <row r="2464" spans="1:1" x14ac:dyDescent="0.55000000000000004">
      <c r="A2464"/>
    </row>
    <row r="2465" spans="1:1" x14ac:dyDescent="0.55000000000000004">
      <c r="A2465"/>
    </row>
    <row r="2466" spans="1:1" x14ac:dyDescent="0.55000000000000004">
      <c r="A2466"/>
    </row>
    <row r="2467" spans="1:1" x14ac:dyDescent="0.55000000000000004">
      <c r="A2467"/>
    </row>
    <row r="2468" spans="1:1" x14ac:dyDescent="0.55000000000000004">
      <c r="A2468"/>
    </row>
    <row r="2469" spans="1:1" x14ac:dyDescent="0.55000000000000004">
      <c r="A2469"/>
    </row>
    <row r="2470" spans="1:1" x14ac:dyDescent="0.55000000000000004">
      <c r="A2470"/>
    </row>
    <row r="2471" spans="1:1" x14ac:dyDescent="0.55000000000000004">
      <c r="A2471"/>
    </row>
    <row r="2472" spans="1:1" x14ac:dyDescent="0.55000000000000004">
      <c r="A2472"/>
    </row>
    <row r="2473" spans="1:1" x14ac:dyDescent="0.55000000000000004">
      <c r="A2473"/>
    </row>
    <row r="2474" spans="1:1" x14ac:dyDescent="0.55000000000000004">
      <c r="A2474"/>
    </row>
    <row r="2475" spans="1:1" x14ac:dyDescent="0.55000000000000004">
      <c r="A2475"/>
    </row>
    <row r="2476" spans="1:1" x14ac:dyDescent="0.55000000000000004">
      <c r="A2476"/>
    </row>
    <row r="2477" spans="1:1" x14ac:dyDescent="0.55000000000000004">
      <c r="A2477"/>
    </row>
    <row r="2478" spans="1:1" x14ac:dyDescent="0.55000000000000004">
      <c r="A2478"/>
    </row>
    <row r="2479" spans="1:1" x14ac:dyDescent="0.55000000000000004">
      <c r="A2479"/>
    </row>
    <row r="2480" spans="1:1" x14ac:dyDescent="0.55000000000000004">
      <c r="A2480"/>
    </row>
    <row r="2481" spans="1:1" x14ac:dyDescent="0.55000000000000004">
      <c r="A2481"/>
    </row>
    <row r="2482" spans="1:1" x14ac:dyDescent="0.55000000000000004">
      <c r="A2482"/>
    </row>
    <row r="2483" spans="1:1" x14ac:dyDescent="0.55000000000000004">
      <c r="A2483"/>
    </row>
    <row r="2484" spans="1:1" x14ac:dyDescent="0.55000000000000004">
      <c r="A2484"/>
    </row>
    <row r="2485" spans="1:1" x14ac:dyDescent="0.55000000000000004">
      <c r="A2485"/>
    </row>
    <row r="2486" spans="1:1" x14ac:dyDescent="0.55000000000000004">
      <c r="A2486"/>
    </row>
    <row r="2487" spans="1:1" x14ac:dyDescent="0.55000000000000004">
      <c r="A2487"/>
    </row>
    <row r="2488" spans="1:1" x14ac:dyDescent="0.55000000000000004">
      <c r="A2488"/>
    </row>
    <row r="2489" spans="1:1" x14ac:dyDescent="0.55000000000000004">
      <c r="A2489"/>
    </row>
    <row r="2490" spans="1:1" x14ac:dyDescent="0.55000000000000004">
      <c r="A2490"/>
    </row>
    <row r="2491" spans="1:1" x14ac:dyDescent="0.55000000000000004">
      <c r="A2491"/>
    </row>
    <row r="2492" spans="1:1" x14ac:dyDescent="0.55000000000000004">
      <c r="A2492"/>
    </row>
    <row r="2493" spans="1:1" x14ac:dyDescent="0.55000000000000004">
      <c r="A2493"/>
    </row>
    <row r="2494" spans="1:1" x14ac:dyDescent="0.55000000000000004">
      <c r="A2494"/>
    </row>
    <row r="2495" spans="1:1" x14ac:dyDescent="0.55000000000000004">
      <c r="A2495"/>
    </row>
    <row r="2496" spans="1:1" x14ac:dyDescent="0.55000000000000004">
      <c r="A2496"/>
    </row>
    <row r="2497" spans="1:1" x14ac:dyDescent="0.55000000000000004">
      <c r="A2497"/>
    </row>
    <row r="2498" spans="1:1" x14ac:dyDescent="0.55000000000000004">
      <c r="A2498"/>
    </row>
    <row r="2499" spans="1:1" x14ac:dyDescent="0.55000000000000004">
      <c r="A2499"/>
    </row>
    <row r="2500" spans="1:1" x14ac:dyDescent="0.55000000000000004">
      <c r="A2500"/>
    </row>
    <row r="2501" spans="1:1" x14ac:dyDescent="0.55000000000000004">
      <c r="A2501"/>
    </row>
    <row r="2502" spans="1:1" x14ac:dyDescent="0.55000000000000004">
      <c r="A2502"/>
    </row>
    <row r="2503" spans="1:1" x14ac:dyDescent="0.55000000000000004">
      <c r="A2503"/>
    </row>
    <row r="2504" spans="1:1" x14ac:dyDescent="0.55000000000000004">
      <c r="A2504"/>
    </row>
    <row r="2505" spans="1:1" x14ac:dyDescent="0.55000000000000004">
      <c r="A2505"/>
    </row>
    <row r="2506" spans="1:1" x14ac:dyDescent="0.55000000000000004">
      <c r="A2506"/>
    </row>
    <row r="2507" spans="1:1" x14ac:dyDescent="0.55000000000000004">
      <c r="A2507"/>
    </row>
    <row r="2508" spans="1:1" x14ac:dyDescent="0.55000000000000004">
      <c r="A2508"/>
    </row>
    <row r="2509" spans="1:1" x14ac:dyDescent="0.55000000000000004">
      <c r="A2509"/>
    </row>
    <row r="2510" spans="1:1" x14ac:dyDescent="0.55000000000000004">
      <c r="A2510"/>
    </row>
    <row r="2511" spans="1:1" x14ac:dyDescent="0.55000000000000004">
      <c r="A2511"/>
    </row>
    <row r="2512" spans="1:1" x14ac:dyDescent="0.55000000000000004">
      <c r="A2512"/>
    </row>
    <row r="2513" spans="1:1" x14ac:dyDescent="0.55000000000000004">
      <c r="A2513"/>
    </row>
    <row r="2514" spans="1:1" x14ac:dyDescent="0.55000000000000004">
      <c r="A2514"/>
    </row>
    <row r="2515" spans="1:1" x14ac:dyDescent="0.55000000000000004">
      <c r="A2515"/>
    </row>
    <row r="2516" spans="1:1" x14ac:dyDescent="0.55000000000000004">
      <c r="A2516"/>
    </row>
    <row r="2517" spans="1:1" x14ac:dyDescent="0.55000000000000004">
      <c r="A2517"/>
    </row>
    <row r="2518" spans="1:1" x14ac:dyDescent="0.55000000000000004">
      <c r="A2518"/>
    </row>
    <row r="2519" spans="1:1" x14ac:dyDescent="0.55000000000000004">
      <c r="A2519"/>
    </row>
    <row r="2520" spans="1:1" x14ac:dyDescent="0.55000000000000004">
      <c r="A2520"/>
    </row>
    <row r="2521" spans="1:1" x14ac:dyDescent="0.55000000000000004">
      <c r="A2521"/>
    </row>
    <row r="2522" spans="1:1" x14ac:dyDescent="0.55000000000000004">
      <c r="A2522"/>
    </row>
    <row r="2523" spans="1:1" x14ac:dyDescent="0.55000000000000004">
      <c r="A2523"/>
    </row>
    <row r="2524" spans="1:1" x14ac:dyDescent="0.55000000000000004">
      <c r="A2524"/>
    </row>
    <row r="2525" spans="1:1" x14ac:dyDescent="0.55000000000000004">
      <c r="A2525"/>
    </row>
    <row r="2526" spans="1:1" x14ac:dyDescent="0.55000000000000004">
      <c r="A2526"/>
    </row>
    <row r="2527" spans="1:1" x14ac:dyDescent="0.55000000000000004">
      <c r="A2527"/>
    </row>
    <row r="2528" spans="1:1" x14ac:dyDescent="0.55000000000000004">
      <c r="A2528"/>
    </row>
    <row r="2529" spans="1:1" x14ac:dyDescent="0.55000000000000004">
      <c r="A2529"/>
    </row>
    <row r="2530" spans="1:1" x14ac:dyDescent="0.55000000000000004">
      <c r="A2530"/>
    </row>
    <row r="2531" spans="1:1" x14ac:dyDescent="0.55000000000000004">
      <c r="A2531"/>
    </row>
    <row r="2532" spans="1:1" x14ac:dyDescent="0.55000000000000004">
      <c r="A2532"/>
    </row>
    <row r="2533" spans="1:1" x14ac:dyDescent="0.55000000000000004">
      <c r="A2533"/>
    </row>
    <row r="2534" spans="1:1" x14ac:dyDescent="0.55000000000000004">
      <c r="A2534"/>
    </row>
    <row r="2535" spans="1:1" x14ac:dyDescent="0.55000000000000004">
      <c r="A2535"/>
    </row>
    <row r="2536" spans="1:1" x14ac:dyDescent="0.55000000000000004">
      <c r="A2536"/>
    </row>
    <row r="2537" spans="1:1" x14ac:dyDescent="0.55000000000000004">
      <c r="A2537"/>
    </row>
    <row r="2538" spans="1:1" x14ac:dyDescent="0.55000000000000004">
      <c r="A2538"/>
    </row>
    <row r="2539" spans="1:1" x14ac:dyDescent="0.55000000000000004">
      <c r="A2539"/>
    </row>
    <row r="2540" spans="1:1" x14ac:dyDescent="0.55000000000000004">
      <c r="A2540"/>
    </row>
    <row r="2541" spans="1:1" x14ac:dyDescent="0.55000000000000004">
      <c r="A2541"/>
    </row>
    <row r="2542" spans="1:1" x14ac:dyDescent="0.55000000000000004">
      <c r="A2542"/>
    </row>
    <row r="2543" spans="1:1" x14ac:dyDescent="0.55000000000000004">
      <c r="A2543"/>
    </row>
    <row r="2544" spans="1:1" x14ac:dyDescent="0.55000000000000004">
      <c r="A2544"/>
    </row>
    <row r="2545" spans="1:1" x14ac:dyDescent="0.55000000000000004">
      <c r="A2545"/>
    </row>
    <row r="2546" spans="1:1" x14ac:dyDescent="0.55000000000000004">
      <c r="A2546"/>
    </row>
    <row r="2547" spans="1:1" x14ac:dyDescent="0.55000000000000004">
      <c r="A2547"/>
    </row>
    <row r="2548" spans="1:1" x14ac:dyDescent="0.55000000000000004">
      <c r="A2548"/>
    </row>
    <row r="2549" spans="1:1" x14ac:dyDescent="0.55000000000000004">
      <c r="A2549"/>
    </row>
    <row r="2550" spans="1:1" x14ac:dyDescent="0.55000000000000004">
      <c r="A2550"/>
    </row>
    <row r="2551" spans="1:1" x14ac:dyDescent="0.55000000000000004">
      <c r="A2551"/>
    </row>
    <row r="2552" spans="1:1" x14ac:dyDescent="0.55000000000000004">
      <c r="A2552"/>
    </row>
    <row r="2553" spans="1:1" x14ac:dyDescent="0.55000000000000004">
      <c r="A2553"/>
    </row>
    <row r="2554" spans="1:1" x14ac:dyDescent="0.55000000000000004">
      <c r="A2554"/>
    </row>
    <row r="2555" spans="1:1" x14ac:dyDescent="0.55000000000000004">
      <c r="A2555"/>
    </row>
    <row r="2556" spans="1:1" x14ac:dyDescent="0.55000000000000004">
      <c r="A2556"/>
    </row>
    <row r="2557" spans="1:1" x14ac:dyDescent="0.55000000000000004">
      <c r="A2557"/>
    </row>
    <row r="2558" spans="1:1" x14ac:dyDescent="0.55000000000000004">
      <c r="A2558"/>
    </row>
    <row r="2559" spans="1:1" x14ac:dyDescent="0.55000000000000004">
      <c r="A2559"/>
    </row>
    <row r="2560" spans="1:1" x14ac:dyDescent="0.55000000000000004">
      <c r="A2560"/>
    </row>
    <row r="2561" spans="1:1" x14ac:dyDescent="0.55000000000000004">
      <c r="A2561"/>
    </row>
    <row r="2562" spans="1:1" x14ac:dyDescent="0.55000000000000004">
      <c r="A2562"/>
    </row>
    <row r="2563" spans="1:1" x14ac:dyDescent="0.55000000000000004">
      <c r="A2563"/>
    </row>
    <row r="2564" spans="1:1" x14ac:dyDescent="0.55000000000000004">
      <c r="A2564"/>
    </row>
    <row r="2565" spans="1:1" x14ac:dyDescent="0.55000000000000004">
      <c r="A2565"/>
    </row>
    <row r="2566" spans="1:1" x14ac:dyDescent="0.55000000000000004">
      <c r="A2566"/>
    </row>
    <row r="2567" spans="1:1" x14ac:dyDescent="0.55000000000000004">
      <c r="A2567"/>
    </row>
    <row r="2568" spans="1:1" x14ac:dyDescent="0.55000000000000004">
      <c r="A2568"/>
    </row>
    <row r="2569" spans="1:1" x14ac:dyDescent="0.55000000000000004">
      <c r="A2569"/>
    </row>
    <row r="2570" spans="1:1" x14ac:dyDescent="0.55000000000000004">
      <c r="A2570"/>
    </row>
    <row r="2571" spans="1:1" x14ac:dyDescent="0.55000000000000004">
      <c r="A2571"/>
    </row>
    <row r="2572" spans="1:1" x14ac:dyDescent="0.55000000000000004">
      <c r="A2572"/>
    </row>
    <row r="2573" spans="1:1" x14ac:dyDescent="0.55000000000000004">
      <c r="A2573"/>
    </row>
    <row r="2574" spans="1:1" x14ac:dyDescent="0.55000000000000004">
      <c r="A2574"/>
    </row>
    <row r="2575" spans="1:1" x14ac:dyDescent="0.55000000000000004">
      <c r="A2575"/>
    </row>
    <row r="2576" spans="1:1" x14ac:dyDescent="0.55000000000000004">
      <c r="A2576"/>
    </row>
    <row r="2577" spans="1:1" x14ac:dyDescent="0.55000000000000004">
      <c r="A2577"/>
    </row>
    <row r="2578" spans="1:1" x14ac:dyDescent="0.55000000000000004">
      <c r="A2578"/>
    </row>
    <row r="2579" spans="1:1" x14ac:dyDescent="0.55000000000000004">
      <c r="A2579"/>
    </row>
    <row r="2580" spans="1:1" x14ac:dyDescent="0.55000000000000004">
      <c r="A2580"/>
    </row>
    <row r="2581" spans="1:1" x14ac:dyDescent="0.55000000000000004">
      <c r="A2581"/>
    </row>
    <row r="2582" spans="1:1" x14ac:dyDescent="0.55000000000000004">
      <c r="A2582"/>
    </row>
    <row r="2583" spans="1:1" x14ac:dyDescent="0.55000000000000004">
      <c r="A2583"/>
    </row>
    <row r="2584" spans="1:1" x14ac:dyDescent="0.55000000000000004">
      <c r="A2584"/>
    </row>
    <row r="2585" spans="1:1" x14ac:dyDescent="0.55000000000000004">
      <c r="A2585"/>
    </row>
    <row r="2586" spans="1:1" x14ac:dyDescent="0.55000000000000004">
      <c r="A2586"/>
    </row>
    <row r="2587" spans="1:1" x14ac:dyDescent="0.55000000000000004">
      <c r="A2587"/>
    </row>
    <row r="2588" spans="1:1" x14ac:dyDescent="0.55000000000000004">
      <c r="A2588"/>
    </row>
    <row r="2589" spans="1:1" x14ac:dyDescent="0.55000000000000004">
      <c r="A2589"/>
    </row>
    <row r="2590" spans="1:1" x14ac:dyDescent="0.55000000000000004">
      <c r="A2590"/>
    </row>
    <row r="2591" spans="1:1" x14ac:dyDescent="0.55000000000000004">
      <c r="A2591"/>
    </row>
    <row r="2592" spans="1:1" x14ac:dyDescent="0.55000000000000004">
      <c r="A2592"/>
    </row>
    <row r="2593" spans="1:1" x14ac:dyDescent="0.55000000000000004">
      <c r="A2593"/>
    </row>
    <row r="2594" spans="1:1" x14ac:dyDescent="0.55000000000000004">
      <c r="A2594"/>
    </row>
    <row r="2595" spans="1:1" x14ac:dyDescent="0.55000000000000004">
      <c r="A2595"/>
    </row>
    <row r="2596" spans="1:1" x14ac:dyDescent="0.55000000000000004">
      <c r="A2596"/>
    </row>
    <row r="2597" spans="1:1" x14ac:dyDescent="0.55000000000000004">
      <c r="A2597"/>
    </row>
    <row r="2598" spans="1:1" x14ac:dyDescent="0.55000000000000004">
      <c r="A2598"/>
    </row>
    <row r="2599" spans="1:1" x14ac:dyDescent="0.55000000000000004">
      <c r="A2599"/>
    </row>
    <row r="2600" spans="1:1" x14ac:dyDescent="0.55000000000000004">
      <c r="A2600"/>
    </row>
    <row r="2601" spans="1:1" x14ac:dyDescent="0.55000000000000004">
      <c r="A2601"/>
    </row>
    <row r="2602" spans="1:1" x14ac:dyDescent="0.55000000000000004">
      <c r="A2602"/>
    </row>
    <row r="2603" spans="1:1" x14ac:dyDescent="0.55000000000000004">
      <c r="A2603"/>
    </row>
    <row r="2604" spans="1:1" x14ac:dyDescent="0.55000000000000004">
      <c r="A2604"/>
    </row>
    <row r="2605" spans="1:1" x14ac:dyDescent="0.55000000000000004">
      <c r="A2605"/>
    </row>
    <row r="2606" spans="1:1" x14ac:dyDescent="0.55000000000000004">
      <c r="A2606"/>
    </row>
    <row r="2607" spans="1:1" x14ac:dyDescent="0.55000000000000004">
      <c r="A2607"/>
    </row>
    <row r="2608" spans="1:1" x14ac:dyDescent="0.55000000000000004">
      <c r="A2608"/>
    </row>
    <row r="2609" spans="1:1" x14ac:dyDescent="0.55000000000000004">
      <c r="A2609"/>
    </row>
    <row r="2610" spans="1:1" x14ac:dyDescent="0.55000000000000004">
      <c r="A2610"/>
    </row>
    <row r="2611" spans="1:1" x14ac:dyDescent="0.55000000000000004">
      <c r="A2611"/>
    </row>
    <row r="2612" spans="1:1" x14ac:dyDescent="0.55000000000000004">
      <c r="A2612"/>
    </row>
    <row r="2613" spans="1:1" x14ac:dyDescent="0.55000000000000004">
      <c r="A2613"/>
    </row>
    <row r="2614" spans="1:1" x14ac:dyDescent="0.55000000000000004">
      <c r="A2614"/>
    </row>
    <row r="2615" spans="1:1" x14ac:dyDescent="0.55000000000000004">
      <c r="A2615"/>
    </row>
    <row r="2616" spans="1:1" x14ac:dyDescent="0.55000000000000004">
      <c r="A2616"/>
    </row>
    <row r="2617" spans="1:1" x14ac:dyDescent="0.55000000000000004">
      <c r="A2617"/>
    </row>
    <row r="2618" spans="1:1" x14ac:dyDescent="0.55000000000000004">
      <c r="A2618"/>
    </row>
    <row r="2619" spans="1:1" x14ac:dyDescent="0.55000000000000004">
      <c r="A2619"/>
    </row>
    <row r="2620" spans="1:1" x14ac:dyDescent="0.55000000000000004">
      <c r="A2620"/>
    </row>
    <row r="2621" spans="1:1" x14ac:dyDescent="0.55000000000000004">
      <c r="A2621"/>
    </row>
    <row r="2622" spans="1:1" x14ac:dyDescent="0.55000000000000004">
      <c r="A2622"/>
    </row>
    <row r="2623" spans="1:1" x14ac:dyDescent="0.55000000000000004">
      <c r="A2623"/>
    </row>
    <row r="2624" spans="1:1" x14ac:dyDescent="0.55000000000000004">
      <c r="A2624"/>
    </row>
    <row r="2625" spans="1:1" x14ac:dyDescent="0.55000000000000004">
      <c r="A2625"/>
    </row>
    <row r="2626" spans="1:1" x14ac:dyDescent="0.55000000000000004">
      <c r="A2626"/>
    </row>
    <row r="2627" spans="1:1" x14ac:dyDescent="0.55000000000000004">
      <c r="A2627"/>
    </row>
    <row r="2628" spans="1:1" x14ac:dyDescent="0.55000000000000004">
      <c r="A2628"/>
    </row>
    <row r="2629" spans="1:1" x14ac:dyDescent="0.55000000000000004">
      <c r="A2629"/>
    </row>
    <row r="2630" spans="1:1" x14ac:dyDescent="0.55000000000000004">
      <c r="A2630"/>
    </row>
    <row r="2631" spans="1:1" x14ac:dyDescent="0.55000000000000004">
      <c r="A2631"/>
    </row>
    <row r="2632" spans="1:1" x14ac:dyDescent="0.55000000000000004">
      <c r="A2632"/>
    </row>
    <row r="2633" spans="1:1" x14ac:dyDescent="0.55000000000000004">
      <c r="A2633"/>
    </row>
    <row r="2634" spans="1:1" x14ac:dyDescent="0.55000000000000004">
      <c r="A2634"/>
    </row>
    <row r="2635" spans="1:1" x14ac:dyDescent="0.55000000000000004">
      <c r="A2635"/>
    </row>
    <row r="2636" spans="1:1" x14ac:dyDescent="0.55000000000000004">
      <c r="A2636"/>
    </row>
    <row r="2637" spans="1:1" x14ac:dyDescent="0.55000000000000004">
      <c r="A2637"/>
    </row>
    <row r="2638" spans="1:1" x14ac:dyDescent="0.55000000000000004">
      <c r="A2638"/>
    </row>
    <row r="2639" spans="1:1" x14ac:dyDescent="0.55000000000000004">
      <c r="A2639"/>
    </row>
    <row r="2640" spans="1:1" x14ac:dyDescent="0.55000000000000004">
      <c r="A2640"/>
    </row>
    <row r="2641" spans="1:1" x14ac:dyDescent="0.55000000000000004">
      <c r="A2641"/>
    </row>
    <row r="2642" spans="1:1" x14ac:dyDescent="0.55000000000000004">
      <c r="A2642"/>
    </row>
    <row r="2643" spans="1:1" x14ac:dyDescent="0.55000000000000004">
      <c r="A2643"/>
    </row>
    <row r="2644" spans="1:1" x14ac:dyDescent="0.55000000000000004">
      <c r="A2644"/>
    </row>
    <row r="2645" spans="1:1" x14ac:dyDescent="0.55000000000000004">
      <c r="A2645"/>
    </row>
    <row r="2646" spans="1:1" x14ac:dyDescent="0.55000000000000004">
      <c r="A2646"/>
    </row>
    <row r="2647" spans="1:1" x14ac:dyDescent="0.55000000000000004">
      <c r="A2647"/>
    </row>
    <row r="2648" spans="1:1" x14ac:dyDescent="0.55000000000000004">
      <c r="A2648"/>
    </row>
    <row r="2649" spans="1:1" x14ac:dyDescent="0.55000000000000004">
      <c r="A2649"/>
    </row>
    <row r="2650" spans="1:1" x14ac:dyDescent="0.55000000000000004">
      <c r="A2650"/>
    </row>
    <row r="2651" spans="1:1" x14ac:dyDescent="0.55000000000000004">
      <c r="A2651"/>
    </row>
    <row r="2652" spans="1:1" x14ac:dyDescent="0.55000000000000004">
      <c r="A2652"/>
    </row>
    <row r="2653" spans="1:1" x14ac:dyDescent="0.55000000000000004">
      <c r="A2653"/>
    </row>
    <row r="2654" spans="1:1" x14ac:dyDescent="0.55000000000000004">
      <c r="A2654"/>
    </row>
    <row r="2655" spans="1:1" x14ac:dyDescent="0.55000000000000004">
      <c r="A2655"/>
    </row>
    <row r="2656" spans="1:1" x14ac:dyDescent="0.55000000000000004">
      <c r="A2656"/>
    </row>
    <row r="2657" spans="1:1" x14ac:dyDescent="0.55000000000000004">
      <c r="A2657"/>
    </row>
    <row r="2658" spans="1:1" x14ac:dyDescent="0.55000000000000004">
      <c r="A2658"/>
    </row>
    <row r="2659" spans="1:1" x14ac:dyDescent="0.55000000000000004">
      <c r="A2659"/>
    </row>
    <row r="2660" spans="1:1" x14ac:dyDescent="0.55000000000000004">
      <c r="A2660"/>
    </row>
    <row r="2661" spans="1:1" x14ac:dyDescent="0.55000000000000004">
      <c r="A2661"/>
    </row>
    <row r="2662" spans="1:1" x14ac:dyDescent="0.55000000000000004">
      <c r="A2662"/>
    </row>
    <row r="2663" spans="1:1" x14ac:dyDescent="0.55000000000000004">
      <c r="A2663"/>
    </row>
    <row r="2664" spans="1:1" x14ac:dyDescent="0.55000000000000004">
      <c r="A2664"/>
    </row>
    <row r="2665" spans="1:1" x14ac:dyDescent="0.55000000000000004">
      <c r="A2665"/>
    </row>
    <row r="2666" spans="1:1" x14ac:dyDescent="0.55000000000000004">
      <c r="A2666"/>
    </row>
    <row r="2667" spans="1:1" x14ac:dyDescent="0.55000000000000004">
      <c r="A2667"/>
    </row>
    <row r="2668" spans="1:1" x14ac:dyDescent="0.55000000000000004">
      <c r="A2668"/>
    </row>
    <row r="2669" spans="1:1" x14ac:dyDescent="0.55000000000000004">
      <c r="A2669"/>
    </row>
    <row r="2670" spans="1:1" x14ac:dyDescent="0.55000000000000004">
      <c r="A2670"/>
    </row>
    <row r="2671" spans="1:1" x14ac:dyDescent="0.55000000000000004">
      <c r="A2671"/>
    </row>
    <row r="2672" spans="1:1" x14ac:dyDescent="0.55000000000000004">
      <c r="A2672"/>
    </row>
    <row r="2673" spans="1:1" x14ac:dyDescent="0.55000000000000004">
      <c r="A2673"/>
    </row>
    <row r="2674" spans="1:1" x14ac:dyDescent="0.55000000000000004">
      <c r="A2674"/>
    </row>
    <row r="2675" spans="1:1" x14ac:dyDescent="0.55000000000000004">
      <c r="A2675"/>
    </row>
    <row r="2676" spans="1:1" x14ac:dyDescent="0.55000000000000004">
      <c r="A2676"/>
    </row>
    <row r="2677" spans="1:1" x14ac:dyDescent="0.55000000000000004">
      <c r="A2677"/>
    </row>
    <row r="2678" spans="1:1" x14ac:dyDescent="0.55000000000000004">
      <c r="A2678"/>
    </row>
    <row r="2679" spans="1:1" x14ac:dyDescent="0.55000000000000004">
      <c r="A2679"/>
    </row>
    <row r="2680" spans="1:1" x14ac:dyDescent="0.55000000000000004">
      <c r="A2680"/>
    </row>
    <row r="2681" spans="1:1" x14ac:dyDescent="0.55000000000000004">
      <c r="A2681"/>
    </row>
    <row r="2682" spans="1:1" x14ac:dyDescent="0.55000000000000004">
      <c r="A2682"/>
    </row>
    <row r="2683" spans="1:1" x14ac:dyDescent="0.55000000000000004">
      <c r="A2683"/>
    </row>
    <row r="2684" spans="1:1" x14ac:dyDescent="0.55000000000000004">
      <c r="A2684"/>
    </row>
    <row r="2685" spans="1:1" x14ac:dyDescent="0.55000000000000004">
      <c r="A2685"/>
    </row>
    <row r="2686" spans="1:1" x14ac:dyDescent="0.55000000000000004">
      <c r="A2686"/>
    </row>
    <row r="2687" spans="1:1" x14ac:dyDescent="0.55000000000000004">
      <c r="A2687"/>
    </row>
    <row r="2688" spans="1:1" x14ac:dyDescent="0.55000000000000004">
      <c r="A2688"/>
    </row>
    <row r="2689" spans="1:1" x14ac:dyDescent="0.55000000000000004">
      <c r="A2689"/>
    </row>
    <row r="2690" spans="1:1" x14ac:dyDescent="0.55000000000000004">
      <c r="A2690"/>
    </row>
    <row r="2691" spans="1:1" x14ac:dyDescent="0.55000000000000004">
      <c r="A2691"/>
    </row>
    <row r="2692" spans="1:1" x14ac:dyDescent="0.55000000000000004">
      <c r="A2692"/>
    </row>
    <row r="2693" spans="1:1" x14ac:dyDescent="0.55000000000000004">
      <c r="A2693"/>
    </row>
    <row r="2694" spans="1:1" x14ac:dyDescent="0.55000000000000004">
      <c r="A2694"/>
    </row>
    <row r="2695" spans="1:1" x14ac:dyDescent="0.55000000000000004">
      <c r="A2695"/>
    </row>
    <row r="2696" spans="1:1" x14ac:dyDescent="0.55000000000000004">
      <c r="A2696"/>
    </row>
    <row r="2697" spans="1:1" x14ac:dyDescent="0.55000000000000004">
      <c r="A2697"/>
    </row>
    <row r="2698" spans="1:1" x14ac:dyDescent="0.55000000000000004">
      <c r="A2698"/>
    </row>
    <row r="2699" spans="1:1" x14ac:dyDescent="0.55000000000000004">
      <c r="A2699"/>
    </row>
    <row r="2700" spans="1:1" x14ac:dyDescent="0.55000000000000004">
      <c r="A2700"/>
    </row>
    <row r="2701" spans="1:1" x14ac:dyDescent="0.55000000000000004">
      <c r="A2701"/>
    </row>
    <row r="2702" spans="1:1" x14ac:dyDescent="0.55000000000000004">
      <c r="A2702"/>
    </row>
    <row r="2703" spans="1:1" x14ac:dyDescent="0.55000000000000004">
      <c r="A2703"/>
    </row>
    <row r="2704" spans="1:1" x14ac:dyDescent="0.55000000000000004">
      <c r="A2704"/>
    </row>
    <row r="2705" spans="1:1" x14ac:dyDescent="0.55000000000000004">
      <c r="A2705"/>
    </row>
    <row r="2706" spans="1:1" x14ac:dyDescent="0.55000000000000004">
      <c r="A2706"/>
    </row>
    <row r="2707" spans="1:1" x14ac:dyDescent="0.55000000000000004">
      <c r="A2707"/>
    </row>
    <row r="2708" spans="1:1" x14ac:dyDescent="0.55000000000000004">
      <c r="A2708"/>
    </row>
    <row r="2709" spans="1:1" x14ac:dyDescent="0.55000000000000004">
      <c r="A2709"/>
    </row>
    <row r="2710" spans="1:1" x14ac:dyDescent="0.55000000000000004">
      <c r="A2710"/>
    </row>
    <row r="2711" spans="1:1" x14ac:dyDescent="0.55000000000000004">
      <c r="A2711"/>
    </row>
    <row r="2712" spans="1:1" x14ac:dyDescent="0.55000000000000004">
      <c r="A2712"/>
    </row>
    <row r="2713" spans="1:1" x14ac:dyDescent="0.55000000000000004">
      <c r="A2713"/>
    </row>
    <row r="2714" spans="1:1" x14ac:dyDescent="0.55000000000000004">
      <c r="A2714"/>
    </row>
    <row r="2715" spans="1:1" x14ac:dyDescent="0.55000000000000004">
      <c r="A2715"/>
    </row>
    <row r="2716" spans="1:1" x14ac:dyDescent="0.55000000000000004">
      <c r="A2716"/>
    </row>
    <row r="2717" spans="1:1" x14ac:dyDescent="0.55000000000000004">
      <c r="A2717"/>
    </row>
    <row r="2718" spans="1:1" x14ac:dyDescent="0.55000000000000004">
      <c r="A2718"/>
    </row>
    <row r="2719" spans="1:1" x14ac:dyDescent="0.55000000000000004">
      <c r="A2719"/>
    </row>
    <row r="2720" spans="1:1" x14ac:dyDescent="0.55000000000000004">
      <c r="A2720"/>
    </row>
    <row r="2721" spans="1:1" x14ac:dyDescent="0.55000000000000004">
      <c r="A2721"/>
    </row>
    <row r="2722" spans="1:1" x14ac:dyDescent="0.55000000000000004">
      <c r="A2722"/>
    </row>
    <row r="2723" spans="1:1" x14ac:dyDescent="0.55000000000000004">
      <c r="A2723"/>
    </row>
    <row r="2724" spans="1:1" x14ac:dyDescent="0.55000000000000004">
      <c r="A2724"/>
    </row>
    <row r="2725" spans="1:1" x14ac:dyDescent="0.55000000000000004">
      <c r="A2725"/>
    </row>
    <row r="2726" spans="1:1" x14ac:dyDescent="0.55000000000000004">
      <c r="A2726"/>
    </row>
    <row r="2727" spans="1:1" x14ac:dyDescent="0.55000000000000004">
      <c r="A2727"/>
    </row>
    <row r="2728" spans="1:1" x14ac:dyDescent="0.55000000000000004">
      <c r="A2728"/>
    </row>
    <row r="2729" spans="1:1" x14ac:dyDescent="0.55000000000000004">
      <c r="A2729"/>
    </row>
    <row r="2730" spans="1:1" x14ac:dyDescent="0.55000000000000004">
      <c r="A2730"/>
    </row>
    <row r="2731" spans="1:1" x14ac:dyDescent="0.55000000000000004">
      <c r="A2731"/>
    </row>
    <row r="2732" spans="1:1" x14ac:dyDescent="0.55000000000000004">
      <c r="A2732"/>
    </row>
    <row r="2733" spans="1:1" x14ac:dyDescent="0.55000000000000004">
      <c r="A2733"/>
    </row>
    <row r="2734" spans="1:1" x14ac:dyDescent="0.55000000000000004">
      <c r="A2734"/>
    </row>
    <row r="2735" spans="1:1" x14ac:dyDescent="0.55000000000000004">
      <c r="A2735"/>
    </row>
    <row r="2736" spans="1:1" x14ac:dyDescent="0.55000000000000004">
      <c r="A2736"/>
    </row>
    <row r="2737" spans="1:1" x14ac:dyDescent="0.55000000000000004">
      <c r="A2737"/>
    </row>
    <row r="2738" spans="1:1" x14ac:dyDescent="0.55000000000000004">
      <c r="A2738"/>
    </row>
    <row r="2739" spans="1:1" x14ac:dyDescent="0.55000000000000004">
      <c r="A2739"/>
    </row>
    <row r="2740" spans="1:1" x14ac:dyDescent="0.55000000000000004">
      <c r="A2740"/>
    </row>
    <row r="2741" spans="1:1" x14ac:dyDescent="0.55000000000000004">
      <c r="A2741"/>
    </row>
    <row r="2742" spans="1:1" x14ac:dyDescent="0.55000000000000004">
      <c r="A2742"/>
    </row>
    <row r="2743" spans="1:1" x14ac:dyDescent="0.55000000000000004">
      <c r="A2743"/>
    </row>
    <row r="2744" spans="1:1" x14ac:dyDescent="0.55000000000000004">
      <c r="A2744"/>
    </row>
    <row r="2745" spans="1:1" x14ac:dyDescent="0.55000000000000004">
      <c r="A2745"/>
    </row>
    <row r="2746" spans="1:1" x14ac:dyDescent="0.55000000000000004">
      <c r="A2746"/>
    </row>
    <row r="2747" spans="1:1" x14ac:dyDescent="0.55000000000000004">
      <c r="A2747"/>
    </row>
    <row r="2748" spans="1:1" x14ac:dyDescent="0.55000000000000004">
      <c r="A2748"/>
    </row>
    <row r="2749" spans="1:1" x14ac:dyDescent="0.55000000000000004">
      <c r="A2749"/>
    </row>
    <row r="2750" spans="1:1" x14ac:dyDescent="0.55000000000000004">
      <c r="A2750"/>
    </row>
    <row r="2751" spans="1:1" x14ac:dyDescent="0.55000000000000004">
      <c r="A2751"/>
    </row>
    <row r="2752" spans="1:1" x14ac:dyDescent="0.55000000000000004">
      <c r="A2752"/>
    </row>
    <row r="2753" spans="1:1" x14ac:dyDescent="0.55000000000000004">
      <c r="A2753"/>
    </row>
    <row r="2754" spans="1:1" x14ac:dyDescent="0.55000000000000004">
      <c r="A2754"/>
    </row>
    <row r="2755" spans="1:1" x14ac:dyDescent="0.55000000000000004">
      <c r="A2755"/>
    </row>
    <row r="2756" spans="1:1" x14ac:dyDescent="0.55000000000000004">
      <c r="A2756"/>
    </row>
    <row r="2757" spans="1:1" x14ac:dyDescent="0.55000000000000004">
      <c r="A2757"/>
    </row>
    <row r="2758" spans="1:1" x14ac:dyDescent="0.55000000000000004">
      <c r="A2758"/>
    </row>
    <row r="2759" spans="1:1" x14ac:dyDescent="0.55000000000000004">
      <c r="A2759"/>
    </row>
    <row r="2760" spans="1:1" x14ac:dyDescent="0.55000000000000004">
      <c r="A2760"/>
    </row>
    <row r="2761" spans="1:1" x14ac:dyDescent="0.55000000000000004">
      <c r="A2761"/>
    </row>
    <row r="2762" spans="1:1" x14ac:dyDescent="0.55000000000000004">
      <c r="A2762"/>
    </row>
    <row r="2763" spans="1:1" x14ac:dyDescent="0.55000000000000004">
      <c r="A2763"/>
    </row>
    <row r="2764" spans="1:1" x14ac:dyDescent="0.55000000000000004">
      <c r="A2764"/>
    </row>
    <row r="2765" spans="1:1" x14ac:dyDescent="0.55000000000000004">
      <c r="A2765"/>
    </row>
    <row r="2766" spans="1:1" x14ac:dyDescent="0.55000000000000004">
      <c r="A2766"/>
    </row>
    <row r="2767" spans="1:1" x14ac:dyDescent="0.55000000000000004">
      <c r="A2767"/>
    </row>
    <row r="2768" spans="1:1" x14ac:dyDescent="0.55000000000000004">
      <c r="A2768"/>
    </row>
    <row r="2769" spans="1:1" x14ac:dyDescent="0.55000000000000004">
      <c r="A2769"/>
    </row>
    <row r="2770" spans="1:1" x14ac:dyDescent="0.55000000000000004">
      <c r="A2770"/>
    </row>
    <row r="2771" spans="1:1" x14ac:dyDescent="0.55000000000000004">
      <c r="A2771"/>
    </row>
    <row r="2772" spans="1:1" x14ac:dyDescent="0.55000000000000004">
      <c r="A2772"/>
    </row>
    <row r="2773" spans="1:1" x14ac:dyDescent="0.55000000000000004">
      <c r="A2773"/>
    </row>
    <row r="2774" spans="1:1" x14ac:dyDescent="0.55000000000000004">
      <c r="A2774"/>
    </row>
    <row r="2775" spans="1:1" x14ac:dyDescent="0.55000000000000004">
      <c r="A2775"/>
    </row>
    <row r="2776" spans="1:1" x14ac:dyDescent="0.55000000000000004">
      <c r="A2776"/>
    </row>
    <row r="2777" spans="1:1" x14ac:dyDescent="0.55000000000000004">
      <c r="A2777"/>
    </row>
    <row r="2778" spans="1:1" x14ac:dyDescent="0.55000000000000004">
      <c r="A2778"/>
    </row>
    <row r="2779" spans="1:1" x14ac:dyDescent="0.55000000000000004">
      <c r="A2779"/>
    </row>
    <row r="2780" spans="1:1" x14ac:dyDescent="0.55000000000000004">
      <c r="A2780"/>
    </row>
    <row r="2781" spans="1:1" x14ac:dyDescent="0.55000000000000004">
      <c r="A2781"/>
    </row>
    <row r="2782" spans="1:1" x14ac:dyDescent="0.55000000000000004">
      <c r="A2782"/>
    </row>
    <row r="2783" spans="1:1" x14ac:dyDescent="0.55000000000000004">
      <c r="A2783"/>
    </row>
    <row r="2784" spans="1:1" x14ac:dyDescent="0.55000000000000004">
      <c r="A2784"/>
    </row>
    <row r="2785" spans="1:1" x14ac:dyDescent="0.55000000000000004">
      <c r="A2785"/>
    </row>
    <row r="2786" spans="1:1" x14ac:dyDescent="0.55000000000000004">
      <c r="A2786"/>
    </row>
    <row r="2787" spans="1:1" x14ac:dyDescent="0.55000000000000004">
      <c r="A2787"/>
    </row>
    <row r="2788" spans="1:1" x14ac:dyDescent="0.55000000000000004">
      <c r="A2788"/>
    </row>
    <row r="2789" spans="1:1" x14ac:dyDescent="0.55000000000000004">
      <c r="A2789"/>
    </row>
    <row r="2790" spans="1:1" x14ac:dyDescent="0.55000000000000004">
      <c r="A2790"/>
    </row>
    <row r="2791" spans="1:1" x14ac:dyDescent="0.55000000000000004">
      <c r="A2791"/>
    </row>
    <row r="2792" spans="1:1" x14ac:dyDescent="0.55000000000000004">
      <c r="A2792"/>
    </row>
    <row r="2793" spans="1:1" x14ac:dyDescent="0.55000000000000004">
      <c r="A2793"/>
    </row>
    <row r="2794" spans="1:1" x14ac:dyDescent="0.55000000000000004">
      <c r="A2794"/>
    </row>
    <row r="2795" spans="1:1" x14ac:dyDescent="0.55000000000000004">
      <c r="A2795"/>
    </row>
    <row r="2796" spans="1:1" x14ac:dyDescent="0.55000000000000004">
      <c r="A2796"/>
    </row>
    <row r="2797" spans="1:1" x14ac:dyDescent="0.55000000000000004">
      <c r="A2797"/>
    </row>
    <row r="2798" spans="1:1" x14ac:dyDescent="0.55000000000000004">
      <c r="A2798"/>
    </row>
    <row r="2799" spans="1:1" x14ac:dyDescent="0.55000000000000004">
      <c r="A2799"/>
    </row>
    <row r="2800" spans="1:1" x14ac:dyDescent="0.55000000000000004">
      <c r="A2800"/>
    </row>
    <row r="2801" spans="1:1" x14ac:dyDescent="0.55000000000000004">
      <c r="A2801"/>
    </row>
    <row r="2802" spans="1:1" x14ac:dyDescent="0.55000000000000004">
      <c r="A2802"/>
    </row>
    <row r="2803" spans="1:1" x14ac:dyDescent="0.55000000000000004">
      <c r="A2803"/>
    </row>
    <row r="2804" spans="1:1" x14ac:dyDescent="0.55000000000000004">
      <c r="A2804"/>
    </row>
    <row r="2805" spans="1:1" x14ac:dyDescent="0.55000000000000004">
      <c r="A2805"/>
    </row>
    <row r="2806" spans="1:1" x14ac:dyDescent="0.55000000000000004">
      <c r="A2806"/>
    </row>
    <row r="2807" spans="1:1" x14ac:dyDescent="0.55000000000000004">
      <c r="A2807"/>
    </row>
    <row r="2808" spans="1:1" x14ac:dyDescent="0.55000000000000004">
      <c r="A2808"/>
    </row>
    <row r="2809" spans="1:1" x14ac:dyDescent="0.55000000000000004">
      <c r="A2809"/>
    </row>
    <row r="2810" spans="1:1" x14ac:dyDescent="0.55000000000000004">
      <c r="A2810"/>
    </row>
    <row r="2811" spans="1:1" x14ac:dyDescent="0.55000000000000004">
      <c r="A2811"/>
    </row>
    <row r="2812" spans="1:1" x14ac:dyDescent="0.55000000000000004">
      <c r="A2812"/>
    </row>
    <row r="2813" spans="1:1" x14ac:dyDescent="0.55000000000000004">
      <c r="A2813"/>
    </row>
    <row r="2814" spans="1:1" x14ac:dyDescent="0.55000000000000004">
      <c r="A2814"/>
    </row>
    <row r="2815" spans="1:1" x14ac:dyDescent="0.55000000000000004">
      <c r="A2815"/>
    </row>
    <row r="2816" spans="1:1" x14ac:dyDescent="0.55000000000000004">
      <c r="A2816"/>
    </row>
    <row r="2817" spans="1:1" x14ac:dyDescent="0.55000000000000004">
      <c r="A2817"/>
    </row>
    <row r="2818" spans="1:1" x14ac:dyDescent="0.55000000000000004">
      <c r="A2818"/>
    </row>
    <row r="2819" spans="1:1" x14ac:dyDescent="0.55000000000000004">
      <c r="A2819"/>
    </row>
    <row r="2820" spans="1:1" x14ac:dyDescent="0.55000000000000004">
      <c r="A2820"/>
    </row>
    <row r="2821" spans="1:1" x14ac:dyDescent="0.55000000000000004">
      <c r="A2821"/>
    </row>
    <row r="2822" spans="1:1" x14ac:dyDescent="0.55000000000000004">
      <c r="A2822"/>
    </row>
    <row r="2823" spans="1:1" x14ac:dyDescent="0.55000000000000004">
      <c r="A2823"/>
    </row>
    <row r="2824" spans="1:1" x14ac:dyDescent="0.55000000000000004">
      <c r="A2824"/>
    </row>
    <row r="2825" spans="1:1" x14ac:dyDescent="0.55000000000000004">
      <c r="A2825"/>
    </row>
    <row r="2826" spans="1:1" x14ac:dyDescent="0.55000000000000004">
      <c r="A2826"/>
    </row>
    <row r="2827" spans="1:1" x14ac:dyDescent="0.55000000000000004">
      <c r="A2827"/>
    </row>
    <row r="2828" spans="1:1" x14ac:dyDescent="0.55000000000000004">
      <c r="A2828"/>
    </row>
    <row r="2829" spans="1:1" x14ac:dyDescent="0.55000000000000004">
      <c r="A2829"/>
    </row>
    <row r="2830" spans="1:1" x14ac:dyDescent="0.55000000000000004">
      <c r="A2830"/>
    </row>
    <row r="2831" spans="1:1" x14ac:dyDescent="0.55000000000000004">
      <c r="A2831"/>
    </row>
    <row r="2832" spans="1:1" x14ac:dyDescent="0.55000000000000004">
      <c r="A2832"/>
    </row>
    <row r="2833" spans="1:1" x14ac:dyDescent="0.55000000000000004">
      <c r="A2833"/>
    </row>
    <row r="2834" spans="1:1" x14ac:dyDescent="0.55000000000000004">
      <c r="A2834"/>
    </row>
    <row r="2835" spans="1:1" x14ac:dyDescent="0.55000000000000004">
      <c r="A2835"/>
    </row>
    <row r="2836" spans="1:1" x14ac:dyDescent="0.55000000000000004">
      <c r="A2836"/>
    </row>
    <row r="2837" spans="1:1" x14ac:dyDescent="0.55000000000000004">
      <c r="A2837"/>
    </row>
    <row r="2838" spans="1:1" x14ac:dyDescent="0.55000000000000004">
      <c r="A2838"/>
    </row>
    <row r="2839" spans="1:1" x14ac:dyDescent="0.55000000000000004">
      <c r="A2839"/>
    </row>
    <row r="2840" spans="1:1" x14ac:dyDescent="0.55000000000000004">
      <c r="A2840"/>
    </row>
    <row r="2841" spans="1:1" x14ac:dyDescent="0.55000000000000004">
      <c r="A2841"/>
    </row>
    <row r="2842" spans="1:1" x14ac:dyDescent="0.55000000000000004">
      <c r="A2842"/>
    </row>
    <row r="2843" spans="1:1" x14ac:dyDescent="0.55000000000000004">
      <c r="A2843"/>
    </row>
    <row r="2844" spans="1:1" x14ac:dyDescent="0.55000000000000004">
      <c r="A2844"/>
    </row>
    <row r="2845" spans="1:1" x14ac:dyDescent="0.55000000000000004">
      <c r="A2845"/>
    </row>
    <row r="2846" spans="1:1" x14ac:dyDescent="0.55000000000000004">
      <c r="A2846"/>
    </row>
    <row r="2847" spans="1:1" x14ac:dyDescent="0.55000000000000004">
      <c r="A2847"/>
    </row>
    <row r="2848" spans="1:1" x14ac:dyDescent="0.55000000000000004">
      <c r="A2848"/>
    </row>
    <row r="2849" spans="1:1" x14ac:dyDescent="0.55000000000000004">
      <c r="A2849"/>
    </row>
    <row r="2850" spans="1:1" x14ac:dyDescent="0.55000000000000004">
      <c r="A2850"/>
    </row>
    <row r="2851" spans="1:1" x14ac:dyDescent="0.55000000000000004">
      <c r="A2851"/>
    </row>
    <row r="2852" spans="1:1" x14ac:dyDescent="0.55000000000000004">
      <c r="A2852"/>
    </row>
    <row r="2853" spans="1:1" x14ac:dyDescent="0.55000000000000004">
      <c r="A2853"/>
    </row>
    <row r="2854" spans="1:1" x14ac:dyDescent="0.55000000000000004">
      <c r="A2854"/>
    </row>
    <row r="2855" spans="1:1" x14ac:dyDescent="0.55000000000000004">
      <c r="A2855"/>
    </row>
    <row r="2856" spans="1:1" x14ac:dyDescent="0.55000000000000004">
      <c r="A2856"/>
    </row>
    <row r="2857" spans="1:1" x14ac:dyDescent="0.55000000000000004">
      <c r="A2857"/>
    </row>
    <row r="2858" spans="1:1" x14ac:dyDescent="0.55000000000000004">
      <c r="A2858"/>
    </row>
    <row r="2859" spans="1:1" x14ac:dyDescent="0.55000000000000004">
      <c r="A2859"/>
    </row>
    <row r="2860" spans="1:1" x14ac:dyDescent="0.55000000000000004">
      <c r="A2860"/>
    </row>
    <row r="2861" spans="1:1" x14ac:dyDescent="0.55000000000000004">
      <c r="A2861"/>
    </row>
    <row r="2862" spans="1:1" x14ac:dyDescent="0.55000000000000004">
      <c r="A2862"/>
    </row>
    <row r="2863" spans="1:1" x14ac:dyDescent="0.55000000000000004">
      <c r="A2863"/>
    </row>
    <row r="2864" spans="1:1" x14ac:dyDescent="0.55000000000000004">
      <c r="A2864"/>
    </row>
    <row r="2865" spans="1:1" x14ac:dyDescent="0.55000000000000004">
      <c r="A2865"/>
    </row>
    <row r="2866" spans="1:1" x14ac:dyDescent="0.55000000000000004">
      <c r="A2866"/>
    </row>
    <row r="2867" spans="1:1" x14ac:dyDescent="0.55000000000000004">
      <c r="A2867"/>
    </row>
    <row r="2868" spans="1:1" x14ac:dyDescent="0.55000000000000004">
      <c r="A2868"/>
    </row>
    <row r="2869" spans="1:1" x14ac:dyDescent="0.55000000000000004">
      <c r="A2869"/>
    </row>
    <row r="2870" spans="1:1" x14ac:dyDescent="0.55000000000000004">
      <c r="A2870"/>
    </row>
    <row r="2871" spans="1:1" x14ac:dyDescent="0.55000000000000004">
      <c r="A2871"/>
    </row>
    <row r="2872" spans="1:1" x14ac:dyDescent="0.55000000000000004">
      <c r="A2872"/>
    </row>
    <row r="2873" spans="1:1" x14ac:dyDescent="0.55000000000000004">
      <c r="A2873"/>
    </row>
    <row r="2874" spans="1:1" x14ac:dyDescent="0.55000000000000004">
      <c r="A2874"/>
    </row>
    <row r="2875" spans="1:1" x14ac:dyDescent="0.55000000000000004">
      <c r="A2875"/>
    </row>
    <row r="2876" spans="1:1" x14ac:dyDescent="0.55000000000000004">
      <c r="A2876"/>
    </row>
    <row r="2877" spans="1:1" x14ac:dyDescent="0.55000000000000004">
      <c r="A2877"/>
    </row>
    <row r="2878" spans="1:1" x14ac:dyDescent="0.55000000000000004">
      <c r="A2878"/>
    </row>
    <row r="2879" spans="1:1" x14ac:dyDescent="0.55000000000000004">
      <c r="A2879"/>
    </row>
    <row r="2880" spans="1:1" x14ac:dyDescent="0.55000000000000004">
      <c r="A2880"/>
    </row>
    <row r="2881" spans="1:1" x14ac:dyDescent="0.55000000000000004">
      <c r="A2881"/>
    </row>
    <row r="2882" spans="1:1" x14ac:dyDescent="0.55000000000000004">
      <c r="A2882"/>
    </row>
    <row r="2883" spans="1:1" x14ac:dyDescent="0.55000000000000004">
      <c r="A2883"/>
    </row>
    <row r="2884" spans="1:1" x14ac:dyDescent="0.55000000000000004">
      <c r="A2884"/>
    </row>
    <row r="2885" spans="1:1" x14ac:dyDescent="0.55000000000000004">
      <c r="A2885"/>
    </row>
    <row r="2886" spans="1:1" x14ac:dyDescent="0.55000000000000004">
      <c r="A2886"/>
    </row>
    <row r="2887" spans="1:1" x14ac:dyDescent="0.55000000000000004">
      <c r="A2887"/>
    </row>
    <row r="2888" spans="1:1" x14ac:dyDescent="0.55000000000000004">
      <c r="A2888"/>
    </row>
    <row r="2889" spans="1:1" x14ac:dyDescent="0.55000000000000004">
      <c r="A2889"/>
    </row>
    <row r="2890" spans="1:1" x14ac:dyDescent="0.55000000000000004">
      <c r="A2890"/>
    </row>
    <row r="2891" spans="1:1" x14ac:dyDescent="0.55000000000000004">
      <c r="A2891"/>
    </row>
    <row r="2892" spans="1:1" x14ac:dyDescent="0.55000000000000004">
      <c r="A2892"/>
    </row>
    <row r="2893" spans="1:1" x14ac:dyDescent="0.55000000000000004">
      <c r="A2893"/>
    </row>
    <row r="2894" spans="1:1" x14ac:dyDescent="0.55000000000000004">
      <c r="A2894"/>
    </row>
    <row r="2895" spans="1:1" x14ac:dyDescent="0.55000000000000004">
      <c r="A2895"/>
    </row>
    <row r="2896" spans="1:1" x14ac:dyDescent="0.55000000000000004">
      <c r="A2896"/>
    </row>
    <row r="2897" spans="1:1" x14ac:dyDescent="0.55000000000000004">
      <c r="A2897"/>
    </row>
    <row r="2898" spans="1:1" x14ac:dyDescent="0.55000000000000004">
      <c r="A2898"/>
    </row>
    <row r="2899" spans="1:1" x14ac:dyDescent="0.55000000000000004">
      <c r="A2899"/>
    </row>
    <row r="2900" spans="1:1" x14ac:dyDescent="0.55000000000000004">
      <c r="A2900"/>
    </row>
    <row r="2901" spans="1:1" x14ac:dyDescent="0.55000000000000004">
      <c r="A2901"/>
    </row>
    <row r="2902" spans="1:1" x14ac:dyDescent="0.55000000000000004">
      <c r="A2902"/>
    </row>
    <row r="2903" spans="1:1" x14ac:dyDescent="0.55000000000000004">
      <c r="A2903"/>
    </row>
    <row r="2904" spans="1:1" x14ac:dyDescent="0.55000000000000004">
      <c r="A2904"/>
    </row>
    <row r="2905" spans="1:1" x14ac:dyDescent="0.55000000000000004">
      <c r="A2905"/>
    </row>
    <row r="2906" spans="1:1" x14ac:dyDescent="0.55000000000000004">
      <c r="A2906"/>
    </row>
    <row r="2907" spans="1:1" x14ac:dyDescent="0.55000000000000004">
      <c r="A2907"/>
    </row>
    <row r="2908" spans="1:1" x14ac:dyDescent="0.55000000000000004">
      <c r="A2908"/>
    </row>
    <row r="2909" spans="1:1" x14ac:dyDescent="0.55000000000000004">
      <c r="A2909"/>
    </row>
    <row r="2910" spans="1:1" x14ac:dyDescent="0.55000000000000004">
      <c r="A2910"/>
    </row>
    <row r="2911" spans="1:1" x14ac:dyDescent="0.55000000000000004">
      <c r="A2911"/>
    </row>
    <row r="2912" spans="1:1" x14ac:dyDescent="0.55000000000000004">
      <c r="A2912"/>
    </row>
    <row r="2913" spans="1:1" x14ac:dyDescent="0.55000000000000004">
      <c r="A2913"/>
    </row>
    <row r="2914" spans="1:1" x14ac:dyDescent="0.55000000000000004">
      <c r="A2914"/>
    </row>
    <row r="2915" spans="1:1" x14ac:dyDescent="0.55000000000000004">
      <c r="A2915"/>
    </row>
    <row r="2916" spans="1:1" x14ac:dyDescent="0.55000000000000004">
      <c r="A2916"/>
    </row>
    <row r="2917" spans="1:1" x14ac:dyDescent="0.55000000000000004">
      <c r="A2917"/>
    </row>
    <row r="2918" spans="1:1" x14ac:dyDescent="0.55000000000000004">
      <c r="A2918"/>
    </row>
    <row r="2919" spans="1:1" x14ac:dyDescent="0.55000000000000004">
      <c r="A2919"/>
    </row>
    <row r="2920" spans="1:1" x14ac:dyDescent="0.55000000000000004">
      <c r="A2920"/>
    </row>
    <row r="2921" spans="1:1" x14ac:dyDescent="0.55000000000000004">
      <c r="A2921"/>
    </row>
    <row r="2922" spans="1:1" x14ac:dyDescent="0.55000000000000004">
      <c r="A2922"/>
    </row>
    <row r="2923" spans="1:1" x14ac:dyDescent="0.55000000000000004">
      <c r="A2923"/>
    </row>
    <row r="2924" spans="1:1" x14ac:dyDescent="0.55000000000000004">
      <c r="A2924"/>
    </row>
    <row r="2925" spans="1:1" x14ac:dyDescent="0.55000000000000004">
      <c r="A2925"/>
    </row>
    <row r="2926" spans="1:1" x14ac:dyDescent="0.55000000000000004">
      <c r="A2926"/>
    </row>
    <row r="2927" spans="1:1" x14ac:dyDescent="0.55000000000000004">
      <c r="A2927"/>
    </row>
    <row r="2928" spans="1:1" x14ac:dyDescent="0.55000000000000004">
      <c r="A2928"/>
    </row>
    <row r="2929" spans="1:1" x14ac:dyDescent="0.55000000000000004">
      <c r="A2929"/>
    </row>
    <row r="2930" spans="1:1" x14ac:dyDescent="0.55000000000000004">
      <c r="A2930"/>
    </row>
    <row r="2931" spans="1:1" x14ac:dyDescent="0.55000000000000004">
      <c r="A2931"/>
    </row>
    <row r="2932" spans="1:1" x14ac:dyDescent="0.55000000000000004">
      <c r="A2932"/>
    </row>
    <row r="2933" spans="1:1" x14ac:dyDescent="0.55000000000000004">
      <c r="A2933"/>
    </row>
    <row r="2934" spans="1:1" x14ac:dyDescent="0.55000000000000004">
      <c r="A2934"/>
    </row>
    <row r="2935" spans="1:1" x14ac:dyDescent="0.55000000000000004">
      <c r="A2935"/>
    </row>
    <row r="2936" spans="1:1" x14ac:dyDescent="0.55000000000000004">
      <c r="A2936"/>
    </row>
    <row r="2937" spans="1:1" x14ac:dyDescent="0.55000000000000004">
      <c r="A2937"/>
    </row>
    <row r="2938" spans="1:1" x14ac:dyDescent="0.55000000000000004">
      <c r="A2938"/>
    </row>
    <row r="2939" spans="1:1" x14ac:dyDescent="0.55000000000000004">
      <c r="A2939"/>
    </row>
    <row r="2940" spans="1:1" x14ac:dyDescent="0.55000000000000004">
      <c r="A2940"/>
    </row>
    <row r="2941" spans="1:1" x14ac:dyDescent="0.55000000000000004">
      <c r="A2941"/>
    </row>
    <row r="2942" spans="1:1" x14ac:dyDescent="0.55000000000000004">
      <c r="A2942"/>
    </row>
    <row r="2943" spans="1:1" x14ac:dyDescent="0.55000000000000004">
      <c r="A2943"/>
    </row>
    <row r="2944" spans="1:1" x14ac:dyDescent="0.55000000000000004">
      <c r="A2944"/>
    </row>
    <row r="2945" spans="1:1" x14ac:dyDescent="0.55000000000000004">
      <c r="A2945"/>
    </row>
    <row r="2946" spans="1:1" x14ac:dyDescent="0.55000000000000004">
      <c r="A2946"/>
    </row>
    <row r="2947" spans="1:1" x14ac:dyDescent="0.55000000000000004">
      <c r="A2947"/>
    </row>
    <row r="2948" spans="1:1" x14ac:dyDescent="0.55000000000000004">
      <c r="A2948"/>
    </row>
    <row r="2949" spans="1:1" x14ac:dyDescent="0.55000000000000004">
      <c r="A2949"/>
    </row>
    <row r="2950" spans="1:1" x14ac:dyDescent="0.55000000000000004">
      <c r="A2950"/>
    </row>
    <row r="2951" spans="1:1" x14ac:dyDescent="0.55000000000000004">
      <c r="A2951"/>
    </row>
    <row r="2952" spans="1:1" x14ac:dyDescent="0.55000000000000004">
      <c r="A2952"/>
    </row>
    <row r="2953" spans="1:1" x14ac:dyDescent="0.55000000000000004">
      <c r="A2953"/>
    </row>
    <row r="2954" spans="1:1" x14ac:dyDescent="0.55000000000000004">
      <c r="A2954"/>
    </row>
    <row r="2955" spans="1:1" x14ac:dyDescent="0.55000000000000004">
      <c r="A2955"/>
    </row>
    <row r="2956" spans="1:1" x14ac:dyDescent="0.55000000000000004">
      <c r="A2956"/>
    </row>
    <row r="2957" spans="1:1" x14ac:dyDescent="0.55000000000000004">
      <c r="A2957"/>
    </row>
    <row r="2958" spans="1:1" x14ac:dyDescent="0.55000000000000004">
      <c r="A2958"/>
    </row>
    <row r="2959" spans="1:1" x14ac:dyDescent="0.55000000000000004">
      <c r="A2959"/>
    </row>
    <row r="2960" spans="1:1" x14ac:dyDescent="0.55000000000000004">
      <c r="A2960"/>
    </row>
    <row r="2961" spans="1:1" x14ac:dyDescent="0.55000000000000004">
      <c r="A2961"/>
    </row>
    <row r="2962" spans="1:1" x14ac:dyDescent="0.55000000000000004">
      <c r="A2962"/>
    </row>
    <row r="2963" spans="1:1" x14ac:dyDescent="0.55000000000000004">
      <c r="A2963"/>
    </row>
    <row r="2964" spans="1:1" x14ac:dyDescent="0.55000000000000004">
      <c r="A2964"/>
    </row>
    <row r="2965" spans="1:1" x14ac:dyDescent="0.55000000000000004">
      <c r="A2965"/>
    </row>
    <row r="2966" spans="1:1" x14ac:dyDescent="0.55000000000000004">
      <c r="A2966"/>
    </row>
    <row r="2967" spans="1:1" x14ac:dyDescent="0.55000000000000004">
      <c r="A2967"/>
    </row>
    <row r="2968" spans="1:1" x14ac:dyDescent="0.55000000000000004">
      <c r="A2968"/>
    </row>
    <row r="2969" spans="1:1" x14ac:dyDescent="0.55000000000000004">
      <c r="A2969"/>
    </row>
    <row r="2970" spans="1:1" x14ac:dyDescent="0.55000000000000004">
      <c r="A2970"/>
    </row>
    <row r="2971" spans="1:1" x14ac:dyDescent="0.55000000000000004">
      <c r="A2971"/>
    </row>
    <row r="2972" spans="1:1" x14ac:dyDescent="0.55000000000000004">
      <c r="A2972"/>
    </row>
    <row r="2973" spans="1:1" x14ac:dyDescent="0.55000000000000004">
      <c r="A2973"/>
    </row>
    <row r="2974" spans="1:1" x14ac:dyDescent="0.55000000000000004">
      <c r="A2974"/>
    </row>
    <row r="2975" spans="1:1" x14ac:dyDescent="0.55000000000000004">
      <c r="A2975"/>
    </row>
    <row r="2976" spans="1:1" x14ac:dyDescent="0.55000000000000004">
      <c r="A2976"/>
    </row>
    <row r="2977" spans="1:1" x14ac:dyDescent="0.55000000000000004">
      <c r="A2977"/>
    </row>
    <row r="2978" spans="1:1" x14ac:dyDescent="0.55000000000000004">
      <c r="A2978"/>
    </row>
    <row r="2979" spans="1:1" x14ac:dyDescent="0.55000000000000004">
      <c r="A2979"/>
    </row>
    <row r="2980" spans="1:1" x14ac:dyDescent="0.55000000000000004">
      <c r="A2980"/>
    </row>
    <row r="2981" spans="1:1" x14ac:dyDescent="0.55000000000000004">
      <c r="A2981"/>
    </row>
    <row r="2982" spans="1:1" x14ac:dyDescent="0.55000000000000004">
      <c r="A2982"/>
    </row>
    <row r="2983" spans="1:1" x14ac:dyDescent="0.55000000000000004">
      <c r="A2983"/>
    </row>
    <row r="2984" spans="1:1" x14ac:dyDescent="0.55000000000000004">
      <c r="A2984"/>
    </row>
    <row r="2985" spans="1:1" x14ac:dyDescent="0.55000000000000004">
      <c r="A2985"/>
    </row>
    <row r="2986" spans="1:1" x14ac:dyDescent="0.55000000000000004">
      <c r="A2986"/>
    </row>
    <row r="2987" spans="1:1" x14ac:dyDescent="0.55000000000000004">
      <c r="A2987"/>
    </row>
    <row r="2988" spans="1:1" x14ac:dyDescent="0.55000000000000004">
      <c r="A2988"/>
    </row>
    <row r="2989" spans="1:1" x14ac:dyDescent="0.55000000000000004">
      <c r="A2989"/>
    </row>
    <row r="2990" spans="1:1" x14ac:dyDescent="0.55000000000000004">
      <c r="A2990"/>
    </row>
    <row r="2991" spans="1:1" x14ac:dyDescent="0.55000000000000004">
      <c r="A2991"/>
    </row>
    <row r="2992" spans="1:1" x14ac:dyDescent="0.55000000000000004">
      <c r="A2992"/>
    </row>
    <row r="2993" spans="1:1" x14ac:dyDescent="0.55000000000000004">
      <c r="A2993"/>
    </row>
    <row r="2994" spans="1:1" x14ac:dyDescent="0.55000000000000004">
      <c r="A2994"/>
    </row>
    <row r="2995" spans="1:1" x14ac:dyDescent="0.55000000000000004">
      <c r="A2995"/>
    </row>
    <row r="2996" spans="1:1" x14ac:dyDescent="0.55000000000000004">
      <c r="A2996"/>
    </row>
    <row r="2997" spans="1:1" x14ac:dyDescent="0.55000000000000004">
      <c r="A2997"/>
    </row>
    <row r="2998" spans="1:1" x14ac:dyDescent="0.55000000000000004">
      <c r="A2998"/>
    </row>
    <row r="2999" spans="1:1" x14ac:dyDescent="0.55000000000000004">
      <c r="A2999"/>
    </row>
    <row r="3000" spans="1:1" x14ac:dyDescent="0.55000000000000004">
      <c r="A3000"/>
    </row>
    <row r="3001" spans="1:1" x14ac:dyDescent="0.55000000000000004">
      <c r="A3001"/>
    </row>
    <row r="3002" spans="1:1" x14ac:dyDescent="0.55000000000000004">
      <c r="A3002"/>
    </row>
    <row r="3003" spans="1:1" x14ac:dyDescent="0.55000000000000004">
      <c r="A3003"/>
    </row>
    <row r="3004" spans="1:1" x14ac:dyDescent="0.55000000000000004">
      <c r="A3004"/>
    </row>
    <row r="3005" spans="1:1" x14ac:dyDescent="0.55000000000000004">
      <c r="A3005"/>
    </row>
    <row r="3006" spans="1:1" x14ac:dyDescent="0.55000000000000004">
      <c r="A3006"/>
    </row>
    <row r="3007" spans="1:1" x14ac:dyDescent="0.55000000000000004">
      <c r="A3007"/>
    </row>
    <row r="3008" spans="1:1" x14ac:dyDescent="0.55000000000000004">
      <c r="A3008"/>
    </row>
    <row r="3009" spans="1:1" x14ac:dyDescent="0.55000000000000004">
      <c r="A3009"/>
    </row>
    <row r="3010" spans="1:1" x14ac:dyDescent="0.55000000000000004">
      <c r="A3010"/>
    </row>
    <row r="3011" spans="1:1" x14ac:dyDescent="0.55000000000000004">
      <c r="A3011"/>
    </row>
    <row r="3012" spans="1:1" x14ac:dyDescent="0.55000000000000004">
      <c r="A3012"/>
    </row>
    <row r="3013" spans="1:1" x14ac:dyDescent="0.55000000000000004">
      <c r="A3013"/>
    </row>
    <row r="3014" spans="1:1" x14ac:dyDescent="0.55000000000000004">
      <c r="A3014"/>
    </row>
    <row r="3015" spans="1:1" x14ac:dyDescent="0.55000000000000004">
      <c r="A3015"/>
    </row>
    <row r="3016" spans="1:1" x14ac:dyDescent="0.55000000000000004">
      <c r="A3016"/>
    </row>
    <row r="3017" spans="1:1" x14ac:dyDescent="0.55000000000000004">
      <c r="A3017"/>
    </row>
    <row r="3018" spans="1:1" x14ac:dyDescent="0.55000000000000004">
      <c r="A3018"/>
    </row>
    <row r="3019" spans="1:1" x14ac:dyDescent="0.55000000000000004">
      <c r="A3019"/>
    </row>
    <row r="3020" spans="1:1" x14ac:dyDescent="0.55000000000000004">
      <c r="A3020"/>
    </row>
    <row r="3021" spans="1:1" x14ac:dyDescent="0.55000000000000004">
      <c r="A3021"/>
    </row>
    <row r="3022" spans="1:1" x14ac:dyDescent="0.55000000000000004">
      <c r="A3022"/>
    </row>
    <row r="3023" spans="1:1" x14ac:dyDescent="0.55000000000000004">
      <c r="A3023"/>
    </row>
    <row r="3024" spans="1:1" x14ac:dyDescent="0.55000000000000004">
      <c r="A3024"/>
    </row>
    <row r="3025" spans="1:1" x14ac:dyDescent="0.55000000000000004">
      <c r="A3025"/>
    </row>
    <row r="3026" spans="1:1" x14ac:dyDescent="0.55000000000000004">
      <c r="A3026"/>
    </row>
    <row r="3027" spans="1:1" x14ac:dyDescent="0.55000000000000004">
      <c r="A3027"/>
    </row>
    <row r="3028" spans="1:1" x14ac:dyDescent="0.55000000000000004">
      <c r="A3028"/>
    </row>
    <row r="3029" spans="1:1" x14ac:dyDescent="0.55000000000000004">
      <c r="A3029"/>
    </row>
    <row r="3030" spans="1:1" x14ac:dyDescent="0.55000000000000004">
      <c r="A3030"/>
    </row>
    <row r="3031" spans="1:1" x14ac:dyDescent="0.55000000000000004">
      <c r="A3031"/>
    </row>
    <row r="3032" spans="1:1" x14ac:dyDescent="0.55000000000000004">
      <c r="A3032"/>
    </row>
    <row r="3033" spans="1:1" x14ac:dyDescent="0.55000000000000004">
      <c r="A3033"/>
    </row>
    <row r="3034" spans="1:1" x14ac:dyDescent="0.55000000000000004">
      <c r="A3034"/>
    </row>
    <row r="3035" spans="1:1" x14ac:dyDescent="0.55000000000000004">
      <c r="A3035"/>
    </row>
    <row r="3036" spans="1:1" x14ac:dyDescent="0.55000000000000004">
      <c r="A3036"/>
    </row>
    <row r="3037" spans="1:1" x14ac:dyDescent="0.55000000000000004">
      <c r="A3037"/>
    </row>
    <row r="3038" spans="1:1" x14ac:dyDescent="0.55000000000000004">
      <c r="A3038"/>
    </row>
    <row r="3039" spans="1:1" x14ac:dyDescent="0.55000000000000004">
      <c r="A3039"/>
    </row>
    <row r="3040" spans="1:1" x14ac:dyDescent="0.55000000000000004">
      <c r="A3040"/>
    </row>
    <row r="3041" spans="1:1" x14ac:dyDescent="0.55000000000000004">
      <c r="A3041"/>
    </row>
    <row r="3042" spans="1:1" x14ac:dyDescent="0.55000000000000004">
      <c r="A3042"/>
    </row>
    <row r="3043" spans="1:1" x14ac:dyDescent="0.55000000000000004">
      <c r="A3043"/>
    </row>
    <row r="3044" spans="1:1" x14ac:dyDescent="0.55000000000000004">
      <c r="A3044"/>
    </row>
    <row r="3045" spans="1:1" x14ac:dyDescent="0.55000000000000004">
      <c r="A3045"/>
    </row>
    <row r="3046" spans="1:1" x14ac:dyDescent="0.55000000000000004">
      <c r="A3046"/>
    </row>
    <row r="3047" spans="1:1" x14ac:dyDescent="0.55000000000000004">
      <c r="A3047"/>
    </row>
    <row r="3048" spans="1:1" x14ac:dyDescent="0.55000000000000004">
      <c r="A3048"/>
    </row>
    <row r="3049" spans="1:1" x14ac:dyDescent="0.55000000000000004">
      <c r="A3049"/>
    </row>
    <row r="3050" spans="1:1" x14ac:dyDescent="0.55000000000000004">
      <c r="A3050"/>
    </row>
    <row r="3051" spans="1:1" x14ac:dyDescent="0.55000000000000004">
      <c r="A3051"/>
    </row>
    <row r="3052" spans="1:1" x14ac:dyDescent="0.55000000000000004">
      <c r="A3052"/>
    </row>
    <row r="3053" spans="1:1" x14ac:dyDescent="0.55000000000000004">
      <c r="A3053"/>
    </row>
    <row r="3054" spans="1:1" x14ac:dyDescent="0.55000000000000004">
      <c r="A3054"/>
    </row>
    <row r="3055" spans="1:1" x14ac:dyDescent="0.55000000000000004">
      <c r="A3055"/>
    </row>
    <row r="3056" spans="1:1" x14ac:dyDescent="0.55000000000000004">
      <c r="A3056"/>
    </row>
    <row r="3057" spans="1:1" x14ac:dyDescent="0.55000000000000004">
      <c r="A3057"/>
    </row>
    <row r="3058" spans="1:1" x14ac:dyDescent="0.55000000000000004">
      <c r="A3058"/>
    </row>
    <row r="3059" spans="1:1" x14ac:dyDescent="0.55000000000000004">
      <c r="A3059"/>
    </row>
    <row r="3060" spans="1:1" x14ac:dyDescent="0.55000000000000004">
      <c r="A3060"/>
    </row>
    <row r="3061" spans="1:1" x14ac:dyDescent="0.55000000000000004">
      <c r="A3061"/>
    </row>
    <row r="3062" spans="1:1" x14ac:dyDescent="0.55000000000000004">
      <c r="A3062"/>
    </row>
    <row r="3063" spans="1:1" x14ac:dyDescent="0.55000000000000004">
      <c r="A3063"/>
    </row>
    <row r="3064" spans="1:1" x14ac:dyDescent="0.55000000000000004">
      <c r="A3064"/>
    </row>
    <row r="3065" spans="1:1" x14ac:dyDescent="0.55000000000000004">
      <c r="A3065"/>
    </row>
    <row r="3066" spans="1:1" x14ac:dyDescent="0.55000000000000004">
      <c r="A3066"/>
    </row>
    <row r="3067" spans="1:1" x14ac:dyDescent="0.55000000000000004">
      <c r="A3067"/>
    </row>
    <row r="3068" spans="1:1" x14ac:dyDescent="0.55000000000000004">
      <c r="A3068"/>
    </row>
    <row r="3069" spans="1:1" x14ac:dyDescent="0.55000000000000004">
      <c r="A3069"/>
    </row>
    <row r="3070" spans="1:1" x14ac:dyDescent="0.55000000000000004">
      <c r="A3070"/>
    </row>
    <row r="3071" spans="1:1" x14ac:dyDescent="0.55000000000000004">
      <c r="A3071"/>
    </row>
    <row r="3072" spans="1:1" x14ac:dyDescent="0.55000000000000004">
      <c r="A3072"/>
    </row>
    <row r="3073" spans="1:1" x14ac:dyDescent="0.55000000000000004">
      <c r="A3073"/>
    </row>
    <row r="3074" spans="1:1" x14ac:dyDescent="0.55000000000000004">
      <c r="A3074"/>
    </row>
    <row r="3075" spans="1:1" x14ac:dyDescent="0.55000000000000004">
      <c r="A3075"/>
    </row>
    <row r="3076" spans="1:1" x14ac:dyDescent="0.55000000000000004">
      <c r="A3076"/>
    </row>
    <row r="3077" spans="1:1" x14ac:dyDescent="0.55000000000000004">
      <c r="A3077"/>
    </row>
    <row r="3078" spans="1:1" x14ac:dyDescent="0.55000000000000004">
      <c r="A3078"/>
    </row>
    <row r="3079" spans="1:1" x14ac:dyDescent="0.55000000000000004">
      <c r="A3079"/>
    </row>
    <row r="3080" spans="1:1" x14ac:dyDescent="0.55000000000000004">
      <c r="A3080"/>
    </row>
    <row r="3081" spans="1:1" x14ac:dyDescent="0.55000000000000004">
      <c r="A3081"/>
    </row>
    <row r="3082" spans="1:1" x14ac:dyDescent="0.55000000000000004">
      <c r="A3082"/>
    </row>
    <row r="3083" spans="1:1" x14ac:dyDescent="0.55000000000000004">
      <c r="A3083"/>
    </row>
    <row r="3084" spans="1:1" x14ac:dyDescent="0.55000000000000004">
      <c r="A3084"/>
    </row>
    <row r="3085" spans="1:1" x14ac:dyDescent="0.55000000000000004">
      <c r="A3085"/>
    </row>
    <row r="3086" spans="1:1" x14ac:dyDescent="0.55000000000000004">
      <c r="A3086"/>
    </row>
    <row r="3087" spans="1:1" x14ac:dyDescent="0.55000000000000004">
      <c r="A3087"/>
    </row>
    <row r="3088" spans="1:1" x14ac:dyDescent="0.55000000000000004">
      <c r="A3088"/>
    </row>
    <row r="3089" spans="1:1" x14ac:dyDescent="0.55000000000000004">
      <c r="A3089"/>
    </row>
    <row r="3090" spans="1:1" x14ac:dyDescent="0.55000000000000004">
      <c r="A3090"/>
    </row>
    <row r="3091" spans="1:1" x14ac:dyDescent="0.55000000000000004">
      <c r="A3091"/>
    </row>
    <row r="3092" spans="1:1" x14ac:dyDescent="0.55000000000000004">
      <c r="A3092"/>
    </row>
    <row r="3093" spans="1:1" x14ac:dyDescent="0.55000000000000004">
      <c r="A3093"/>
    </row>
    <row r="3094" spans="1:1" x14ac:dyDescent="0.55000000000000004">
      <c r="A3094"/>
    </row>
    <row r="3095" spans="1:1" x14ac:dyDescent="0.55000000000000004">
      <c r="A3095"/>
    </row>
    <row r="3096" spans="1:1" x14ac:dyDescent="0.55000000000000004">
      <c r="A3096"/>
    </row>
    <row r="3097" spans="1:1" x14ac:dyDescent="0.55000000000000004">
      <c r="A3097"/>
    </row>
    <row r="3098" spans="1:1" x14ac:dyDescent="0.55000000000000004">
      <c r="A3098"/>
    </row>
    <row r="3099" spans="1:1" x14ac:dyDescent="0.55000000000000004">
      <c r="A3099"/>
    </row>
    <row r="3100" spans="1:1" x14ac:dyDescent="0.55000000000000004">
      <c r="A3100"/>
    </row>
    <row r="3101" spans="1:1" x14ac:dyDescent="0.55000000000000004">
      <c r="A3101"/>
    </row>
    <row r="3102" spans="1:1" x14ac:dyDescent="0.55000000000000004">
      <c r="A3102"/>
    </row>
    <row r="3103" spans="1:1" x14ac:dyDescent="0.55000000000000004">
      <c r="A3103"/>
    </row>
    <row r="3104" spans="1:1" x14ac:dyDescent="0.55000000000000004">
      <c r="A3104"/>
    </row>
    <row r="3105" spans="1:1" x14ac:dyDescent="0.55000000000000004">
      <c r="A3105"/>
    </row>
    <row r="3106" spans="1:1" x14ac:dyDescent="0.55000000000000004">
      <c r="A3106"/>
    </row>
    <row r="3107" spans="1:1" x14ac:dyDescent="0.55000000000000004">
      <c r="A3107"/>
    </row>
    <row r="3108" spans="1:1" x14ac:dyDescent="0.55000000000000004">
      <c r="A3108"/>
    </row>
    <row r="3109" spans="1:1" x14ac:dyDescent="0.55000000000000004">
      <c r="A3109"/>
    </row>
    <row r="3110" spans="1:1" x14ac:dyDescent="0.55000000000000004">
      <c r="A3110"/>
    </row>
    <row r="3111" spans="1:1" x14ac:dyDescent="0.55000000000000004">
      <c r="A3111"/>
    </row>
    <row r="3112" spans="1:1" x14ac:dyDescent="0.55000000000000004">
      <c r="A3112"/>
    </row>
    <row r="3113" spans="1:1" x14ac:dyDescent="0.55000000000000004">
      <c r="A3113"/>
    </row>
    <row r="3114" spans="1:1" x14ac:dyDescent="0.55000000000000004">
      <c r="A3114"/>
    </row>
    <row r="3115" spans="1:1" x14ac:dyDescent="0.55000000000000004">
      <c r="A3115"/>
    </row>
    <row r="3116" spans="1:1" x14ac:dyDescent="0.55000000000000004">
      <c r="A3116"/>
    </row>
    <row r="3117" spans="1:1" x14ac:dyDescent="0.55000000000000004">
      <c r="A3117"/>
    </row>
    <row r="3118" spans="1:1" x14ac:dyDescent="0.55000000000000004">
      <c r="A3118"/>
    </row>
    <row r="3119" spans="1:1" x14ac:dyDescent="0.55000000000000004">
      <c r="A3119"/>
    </row>
    <row r="3120" spans="1:1" x14ac:dyDescent="0.55000000000000004">
      <c r="A3120"/>
    </row>
    <row r="3121" spans="1:1" x14ac:dyDescent="0.55000000000000004">
      <c r="A3121"/>
    </row>
    <row r="3122" spans="1:1" x14ac:dyDescent="0.55000000000000004">
      <c r="A3122"/>
    </row>
    <row r="3123" spans="1:1" x14ac:dyDescent="0.55000000000000004">
      <c r="A3123"/>
    </row>
    <row r="3124" spans="1:1" x14ac:dyDescent="0.55000000000000004">
      <c r="A3124"/>
    </row>
    <row r="3125" spans="1:1" x14ac:dyDescent="0.55000000000000004">
      <c r="A3125"/>
    </row>
    <row r="3126" spans="1:1" x14ac:dyDescent="0.55000000000000004">
      <c r="A3126"/>
    </row>
    <row r="3127" spans="1:1" x14ac:dyDescent="0.55000000000000004">
      <c r="A3127"/>
    </row>
    <row r="3128" spans="1:1" x14ac:dyDescent="0.55000000000000004">
      <c r="A3128"/>
    </row>
    <row r="3129" spans="1:1" x14ac:dyDescent="0.55000000000000004">
      <c r="A3129"/>
    </row>
    <row r="3130" spans="1:1" x14ac:dyDescent="0.55000000000000004">
      <c r="A3130"/>
    </row>
    <row r="3131" spans="1:1" x14ac:dyDescent="0.55000000000000004">
      <c r="A3131"/>
    </row>
    <row r="3132" spans="1:1" x14ac:dyDescent="0.55000000000000004">
      <c r="A3132"/>
    </row>
    <row r="3133" spans="1:1" x14ac:dyDescent="0.55000000000000004">
      <c r="A3133"/>
    </row>
    <row r="3134" spans="1:1" x14ac:dyDescent="0.55000000000000004">
      <c r="A3134"/>
    </row>
    <row r="3135" spans="1:1" x14ac:dyDescent="0.55000000000000004">
      <c r="A3135"/>
    </row>
    <row r="3136" spans="1:1" x14ac:dyDescent="0.55000000000000004">
      <c r="A3136"/>
    </row>
    <row r="3137" spans="1:1" x14ac:dyDescent="0.55000000000000004">
      <c r="A3137"/>
    </row>
    <row r="3138" spans="1:1" x14ac:dyDescent="0.55000000000000004">
      <c r="A3138"/>
    </row>
    <row r="3139" spans="1:1" x14ac:dyDescent="0.55000000000000004">
      <c r="A3139"/>
    </row>
    <row r="3140" spans="1:1" x14ac:dyDescent="0.55000000000000004">
      <c r="A3140"/>
    </row>
    <row r="3141" spans="1:1" x14ac:dyDescent="0.55000000000000004">
      <c r="A3141"/>
    </row>
    <row r="3142" spans="1:1" x14ac:dyDescent="0.55000000000000004">
      <c r="A3142"/>
    </row>
    <row r="3143" spans="1:1" x14ac:dyDescent="0.55000000000000004">
      <c r="A3143"/>
    </row>
    <row r="3144" spans="1:1" x14ac:dyDescent="0.55000000000000004">
      <c r="A3144"/>
    </row>
    <row r="3145" spans="1:1" x14ac:dyDescent="0.55000000000000004">
      <c r="A3145"/>
    </row>
    <row r="3146" spans="1:1" x14ac:dyDescent="0.55000000000000004">
      <c r="A3146"/>
    </row>
    <row r="3147" spans="1:1" x14ac:dyDescent="0.55000000000000004">
      <c r="A3147"/>
    </row>
    <row r="3148" spans="1:1" x14ac:dyDescent="0.55000000000000004">
      <c r="A3148"/>
    </row>
    <row r="3149" spans="1:1" x14ac:dyDescent="0.55000000000000004">
      <c r="A3149"/>
    </row>
    <row r="3150" spans="1:1" x14ac:dyDescent="0.55000000000000004">
      <c r="A3150"/>
    </row>
    <row r="3151" spans="1:1" x14ac:dyDescent="0.55000000000000004">
      <c r="A3151"/>
    </row>
    <row r="3152" spans="1:1" x14ac:dyDescent="0.55000000000000004">
      <c r="A3152"/>
    </row>
    <row r="3153" spans="1:1" x14ac:dyDescent="0.55000000000000004">
      <c r="A3153"/>
    </row>
    <row r="3154" spans="1:1" x14ac:dyDescent="0.55000000000000004">
      <c r="A3154"/>
    </row>
    <row r="3155" spans="1:1" x14ac:dyDescent="0.55000000000000004">
      <c r="A3155"/>
    </row>
    <row r="3156" spans="1:1" x14ac:dyDescent="0.55000000000000004">
      <c r="A3156"/>
    </row>
    <row r="3157" spans="1:1" x14ac:dyDescent="0.55000000000000004">
      <c r="A3157"/>
    </row>
    <row r="3158" spans="1:1" x14ac:dyDescent="0.55000000000000004">
      <c r="A3158"/>
    </row>
    <row r="3159" spans="1:1" x14ac:dyDescent="0.55000000000000004">
      <c r="A3159"/>
    </row>
    <row r="3160" spans="1:1" x14ac:dyDescent="0.55000000000000004">
      <c r="A3160"/>
    </row>
    <row r="3161" spans="1:1" x14ac:dyDescent="0.55000000000000004">
      <c r="A3161"/>
    </row>
    <row r="3162" spans="1:1" x14ac:dyDescent="0.55000000000000004">
      <c r="A3162"/>
    </row>
    <row r="3163" spans="1:1" x14ac:dyDescent="0.55000000000000004">
      <c r="A3163"/>
    </row>
    <row r="3164" spans="1:1" x14ac:dyDescent="0.55000000000000004">
      <c r="A3164"/>
    </row>
    <row r="3165" spans="1:1" x14ac:dyDescent="0.55000000000000004">
      <c r="A3165"/>
    </row>
    <row r="3166" spans="1:1" x14ac:dyDescent="0.55000000000000004">
      <c r="A3166"/>
    </row>
    <row r="3167" spans="1:1" x14ac:dyDescent="0.55000000000000004">
      <c r="A3167"/>
    </row>
    <row r="3168" spans="1:1" x14ac:dyDescent="0.55000000000000004">
      <c r="A3168"/>
    </row>
    <row r="3169" spans="1:1" x14ac:dyDescent="0.55000000000000004">
      <c r="A3169"/>
    </row>
    <row r="3170" spans="1:1" x14ac:dyDescent="0.55000000000000004">
      <c r="A3170"/>
    </row>
    <row r="3171" spans="1:1" x14ac:dyDescent="0.55000000000000004">
      <c r="A3171"/>
    </row>
    <row r="3172" spans="1:1" x14ac:dyDescent="0.55000000000000004">
      <c r="A3172"/>
    </row>
    <row r="3173" spans="1:1" x14ac:dyDescent="0.55000000000000004">
      <c r="A3173"/>
    </row>
    <row r="3174" spans="1:1" x14ac:dyDescent="0.55000000000000004">
      <c r="A3174"/>
    </row>
    <row r="3175" spans="1:1" x14ac:dyDescent="0.55000000000000004">
      <c r="A3175"/>
    </row>
    <row r="3176" spans="1:1" x14ac:dyDescent="0.55000000000000004">
      <c r="A3176"/>
    </row>
    <row r="3177" spans="1:1" x14ac:dyDescent="0.55000000000000004">
      <c r="A3177"/>
    </row>
    <row r="3178" spans="1:1" x14ac:dyDescent="0.55000000000000004">
      <c r="A3178"/>
    </row>
    <row r="3179" spans="1:1" x14ac:dyDescent="0.55000000000000004">
      <c r="A3179"/>
    </row>
    <row r="3180" spans="1:1" x14ac:dyDescent="0.55000000000000004">
      <c r="A3180"/>
    </row>
    <row r="3181" spans="1:1" x14ac:dyDescent="0.55000000000000004">
      <c r="A3181"/>
    </row>
    <row r="3182" spans="1:1" x14ac:dyDescent="0.55000000000000004">
      <c r="A3182"/>
    </row>
    <row r="3183" spans="1:1" x14ac:dyDescent="0.55000000000000004">
      <c r="A3183"/>
    </row>
    <row r="3184" spans="1:1" x14ac:dyDescent="0.55000000000000004">
      <c r="A3184"/>
    </row>
    <row r="3185" spans="1:1" x14ac:dyDescent="0.55000000000000004">
      <c r="A3185"/>
    </row>
    <row r="3186" spans="1:1" x14ac:dyDescent="0.55000000000000004">
      <c r="A3186"/>
    </row>
    <row r="3187" spans="1:1" x14ac:dyDescent="0.55000000000000004">
      <c r="A3187"/>
    </row>
    <row r="3188" spans="1:1" x14ac:dyDescent="0.55000000000000004">
      <c r="A3188"/>
    </row>
    <row r="3189" spans="1:1" x14ac:dyDescent="0.55000000000000004">
      <c r="A3189"/>
    </row>
    <row r="3190" spans="1:1" x14ac:dyDescent="0.55000000000000004">
      <c r="A3190"/>
    </row>
    <row r="3191" spans="1:1" x14ac:dyDescent="0.55000000000000004">
      <c r="A3191"/>
    </row>
    <row r="3192" spans="1:1" x14ac:dyDescent="0.55000000000000004">
      <c r="A3192"/>
    </row>
    <row r="3193" spans="1:1" x14ac:dyDescent="0.55000000000000004">
      <c r="A3193"/>
    </row>
    <row r="3194" spans="1:1" x14ac:dyDescent="0.55000000000000004">
      <c r="A3194"/>
    </row>
    <row r="3195" spans="1:1" x14ac:dyDescent="0.55000000000000004">
      <c r="A3195"/>
    </row>
    <row r="3196" spans="1:1" x14ac:dyDescent="0.55000000000000004">
      <c r="A3196"/>
    </row>
    <row r="3197" spans="1:1" x14ac:dyDescent="0.55000000000000004">
      <c r="A3197"/>
    </row>
    <row r="3198" spans="1:1" x14ac:dyDescent="0.55000000000000004">
      <c r="A3198"/>
    </row>
    <row r="3199" spans="1:1" x14ac:dyDescent="0.55000000000000004">
      <c r="A3199"/>
    </row>
    <row r="3200" spans="1:1" x14ac:dyDescent="0.55000000000000004">
      <c r="A3200"/>
    </row>
    <row r="3201" spans="1:1" x14ac:dyDescent="0.55000000000000004">
      <c r="A3201"/>
    </row>
    <row r="3202" spans="1:1" x14ac:dyDescent="0.55000000000000004">
      <c r="A3202"/>
    </row>
    <row r="3203" spans="1:1" x14ac:dyDescent="0.55000000000000004">
      <c r="A3203"/>
    </row>
    <row r="3204" spans="1:1" x14ac:dyDescent="0.55000000000000004">
      <c r="A3204"/>
    </row>
    <row r="3205" spans="1:1" x14ac:dyDescent="0.55000000000000004">
      <c r="A3205"/>
    </row>
    <row r="3206" spans="1:1" x14ac:dyDescent="0.55000000000000004">
      <c r="A3206"/>
    </row>
    <row r="3207" spans="1:1" x14ac:dyDescent="0.55000000000000004">
      <c r="A3207"/>
    </row>
    <row r="3208" spans="1:1" x14ac:dyDescent="0.55000000000000004">
      <c r="A3208"/>
    </row>
    <row r="3209" spans="1:1" x14ac:dyDescent="0.55000000000000004">
      <c r="A3209"/>
    </row>
    <row r="3210" spans="1:1" x14ac:dyDescent="0.55000000000000004">
      <c r="A3210"/>
    </row>
    <row r="3211" spans="1:1" x14ac:dyDescent="0.55000000000000004">
      <c r="A3211"/>
    </row>
    <row r="3212" spans="1:1" x14ac:dyDescent="0.55000000000000004">
      <c r="A3212"/>
    </row>
    <row r="3213" spans="1:1" x14ac:dyDescent="0.55000000000000004">
      <c r="A3213"/>
    </row>
    <row r="3214" spans="1:1" x14ac:dyDescent="0.55000000000000004">
      <c r="A3214"/>
    </row>
    <row r="3215" spans="1:1" x14ac:dyDescent="0.55000000000000004">
      <c r="A3215"/>
    </row>
    <row r="3216" spans="1:1" x14ac:dyDescent="0.55000000000000004">
      <c r="A3216"/>
    </row>
    <row r="3217" spans="1:1" x14ac:dyDescent="0.55000000000000004">
      <c r="A3217"/>
    </row>
    <row r="3218" spans="1:1" x14ac:dyDescent="0.55000000000000004">
      <c r="A3218"/>
    </row>
    <row r="3219" spans="1:1" x14ac:dyDescent="0.55000000000000004">
      <c r="A3219"/>
    </row>
    <row r="3220" spans="1:1" x14ac:dyDescent="0.55000000000000004">
      <c r="A3220"/>
    </row>
    <row r="3221" spans="1:1" x14ac:dyDescent="0.55000000000000004">
      <c r="A3221"/>
    </row>
    <row r="3222" spans="1:1" x14ac:dyDescent="0.55000000000000004">
      <c r="A3222"/>
    </row>
    <row r="3223" spans="1:1" x14ac:dyDescent="0.55000000000000004">
      <c r="A3223"/>
    </row>
    <row r="3224" spans="1:1" x14ac:dyDescent="0.55000000000000004">
      <c r="A3224"/>
    </row>
    <row r="3225" spans="1:1" x14ac:dyDescent="0.55000000000000004">
      <c r="A3225"/>
    </row>
    <row r="3226" spans="1:1" x14ac:dyDescent="0.55000000000000004">
      <c r="A3226"/>
    </row>
    <row r="3227" spans="1:1" x14ac:dyDescent="0.55000000000000004">
      <c r="A3227"/>
    </row>
    <row r="3228" spans="1:1" x14ac:dyDescent="0.55000000000000004">
      <c r="A3228"/>
    </row>
    <row r="3229" spans="1:1" x14ac:dyDescent="0.55000000000000004">
      <c r="A3229"/>
    </row>
    <row r="3230" spans="1:1" x14ac:dyDescent="0.55000000000000004">
      <c r="A3230"/>
    </row>
    <row r="3231" spans="1:1" x14ac:dyDescent="0.55000000000000004">
      <c r="A3231"/>
    </row>
    <row r="3232" spans="1:1" x14ac:dyDescent="0.55000000000000004">
      <c r="A3232"/>
    </row>
    <row r="3233" spans="1:1" x14ac:dyDescent="0.55000000000000004">
      <c r="A3233"/>
    </row>
    <row r="3234" spans="1:1" x14ac:dyDescent="0.55000000000000004">
      <c r="A3234"/>
    </row>
    <row r="3235" spans="1:1" x14ac:dyDescent="0.55000000000000004">
      <c r="A3235"/>
    </row>
    <row r="3236" spans="1:1" x14ac:dyDescent="0.55000000000000004">
      <c r="A3236"/>
    </row>
    <row r="3237" spans="1:1" x14ac:dyDescent="0.55000000000000004">
      <c r="A3237"/>
    </row>
    <row r="3238" spans="1:1" x14ac:dyDescent="0.55000000000000004">
      <c r="A3238"/>
    </row>
    <row r="3239" spans="1:1" x14ac:dyDescent="0.55000000000000004">
      <c r="A3239"/>
    </row>
    <row r="3240" spans="1:1" x14ac:dyDescent="0.55000000000000004">
      <c r="A3240"/>
    </row>
    <row r="3241" spans="1:1" x14ac:dyDescent="0.55000000000000004">
      <c r="A3241"/>
    </row>
    <row r="3242" spans="1:1" x14ac:dyDescent="0.55000000000000004">
      <c r="A3242"/>
    </row>
    <row r="3243" spans="1:1" x14ac:dyDescent="0.55000000000000004">
      <c r="A3243"/>
    </row>
    <row r="3244" spans="1:1" x14ac:dyDescent="0.55000000000000004">
      <c r="A3244"/>
    </row>
    <row r="3245" spans="1:1" x14ac:dyDescent="0.55000000000000004">
      <c r="A3245"/>
    </row>
    <row r="3246" spans="1:1" x14ac:dyDescent="0.55000000000000004">
      <c r="A3246"/>
    </row>
    <row r="3247" spans="1:1" x14ac:dyDescent="0.55000000000000004">
      <c r="A3247"/>
    </row>
    <row r="3248" spans="1:1" x14ac:dyDescent="0.55000000000000004">
      <c r="A3248"/>
    </row>
    <row r="3249" spans="1:1" x14ac:dyDescent="0.55000000000000004">
      <c r="A3249"/>
    </row>
    <row r="3250" spans="1:1" x14ac:dyDescent="0.55000000000000004">
      <c r="A3250"/>
    </row>
    <row r="3251" spans="1:1" x14ac:dyDescent="0.55000000000000004">
      <c r="A3251"/>
    </row>
    <row r="3252" spans="1:1" x14ac:dyDescent="0.55000000000000004">
      <c r="A3252"/>
    </row>
    <row r="3253" spans="1:1" x14ac:dyDescent="0.55000000000000004">
      <c r="A3253"/>
    </row>
    <row r="3254" spans="1:1" x14ac:dyDescent="0.55000000000000004">
      <c r="A3254"/>
    </row>
    <row r="3255" spans="1:1" x14ac:dyDescent="0.55000000000000004">
      <c r="A3255"/>
    </row>
    <row r="3256" spans="1:1" x14ac:dyDescent="0.55000000000000004">
      <c r="A3256"/>
    </row>
    <row r="3257" spans="1:1" x14ac:dyDescent="0.55000000000000004">
      <c r="A3257"/>
    </row>
    <row r="3258" spans="1:1" x14ac:dyDescent="0.55000000000000004">
      <c r="A3258"/>
    </row>
    <row r="3259" spans="1:1" x14ac:dyDescent="0.55000000000000004">
      <c r="A3259"/>
    </row>
    <row r="3260" spans="1:1" x14ac:dyDescent="0.55000000000000004">
      <c r="A3260"/>
    </row>
    <row r="3261" spans="1:1" x14ac:dyDescent="0.55000000000000004">
      <c r="A3261"/>
    </row>
    <row r="3262" spans="1:1" x14ac:dyDescent="0.55000000000000004">
      <c r="A3262"/>
    </row>
    <row r="3263" spans="1:1" x14ac:dyDescent="0.55000000000000004">
      <c r="A3263"/>
    </row>
    <row r="3264" spans="1:1" x14ac:dyDescent="0.55000000000000004">
      <c r="A3264"/>
    </row>
    <row r="3265" spans="1:1" x14ac:dyDescent="0.55000000000000004">
      <c r="A3265"/>
    </row>
    <row r="3266" spans="1:1" x14ac:dyDescent="0.55000000000000004">
      <c r="A3266"/>
    </row>
    <row r="3267" spans="1:1" x14ac:dyDescent="0.55000000000000004">
      <c r="A3267"/>
    </row>
    <row r="3268" spans="1:1" x14ac:dyDescent="0.55000000000000004">
      <c r="A3268"/>
    </row>
    <row r="3269" spans="1:1" x14ac:dyDescent="0.55000000000000004">
      <c r="A3269"/>
    </row>
    <row r="3270" spans="1:1" x14ac:dyDescent="0.55000000000000004">
      <c r="A3270"/>
    </row>
    <row r="3271" spans="1:1" x14ac:dyDescent="0.55000000000000004">
      <c r="A3271"/>
    </row>
    <row r="3272" spans="1:1" x14ac:dyDescent="0.55000000000000004">
      <c r="A3272"/>
    </row>
    <row r="3273" spans="1:1" x14ac:dyDescent="0.55000000000000004">
      <c r="A3273"/>
    </row>
    <row r="3274" spans="1:1" x14ac:dyDescent="0.55000000000000004">
      <c r="A3274"/>
    </row>
    <row r="3275" spans="1:1" x14ac:dyDescent="0.55000000000000004">
      <c r="A3275"/>
    </row>
    <row r="3276" spans="1:1" x14ac:dyDescent="0.55000000000000004">
      <c r="A3276"/>
    </row>
    <row r="3277" spans="1:1" x14ac:dyDescent="0.55000000000000004">
      <c r="A3277"/>
    </row>
    <row r="3278" spans="1:1" x14ac:dyDescent="0.55000000000000004">
      <c r="A3278"/>
    </row>
    <row r="3279" spans="1:1" x14ac:dyDescent="0.55000000000000004">
      <c r="A3279"/>
    </row>
    <row r="3280" spans="1:1" x14ac:dyDescent="0.55000000000000004">
      <c r="A3280"/>
    </row>
    <row r="3281" spans="1:1" x14ac:dyDescent="0.55000000000000004">
      <c r="A3281"/>
    </row>
    <row r="3282" spans="1:1" x14ac:dyDescent="0.55000000000000004">
      <c r="A3282"/>
    </row>
    <row r="3283" spans="1:1" x14ac:dyDescent="0.55000000000000004">
      <c r="A3283"/>
    </row>
    <row r="3284" spans="1:1" x14ac:dyDescent="0.55000000000000004">
      <c r="A3284"/>
    </row>
    <row r="3285" spans="1:1" x14ac:dyDescent="0.55000000000000004">
      <c r="A3285"/>
    </row>
    <row r="3286" spans="1:1" x14ac:dyDescent="0.55000000000000004">
      <c r="A3286"/>
    </row>
    <row r="3287" spans="1:1" x14ac:dyDescent="0.55000000000000004">
      <c r="A3287"/>
    </row>
    <row r="3288" spans="1:1" x14ac:dyDescent="0.55000000000000004">
      <c r="A3288"/>
    </row>
    <row r="3289" spans="1:1" x14ac:dyDescent="0.55000000000000004">
      <c r="A3289"/>
    </row>
    <row r="3290" spans="1:1" x14ac:dyDescent="0.55000000000000004">
      <c r="A3290"/>
    </row>
    <row r="3291" spans="1:1" x14ac:dyDescent="0.55000000000000004">
      <c r="A3291"/>
    </row>
    <row r="3292" spans="1:1" x14ac:dyDescent="0.55000000000000004">
      <c r="A3292"/>
    </row>
    <row r="3293" spans="1:1" x14ac:dyDescent="0.55000000000000004">
      <c r="A3293"/>
    </row>
    <row r="3294" spans="1:1" x14ac:dyDescent="0.55000000000000004">
      <c r="A3294"/>
    </row>
    <row r="3295" spans="1:1" x14ac:dyDescent="0.55000000000000004">
      <c r="A3295"/>
    </row>
    <row r="3296" spans="1:1" x14ac:dyDescent="0.55000000000000004">
      <c r="A3296"/>
    </row>
    <row r="3297" spans="1:1" x14ac:dyDescent="0.55000000000000004">
      <c r="A3297"/>
    </row>
    <row r="3298" spans="1:1" x14ac:dyDescent="0.55000000000000004">
      <c r="A3298"/>
    </row>
    <row r="3299" spans="1:1" x14ac:dyDescent="0.55000000000000004">
      <c r="A3299"/>
    </row>
    <row r="3300" spans="1:1" x14ac:dyDescent="0.55000000000000004">
      <c r="A3300"/>
    </row>
    <row r="3301" spans="1:1" x14ac:dyDescent="0.55000000000000004">
      <c r="A3301"/>
    </row>
    <row r="3302" spans="1:1" x14ac:dyDescent="0.55000000000000004">
      <c r="A3302"/>
    </row>
    <row r="3303" spans="1:1" x14ac:dyDescent="0.55000000000000004">
      <c r="A3303"/>
    </row>
    <row r="3304" spans="1:1" x14ac:dyDescent="0.55000000000000004">
      <c r="A3304"/>
    </row>
    <row r="3305" spans="1:1" x14ac:dyDescent="0.55000000000000004">
      <c r="A3305"/>
    </row>
    <row r="3306" spans="1:1" x14ac:dyDescent="0.55000000000000004">
      <c r="A3306"/>
    </row>
    <row r="3307" spans="1:1" x14ac:dyDescent="0.55000000000000004">
      <c r="A3307"/>
    </row>
    <row r="3308" spans="1:1" x14ac:dyDescent="0.55000000000000004">
      <c r="A3308"/>
    </row>
    <row r="3309" spans="1:1" x14ac:dyDescent="0.55000000000000004">
      <c r="A3309"/>
    </row>
    <row r="3310" spans="1:1" x14ac:dyDescent="0.55000000000000004">
      <c r="A3310"/>
    </row>
    <row r="3311" spans="1:1" x14ac:dyDescent="0.55000000000000004">
      <c r="A3311"/>
    </row>
    <row r="3312" spans="1:1" x14ac:dyDescent="0.55000000000000004">
      <c r="A3312"/>
    </row>
    <row r="3313" spans="1:1" x14ac:dyDescent="0.55000000000000004">
      <c r="A3313"/>
    </row>
    <row r="3314" spans="1:1" x14ac:dyDescent="0.55000000000000004">
      <c r="A3314"/>
    </row>
    <row r="3315" spans="1:1" x14ac:dyDescent="0.55000000000000004">
      <c r="A3315"/>
    </row>
    <row r="3316" spans="1:1" x14ac:dyDescent="0.55000000000000004">
      <c r="A3316"/>
    </row>
    <row r="3317" spans="1:1" x14ac:dyDescent="0.55000000000000004">
      <c r="A3317"/>
    </row>
    <row r="3318" spans="1:1" x14ac:dyDescent="0.55000000000000004">
      <c r="A3318"/>
    </row>
    <row r="3319" spans="1:1" x14ac:dyDescent="0.55000000000000004">
      <c r="A3319"/>
    </row>
    <row r="3320" spans="1:1" x14ac:dyDescent="0.55000000000000004">
      <c r="A3320"/>
    </row>
    <row r="3321" spans="1:1" x14ac:dyDescent="0.55000000000000004">
      <c r="A3321"/>
    </row>
    <row r="3322" spans="1:1" x14ac:dyDescent="0.55000000000000004">
      <c r="A3322"/>
    </row>
    <row r="3323" spans="1:1" x14ac:dyDescent="0.55000000000000004">
      <c r="A3323"/>
    </row>
    <row r="3324" spans="1:1" x14ac:dyDescent="0.55000000000000004">
      <c r="A3324"/>
    </row>
    <row r="3325" spans="1:1" x14ac:dyDescent="0.55000000000000004">
      <c r="A3325"/>
    </row>
    <row r="3326" spans="1:1" x14ac:dyDescent="0.55000000000000004">
      <c r="A3326"/>
    </row>
    <row r="3327" spans="1:1" x14ac:dyDescent="0.55000000000000004">
      <c r="A3327"/>
    </row>
    <row r="3328" spans="1:1" x14ac:dyDescent="0.55000000000000004">
      <c r="A3328"/>
    </row>
    <row r="3329" spans="1:1" x14ac:dyDescent="0.55000000000000004">
      <c r="A3329"/>
    </row>
    <row r="3330" spans="1:1" x14ac:dyDescent="0.55000000000000004">
      <c r="A3330"/>
    </row>
    <row r="3331" spans="1:1" x14ac:dyDescent="0.55000000000000004">
      <c r="A3331"/>
    </row>
    <row r="3332" spans="1:1" x14ac:dyDescent="0.55000000000000004">
      <c r="A3332"/>
    </row>
    <row r="3333" spans="1:1" x14ac:dyDescent="0.55000000000000004">
      <c r="A3333"/>
    </row>
    <row r="3334" spans="1:1" x14ac:dyDescent="0.55000000000000004">
      <c r="A3334"/>
    </row>
    <row r="3335" spans="1:1" x14ac:dyDescent="0.55000000000000004">
      <c r="A3335"/>
    </row>
    <row r="3336" spans="1:1" x14ac:dyDescent="0.55000000000000004">
      <c r="A3336"/>
    </row>
    <row r="3337" spans="1:1" x14ac:dyDescent="0.55000000000000004">
      <c r="A3337"/>
    </row>
    <row r="3338" spans="1:1" x14ac:dyDescent="0.55000000000000004">
      <c r="A3338"/>
    </row>
    <row r="3339" spans="1:1" x14ac:dyDescent="0.55000000000000004">
      <c r="A3339"/>
    </row>
    <row r="3340" spans="1:1" x14ac:dyDescent="0.55000000000000004">
      <c r="A3340"/>
    </row>
    <row r="3341" spans="1:1" x14ac:dyDescent="0.55000000000000004">
      <c r="A3341"/>
    </row>
    <row r="3342" spans="1:1" x14ac:dyDescent="0.55000000000000004">
      <c r="A3342"/>
    </row>
    <row r="3343" spans="1:1" x14ac:dyDescent="0.55000000000000004">
      <c r="A3343"/>
    </row>
    <row r="3344" spans="1:1" x14ac:dyDescent="0.55000000000000004">
      <c r="A3344"/>
    </row>
    <row r="3345" spans="1:1" x14ac:dyDescent="0.55000000000000004">
      <c r="A3345"/>
    </row>
    <row r="3346" spans="1:1" x14ac:dyDescent="0.55000000000000004">
      <c r="A3346"/>
    </row>
    <row r="3347" spans="1:1" x14ac:dyDescent="0.55000000000000004">
      <c r="A3347"/>
    </row>
    <row r="3348" spans="1:1" x14ac:dyDescent="0.55000000000000004">
      <c r="A3348"/>
    </row>
    <row r="3349" spans="1:1" x14ac:dyDescent="0.55000000000000004">
      <c r="A3349"/>
    </row>
    <row r="3350" spans="1:1" x14ac:dyDescent="0.55000000000000004">
      <c r="A3350"/>
    </row>
    <row r="3351" spans="1:1" x14ac:dyDescent="0.55000000000000004">
      <c r="A3351"/>
    </row>
    <row r="3352" spans="1:1" x14ac:dyDescent="0.55000000000000004">
      <c r="A3352"/>
    </row>
    <row r="3353" spans="1:1" x14ac:dyDescent="0.55000000000000004">
      <c r="A3353"/>
    </row>
    <row r="3354" spans="1:1" x14ac:dyDescent="0.55000000000000004">
      <c r="A3354"/>
    </row>
    <row r="3355" spans="1:1" x14ac:dyDescent="0.55000000000000004">
      <c r="A3355"/>
    </row>
    <row r="3356" spans="1:1" x14ac:dyDescent="0.55000000000000004">
      <c r="A3356"/>
    </row>
    <row r="3357" spans="1:1" x14ac:dyDescent="0.55000000000000004">
      <c r="A3357"/>
    </row>
    <row r="3358" spans="1:1" x14ac:dyDescent="0.55000000000000004">
      <c r="A3358"/>
    </row>
    <row r="3359" spans="1:1" x14ac:dyDescent="0.55000000000000004">
      <c r="A3359"/>
    </row>
    <row r="3360" spans="1:1" x14ac:dyDescent="0.55000000000000004">
      <c r="A3360"/>
    </row>
    <row r="3361" spans="1:1" x14ac:dyDescent="0.55000000000000004">
      <c r="A3361"/>
    </row>
    <row r="3362" spans="1:1" x14ac:dyDescent="0.55000000000000004">
      <c r="A3362"/>
    </row>
    <row r="3363" spans="1:1" x14ac:dyDescent="0.55000000000000004">
      <c r="A3363"/>
    </row>
    <row r="3364" spans="1:1" x14ac:dyDescent="0.55000000000000004">
      <c r="A3364"/>
    </row>
    <row r="3365" spans="1:1" x14ac:dyDescent="0.55000000000000004">
      <c r="A3365"/>
    </row>
    <row r="3366" spans="1:1" x14ac:dyDescent="0.55000000000000004">
      <c r="A3366"/>
    </row>
    <row r="3367" spans="1:1" x14ac:dyDescent="0.55000000000000004">
      <c r="A3367"/>
    </row>
    <row r="3368" spans="1:1" x14ac:dyDescent="0.55000000000000004">
      <c r="A3368"/>
    </row>
    <row r="3369" spans="1:1" x14ac:dyDescent="0.55000000000000004">
      <c r="A3369"/>
    </row>
    <row r="3370" spans="1:1" x14ac:dyDescent="0.55000000000000004">
      <c r="A3370"/>
    </row>
    <row r="3371" spans="1:1" x14ac:dyDescent="0.55000000000000004">
      <c r="A3371"/>
    </row>
    <row r="3372" spans="1:1" x14ac:dyDescent="0.55000000000000004">
      <c r="A3372"/>
    </row>
    <row r="3373" spans="1:1" x14ac:dyDescent="0.55000000000000004">
      <c r="A3373"/>
    </row>
    <row r="3374" spans="1:1" x14ac:dyDescent="0.55000000000000004">
      <c r="A3374"/>
    </row>
    <row r="3375" spans="1:1" x14ac:dyDescent="0.55000000000000004">
      <c r="A3375"/>
    </row>
    <row r="3376" spans="1:1" x14ac:dyDescent="0.55000000000000004">
      <c r="A3376"/>
    </row>
    <row r="3377" spans="1:1" x14ac:dyDescent="0.55000000000000004">
      <c r="A3377"/>
    </row>
    <row r="3378" spans="1:1" x14ac:dyDescent="0.55000000000000004">
      <c r="A3378"/>
    </row>
    <row r="3379" spans="1:1" x14ac:dyDescent="0.55000000000000004">
      <c r="A3379"/>
    </row>
    <row r="3380" spans="1:1" x14ac:dyDescent="0.55000000000000004">
      <c r="A3380"/>
    </row>
    <row r="3381" spans="1:1" x14ac:dyDescent="0.55000000000000004">
      <c r="A3381"/>
    </row>
    <row r="3382" spans="1:1" x14ac:dyDescent="0.55000000000000004">
      <c r="A3382"/>
    </row>
    <row r="3383" spans="1:1" x14ac:dyDescent="0.55000000000000004">
      <c r="A3383"/>
    </row>
    <row r="3384" spans="1:1" x14ac:dyDescent="0.55000000000000004">
      <c r="A3384"/>
    </row>
    <row r="3385" spans="1:1" x14ac:dyDescent="0.55000000000000004">
      <c r="A3385"/>
    </row>
    <row r="3386" spans="1:1" x14ac:dyDescent="0.55000000000000004">
      <c r="A3386"/>
    </row>
    <row r="3387" spans="1:1" x14ac:dyDescent="0.55000000000000004">
      <c r="A3387"/>
    </row>
    <row r="3388" spans="1:1" x14ac:dyDescent="0.55000000000000004">
      <c r="A3388"/>
    </row>
    <row r="3389" spans="1:1" x14ac:dyDescent="0.55000000000000004">
      <c r="A3389"/>
    </row>
    <row r="3390" spans="1:1" x14ac:dyDescent="0.55000000000000004">
      <c r="A3390"/>
    </row>
    <row r="3391" spans="1:1" x14ac:dyDescent="0.55000000000000004">
      <c r="A3391"/>
    </row>
    <row r="3392" spans="1:1" x14ac:dyDescent="0.55000000000000004">
      <c r="A3392"/>
    </row>
    <row r="3393" spans="1:1" x14ac:dyDescent="0.55000000000000004">
      <c r="A3393"/>
    </row>
    <row r="3394" spans="1:1" x14ac:dyDescent="0.55000000000000004">
      <c r="A3394"/>
    </row>
    <row r="3395" spans="1:1" x14ac:dyDescent="0.55000000000000004">
      <c r="A3395"/>
    </row>
    <row r="3396" spans="1:1" x14ac:dyDescent="0.55000000000000004">
      <c r="A3396"/>
    </row>
    <row r="3397" spans="1:1" x14ac:dyDescent="0.55000000000000004">
      <c r="A3397"/>
    </row>
    <row r="3398" spans="1:1" x14ac:dyDescent="0.55000000000000004">
      <c r="A3398"/>
    </row>
    <row r="3399" spans="1:1" x14ac:dyDescent="0.55000000000000004">
      <c r="A3399"/>
    </row>
    <row r="3400" spans="1:1" x14ac:dyDescent="0.55000000000000004">
      <c r="A3400"/>
    </row>
    <row r="3401" spans="1:1" x14ac:dyDescent="0.55000000000000004">
      <c r="A3401"/>
    </row>
    <row r="3402" spans="1:1" x14ac:dyDescent="0.55000000000000004">
      <c r="A3402"/>
    </row>
    <row r="3403" spans="1:1" x14ac:dyDescent="0.55000000000000004">
      <c r="A3403"/>
    </row>
    <row r="3404" spans="1:1" x14ac:dyDescent="0.55000000000000004">
      <c r="A3404"/>
    </row>
    <row r="3405" spans="1:1" x14ac:dyDescent="0.55000000000000004">
      <c r="A3405"/>
    </row>
    <row r="3406" spans="1:1" x14ac:dyDescent="0.55000000000000004">
      <c r="A3406"/>
    </row>
    <row r="3407" spans="1:1" x14ac:dyDescent="0.55000000000000004">
      <c r="A3407"/>
    </row>
    <row r="3408" spans="1:1" x14ac:dyDescent="0.55000000000000004">
      <c r="A3408"/>
    </row>
    <row r="3409" spans="1:1" x14ac:dyDescent="0.55000000000000004">
      <c r="A3409"/>
    </row>
    <row r="3410" spans="1:1" x14ac:dyDescent="0.55000000000000004">
      <c r="A3410"/>
    </row>
    <row r="3411" spans="1:1" x14ac:dyDescent="0.55000000000000004">
      <c r="A3411"/>
    </row>
    <row r="3412" spans="1:1" x14ac:dyDescent="0.55000000000000004">
      <c r="A3412"/>
    </row>
    <row r="3413" spans="1:1" x14ac:dyDescent="0.55000000000000004">
      <c r="A3413"/>
    </row>
    <row r="3414" spans="1:1" x14ac:dyDescent="0.55000000000000004">
      <c r="A3414"/>
    </row>
    <row r="3415" spans="1:1" x14ac:dyDescent="0.55000000000000004">
      <c r="A3415"/>
    </row>
    <row r="3416" spans="1:1" x14ac:dyDescent="0.55000000000000004">
      <c r="A3416"/>
    </row>
    <row r="3417" spans="1:1" x14ac:dyDescent="0.55000000000000004">
      <c r="A3417"/>
    </row>
    <row r="3418" spans="1:1" x14ac:dyDescent="0.55000000000000004">
      <c r="A3418"/>
    </row>
    <row r="3419" spans="1:1" x14ac:dyDescent="0.55000000000000004">
      <c r="A3419"/>
    </row>
    <row r="3420" spans="1:1" x14ac:dyDescent="0.55000000000000004">
      <c r="A3420"/>
    </row>
    <row r="3421" spans="1:1" x14ac:dyDescent="0.55000000000000004">
      <c r="A3421"/>
    </row>
    <row r="3422" spans="1:1" x14ac:dyDescent="0.55000000000000004">
      <c r="A3422"/>
    </row>
    <row r="3423" spans="1:1" x14ac:dyDescent="0.55000000000000004">
      <c r="A3423"/>
    </row>
    <row r="3424" spans="1:1" x14ac:dyDescent="0.55000000000000004">
      <c r="A3424"/>
    </row>
    <row r="3425" spans="1:1" x14ac:dyDescent="0.55000000000000004">
      <c r="A3425"/>
    </row>
    <row r="3426" spans="1:1" x14ac:dyDescent="0.55000000000000004">
      <c r="A3426"/>
    </row>
    <row r="3427" spans="1:1" x14ac:dyDescent="0.55000000000000004">
      <c r="A3427"/>
    </row>
    <row r="3428" spans="1:1" x14ac:dyDescent="0.55000000000000004">
      <c r="A3428"/>
    </row>
    <row r="3429" spans="1:1" x14ac:dyDescent="0.55000000000000004">
      <c r="A3429"/>
    </row>
    <row r="3430" spans="1:1" x14ac:dyDescent="0.55000000000000004">
      <c r="A3430"/>
    </row>
    <row r="3431" spans="1:1" x14ac:dyDescent="0.55000000000000004">
      <c r="A3431"/>
    </row>
    <row r="3432" spans="1:1" x14ac:dyDescent="0.55000000000000004">
      <c r="A3432"/>
    </row>
    <row r="3433" spans="1:1" x14ac:dyDescent="0.55000000000000004">
      <c r="A3433"/>
    </row>
    <row r="3434" spans="1:1" x14ac:dyDescent="0.55000000000000004">
      <c r="A3434"/>
    </row>
    <row r="3435" spans="1:1" x14ac:dyDescent="0.55000000000000004">
      <c r="A3435"/>
    </row>
    <row r="3436" spans="1:1" x14ac:dyDescent="0.55000000000000004">
      <c r="A3436"/>
    </row>
    <row r="3437" spans="1:1" x14ac:dyDescent="0.55000000000000004">
      <c r="A3437"/>
    </row>
    <row r="3438" spans="1:1" x14ac:dyDescent="0.55000000000000004">
      <c r="A3438"/>
    </row>
    <row r="3439" spans="1:1" x14ac:dyDescent="0.55000000000000004">
      <c r="A3439"/>
    </row>
    <row r="3440" spans="1:1" x14ac:dyDescent="0.55000000000000004">
      <c r="A3440"/>
    </row>
    <row r="3441" spans="1:1" x14ac:dyDescent="0.55000000000000004">
      <c r="A3441"/>
    </row>
    <row r="3442" spans="1:1" x14ac:dyDescent="0.55000000000000004">
      <c r="A3442"/>
    </row>
    <row r="3443" spans="1:1" x14ac:dyDescent="0.55000000000000004">
      <c r="A3443"/>
    </row>
    <row r="3444" spans="1:1" x14ac:dyDescent="0.55000000000000004">
      <c r="A3444"/>
    </row>
    <row r="3445" spans="1:1" x14ac:dyDescent="0.55000000000000004">
      <c r="A3445"/>
    </row>
    <row r="3446" spans="1:1" x14ac:dyDescent="0.55000000000000004">
      <c r="A3446"/>
    </row>
    <row r="3447" spans="1:1" x14ac:dyDescent="0.55000000000000004">
      <c r="A3447"/>
    </row>
    <row r="3448" spans="1:1" x14ac:dyDescent="0.55000000000000004">
      <c r="A3448"/>
    </row>
    <row r="3449" spans="1:1" x14ac:dyDescent="0.55000000000000004">
      <c r="A3449"/>
    </row>
    <row r="3450" spans="1:1" x14ac:dyDescent="0.55000000000000004">
      <c r="A3450"/>
    </row>
    <row r="3451" spans="1:1" x14ac:dyDescent="0.55000000000000004">
      <c r="A3451"/>
    </row>
    <row r="3452" spans="1:1" x14ac:dyDescent="0.55000000000000004">
      <c r="A3452"/>
    </row>
    <row r="3453" spans="1:1" x14ac:dyDescent="0.55000000000000004">
      <c r="A3453"/>
    </row>
    <row r="3454" spans="1:1" x14ac:dyDescent="0.55000000000000004">
      <c r="A3454"/>
    </row>
    <row r="3455" spans="1:1" x14ac:dyDescent="0.55000000000000004">
      <c r="A3455"/>
    </row>
    <row r="3456" spans="1:1" x14ac:dyDescent="0.55000000000000004">
      <c r="A3456"/>
    </row>
    <row r="3457" spans="1:1" x14ac:dyDescent="0.55000000000000004">
      <c r="A3457"/>
    </row>
    <row r="3458" spans="1:1" x14ac:dyDescent="0.55000000000000004">
      <c r="A3458"/>
    </row>
    <row r="3459" spans="1:1" x14ac:dyDescent="0.55000000000000004">
      <c r="A3459"/>
    </row>
    <row r="3460" spans="1:1" x14ac:dyDescent="0.55000000000000004">
      <c r="A3460"/>
    </row>
    <row r="3461" spans="1:1" x14ac:dyDescent="0.55000000000000004">
      <c r="A3461"/>
    </row>
    <row r="3462" spans="1:1" x14ac:dyDescent="0.55000000000000004">
      <c r="A3462"/>
    </row>
    <row r="3463" spans="1:1" x14ac:dyDescent="0.55000000000000004">
      <c r="A3463"/>
    </row>
    <row r="3464" spans="1:1" x14ac:dyDescent="0.55000000000000004">
      <c r="A3464"/>
    </row>
    <row r="3465" spans="1:1" x14ac:dyDescent="0.55000000000000004">
      <c r="A3465"/>
    </row>
    <row r="3466" spans="1:1" x14ac:dyDescent="0.55000000000000004">
      <c r="A3466"/>
    </row>
    <row r="3467" spans="1:1" x14ac:dyDescent="0.55000000000000004">
      <c r="A3467"/>
    </row>
    <row r="3468" spans="1:1" x14ac:dyDescent="0.55000000000000004">
      <c r="A3468"/>
    </row>
    <row r="3469" spans="1:1" x14ac:dyDescent="0.55000000000000004">
      <c r="A3469"/>
    </row>
    <row r="3470" spans="1:1" x14ac:dyDescent="0.55000000000000004">
      <c r="A3470"/>
    </row>
    <row r="3471" spans="1:1" x14ac:dyDescent="0.55000000000000004">
      <c r="A3471"/>
    </row>
    <row r="3472" spans="1:1" x14ac:dyDescent="0.55000000000000004">
      <c r="A3472"/>
    </row>
    <row r="3473" spans="1:1" x14ac:dyDescent="0.55000000000000004">
      <c r="A3473"/>
    </row>
    <row r="3474" spans="1:1" x14ac:dyDescent="0.55000000000000004">
      <c r="A3474"/>
    </row>
    <row r="3475" spans="1:1" x14ac:dyDescent="0.55000000000000004">
      <c r="A3475"/>
    </row>
    <row r="3476" spans="1:1" x14ac:dyDescent="0.55000000000000004">
      <c r="A3476"/>
    </row>
    <row r="3477" spans="1:1" x14ac:dyDescent="0.55000000000000004">
      <c r="A3477"/>
    </row>
    <row r="3478" spans="1:1" x14ac:dyDescent="0.55000000000000004">
      <c r="A3478"/>
    </row>
    <row r="3479" spans="1:1" x14ac:dyDescent="0.55000000000000004">
      <c r="A3479"/>
    </row>
    <row r="3480" spans="1:1" x14ac:dyDescent="0.55000000000000004">
      <c r="A3480"/>
    </row>
    <row r="3481" spans="1:1" x14ac:dyDescent="0.55000000000000004">
      <c r="A3481"/>
    </row>
    <row r="3482" spans="1:1" x14ac:dyDescent="0.55000000000000004">
      <c r="A3482"/>
    </row>
    <row r="3483" spans="1:1" x14ac:dyDescent="0.55000000000000004">
      <c r="A3483"/>
    </row>
    <row r="3484" spans="1:1" x14ac:dyDescent="0.55000000000000004">
      <c r="A3484"/>
    </row>
    <row r="3485" spans="1:1" x14ac:dyDescent="0.55000000000000004">
      <c r="A3485"/>
    </row>
    <row r="3486" spans="1:1" x14ac:dyDescent="0.55000000000000004">
      <c r="A3486"/>
    </row>
    <row r="3487" spans="1:1" x14ac:dyDescent="0.55000000000000004">
      <c r="A3487"/>
    </row>
    <row r="3488" spans="1:1" x14ac:dyDescent="0.55000000000000004">
      <c r="A3488"/>
    </row>
    <row r="3489" spans="1:1" x14ac:dyDescent="0.55000000000000004">
      <c r="A3489"/>
    </row>
    <row r="3490" spans="1:1" x14ac:dyDescent="0.55000000000000004">
      <c r="A3490"/>
    </row>
    <row r="3491" spans="1:1" x14ac:dyDescent="0.55000000000000004">
      <c r="A3491"/>
    </row>
    <row r="3492" spans="1:1" x14ac:dyDescent="0.55000000000000004">
      <c r="A3492"/>
    </row>
    <row r="3493" spans="1:1" x14ac:dyDescent="0.55000000000000004">
      <c r="A3493"/>
    </row>
    <row r="3494" spans="1:1" x14ac:dyDescent="0.55000000000000004">
      <c r="A3494"/>
    </row>
    <row r="3495" spans="1:1" x14ac:dyDescent="0.55000000000000004">
      <c r="A3495"/>
    </row>
    <row r="3496" spans="1:1" x14ac:dyDescent="0.55000000000000004">
      <c r="A3496"/>
    </row>
    <row r="3497" spans="1:1" x14ac:dyDescent="0.55000000000000004">
      <c r="A3497"/>
    </row>
    <row r="3498" spans="1:1" x14ac:dyDescent="0.55000000000000004">
      <c r="A3498"/>
    </row>
    <row r="3499" spans="1:1" x14ac:dyDescent="0.55000000000000004">
      <c r="A3499"/>
    </row>
    <row r="3500" spans="1:1" x14ac:dyDescent="0.55000000000000004">
      <c r="A3500"/>
    </row>
    <row r="3501" spans="1:1" x14ac:dyDescent="0.55000000000000004">
      <c r="A3501"/>
    </row>
    <row r="3502" spans="1:1" x14ac:dyDescent="0.55000000000000004">
      <c r="A3502"/>
    </row>
    <row r="3503" spans="1:1" x14ac:dyDescent="0.55000000000000004">
      <c r="A3503"/>
    </row>
    <row r="3504" spans="1:1" x14ac:dyDescent="0.55000000000000004">
      <c r="A3504"/>
    </row>
    <row r="3505" spans="1:1" x14ac:dyDescent="0.55000000000000004">
      <c r="A3505"/>
    </row>
    <row r="3506" spans="1:1" x14ac:dyDescent="0.55000000000000004">
      <c r="A3506"/>
    </row>
    <row r="3507" spans="1:1" x14ac:dyDescent="0.55000000000000004">
      <c r="A3507"/>
    </row>
    <row r="3508" spans="1:1" x14ac:dyDescent="0.55000000000000004">
      <c r="A3508"/>
    </row>
    <row r="3509" spans="1:1" x14ac:dyDescent="0.55000000000000004">
      <c r="A3509"/>
    </row>
    <row r="3510" spans="1:1" x14ac:dyDescent="0.55000000000000004">
      <c r="A3510"/>
    </row>
    <row r="3511" spans="1:1" x14ac:dyDescent="0.55000000000000004">
      <c r="A3511"/>
    </row>
    <row r="3512" spans="1:1" x14ac:dyDescent="0.55000000000000004">
      <c r="A3512"/>
    </row>
    <row r="3513" spans="1:1" x14ac:dyDescent="0.55000000000000004">
      <c r="A3513"/>
    </row>
    <row r="3514" spans="1:1" x14ac:dyDescent="0.55000000000000004">
      <c r="A3514"/>
    </row>
    <row r="3515" spans="1:1" x14ac:dyDescent="0.55000000000000004">
      <c r="A3515"/>
    </row>
    <row r="3516" spans="1:1" x14ac:dyDescent="0.55000000000000004">
      <c r="A3516"/>
    </row>
    <row r="3517" spans="1:1" x14ac:dyDescent="0.55000000000000004">
      <c r="A3517"/>
    </row>
    <row r="3518" spans="1:1" x14ac:dyDescent="0.55000000000000004">
      <c r="A3518"/>
    </row>
    <row r="3519" spans="1:1" x14ac:dyDescent="0.55000000000000004">
      <c r="A3519"/>
    </row>
    <row r="3520" spans="1:1" x14ac:dyDescent="0.55000000000000004">
      <c r="A3520"/>
    </row>
    <row r="3521" spans="1:1" x14ac:dyDescent="0.55000000000000004">
      <c r="A3521"/>
    </row>
    <row r="3522" spans="1:1" x14ac:dyDescent="0.55000000000000004">
      <c r="A3522"/>
    </row>
    <row r="3523" spans="1:1" x14ac:dyDescent="0.55000000000000004">
      <c r="A3523"/>
    </row>
    <row r="3524" spans="1:1" x14ac:dyDescent="0.55000000000000004">
      <c r="A3524"/>
    </row>
    <row r="3525" spans="1:1" x14ac:dyDescent="0.55000000000000004">
      <c r="A3525"/>
    </row>
    <row r="3526" spans="1:1" x14ac:dyDescent="0.55000000000000004">
      <c r="A3526"/>
    </row>
    <row r="3527" spans="1:1" x14ac:dyDescent="0.55000000000000004">
      <c r="A3527"/>
    </row>
    <row r="3528" spans="1:1" x14ac:dyDescent="0.55000000000000004">
      <c r="A3528"/>
    </row>
    <row r="3529" spans="1:1" x14ac:dyDescent="0.55000000000000004">
      <c r="A3529"/>
    </row>
    <row r="3530" spans="1:1" x14ac:dyDescent="0.55000000000000004">
      <c r="A3530"/>
    </row>
    <row r="3531" spans="1:1" x14ac:dyDescent="0.55000000000000004">
      <c r="A3531"/>
    </row>
    <row r="3532" spans="1:1" x14ac:dyDescent="0.55000000000000004">
      <c r="A3532"/>
    </row>
    <row r="3533" spans="1:1" x14ac:dyDescent="0.55000000000000004">
      <c r="A3533"/>
    </row>
    <row r="3534" spans="1:1" x14ac:dyDescent="0.55000000000000004">
      <c r="A3534"/>
    </row>
    <row r="3535" spans="1:1" x14ac:dyDescent="0.55000000000000004">
      <c r="A3535"/>
    </row>
    <row r="3536" spans="1:1" x14ac:dyDescent="0.55000000000000004">
      <c r="A3536"/>
    </row>
    <row r="3537" spans="1:1" x14ac:dyDescent="0.55000000000000004">
      <c r="A3537"/>
    </row>
    <row r="3538" spans="1:1" x14ac:dyDescent="0.55000000000000004">
      <c r="A3538"/>
    </row>
    <row r="3539" spans="1:1" x14ac:dyDescent="0.55000000000000004">
      <c r="A3539"/>
    </row>
    <row r="3540" spans="1:1" x14ac:dyDescent="0.55000000000000004">
      <c r="A3540"/>
    </row>
    <row r="3541" spans="1:1" x14ac:dyDescent="0.55000000000000004">
      <c r="A3541"/>
    </row>
    <row r="3542" spans="1:1" x14ac:dyDescent="0.55000000000000004">
      <c r="A3542"/>
    </row>
    <row r="3543" spans="1:1" x14ac:dyDescent="0.55000000000000004">
      <c r="A3543"/>
    </row>
    <row r="3544" spans="1:1" x14ac:dyDescent="0.55000000000000004">
      <c r="A3544"/>
    </row>
    <row r="3545" spans="1:1" x14ac:dyDescent="0.55000000000000004">
      <c r="A3545"/>
    </row>
    <row r="3546" spans="1:1" x14ac:dyDescent="0.55000000000000004">
      <c r="A3546"/>
    </row>
    <row r="3547" spans="1:1" x14ac:dyDescent="0.55000000000000004">
      <c r="A3547"/>
    </row>
    <row r="3548" spans="1:1" x14ac:dyDescent="0.55000000000000004">
      <c r="A3548"/>
    </row>
    <row r="3549" spans="1:1" x14ac:dyDescent="0.55000000000000004">
      <c r="A3549"/>
    </row>
    <row r="3550" spans="1:1" x14ac:dyDescent="0.55000000000000004">
      <c r="A3550"/>
    </row>
    <row r="3551" spans="1:1" x14ac:dyDescent="0.55000000000000004">
      <c r="A3551"/>
    </row>
    <row r="3552" spans="1:1" x14ac:dyDescent="0.55000000000000004">
      <c r="A3552"/>
    </row>
    <row r="3553" spans="1:1" x14ac:dyDescent="0.55000000000000004">
      <c r="A3553"/>
    </row>
    <row r="3554" spans="1:1" x14ac:dyDescent="0.55000000000000004">
      <c r="A3554"/>
    </row>
    <row r="3555" spans="1:1" x14ac:dyDescent="0.55000000000000004">
      <c r="A3555"/>
    </row>
    <row r="3556" spans="1:1" x14ac:dyDescent="0.55000000000000004">
      <c r="A3556"/>
    </row>
    <row r="3557" spans="1:1" x14ac:dyDescent="0.55000000000000004">
      <c r="A3557"/>
    </row>
    <row r="3558" spans="1:1" x14ac:dyDescent="0.55000000000000004">
      <c r="A3558"/>
    </row>
    <row r="3559" spans="1:1" x14ac:dyDescent="0.55000000000000004">
      <c r="A3559"/>
    </row>
    <row r="3560" spans="1:1" x14ac:dyDescent="0.55000000000000004">
      <c r="A3560"/>
    </row>
    <row r="3561" spans="1:1" x14ac:dyDescent="0.55000000000000004">
      <c r="A3561"/>
    </row>
    <row r="3562" spans="1:1" x14ac:dyDescent="0.55000000000000004">
      <c r="A3562"/>
    </row>
    <row r="3563" spans="1:1" x14ac:dyDescent="0.55000000000000004">
      <c r="A3563"/>
    </row>
    <row r="3564" spans="1:1" x14ac:dyDescent="0.55000000000000004">
      <c r="A3564"/>
    </row>
    <row r="3565" spans="1:1" x14ac:dyDescent="0.55000000000000004">
      <c r="A3565"/>
    </row>
    <row r="3566" spans="1:1" x14ac:dyDescent="0.55000000000000004">
      <c r="A3566"/>
    </row>
    <row r="3567" spans="1:1" x14ac:dyDescent="0.55000000000000004">
      <c r="A3567"/>
    </row>
    <row r="3568" spans="1:1" x14ac:dyDescent="0.55000000000000004">
      <c r="A3568"/>
    </row>
    <row r="3569" spans="1:1" x14ac:dyDescent="0.55000000000000004">
      <c r="A3569"/>
    </row>
    <row r="3570" spans="1:1" x14ac:dyDescent="0.55000000000000004">
      <c r="A3570"/>
    </row>
    <row r="3571" spans="1:1" x14ac:dyDescent="0.55000000000000004">
      <c r="A3571"/>
    </row>
    <row r="3572" spans="1:1" x14ac:dyDescent="0.55000000000000004">
      <c r="A3572"/>
    </row>
    <row r="3573" spans="1:1" x14ac:dyDescent="0.55000000000000004">
      <c r="A3573"/>
    </row>
    <row r="3574" spans="1:1" x14ac:dyDescent="0.55000000000000004">
      <c r="A3574"/>
    </row>
    <row r="3575" spans="1:1" x14ac:dyDescent="0.55000000000000004">
      <c r="A3575"/>
    </row>
    <row r="3576" spans="1:1" x14ac:dyDescent="0.55000000000000004">
      <c r="A3576"/>
    </row>
    <row r="3577" spans="1:1" x14ac:dyDescent="0.55000000000000004">
      <c r="A3577"/>
    </row>
    <row r="3578" spans="1:1" x14ac:dyDescent="0.55000000000000004">
      <c r="A3578"/>
    </row>
    <row r="3579" spans="1:1" x14ac:dyDescent="0.55000000000000004">
      <c r="A3579"/>
    </row>
    <row r="3580" spans="1:1" x14ac:dyDescent="0.55000000000000004">
      <c r="A3580"/>
    </row>
    <row r="3581" spans="1:1" x14ac:dyDescent="0.55000000000000004">
      <c r="A3581"/>
    </row>
    <row r="3582" spans="1:1" x14ac:dyDescent="0.55000000000000004">
      <c r="A3582"/>
    </row>
    <row r="3583" spans="1:1" x14ac:dyDescent="0.55000000000000004">
      <c r="A3583"/>
    </row>
    <row r="3584" spans="1:1" x14ac:dyDescent="0.55000000000000004">
      <c r="A3584"/>
    </row>
    <row r="3585" spans="1:1" x14ac:dyDescent="0.55000000000000004">
      <c r="A3585"/>
    </row>
    <row r="3586" spans="1:1" x14ac:dyDescent="0.55000000000000004">
      <c r="A3586"/>
    </row>
    <row r="3587" spans="1:1" x14ac:dyDescent="0.55000000000000004">
      <c r="A3587"/>
    </row>
    <row r="3588" spans="1:1" x14ac:dyDescent="0.55000000000000004">
      <c r="A3588"/>
    </row>
    <row r="3589" spans="1:1" x14ac:dyDescent="0.55000000000000004">
      <c r="A3589"/>
    </row>
    <row r="3590" spans="1:1" x14ac:dyDescent="0.55000000000000004">
      <c r="A3590"/>
    </row>
    <row r="3591" spans="1:1" x14ac:dyDescent="0.55000000000000004">
      <c r="A3591"/>
    </row>
    <row r="3592" spans="1:1" x14ac:dyDescent="0.55000000000000004">
      <c r="A3592"/>
    </row>
    <row r="3593" spans="1:1" x14ac:dyDescent="0.55000000000000004">
      <c r="A3593"/>
    </row>
    <row r="3594" spans="1:1" x14ac:dyDescent="0.55000000000000004">
      <c r="A3594"/>
    </row>
    <row r="3595" spans="1:1" x14ac:dyDescent="0.55000000000000004">
      <c r="A3595"/>
    </row>
    <row r="3596" spans="1:1" x14ac:dyDescent="0.55000000000000004">
      <c r="A3596"/>
    </row>
    <row r="3597" spans="1:1" x14ac:dyDescent="0.55000000000000004">
      <c r="A3597"/>
    </row>
    <row r="3598" spans="1:1" x14ac:dyDescent="0.55000000000000004">
      <c r="A3598"/>
    </row>
    <row r="3599" spans="1:1" x14ac:dyDescent="0.55000000000000004">
      <c r="A3599"/>
    </row>
    <row r="3600" spans="1:1" x14ac:dyDescent="0.55000000000000004">
      <c r="A3600"/>
    </row>
    <row r="3601" spans="1:1" x14ac:dyDescent="0.55000000000000004">
      <c r="A3601"/>
    </row>
    <row r="3602" spans="1:1" x14ac:dyDescent="0.55000000000000004">
      <c r="A3602"/>
    </row>
    <row r="3603" spans="1:1" x14ac:dyDescent="0.55000000000000004">
      <c r="A3603"/>
    </row>
    <row r="3604" spans="1:1" x14ac:dyDescent="0.55000000000000004">
      <c r="A3604"/>
    </row>
    <row r="3605" spans="1:1" x14ac:dyDescent="0.55000000000000004">
      <c r="A3605"/>
    </row>
    <row r="3606" spans="1:1" x14ac:dyDescent="0.55000000000000004">
      <c r="A3606"/>
    </row>
    <row r="3607" spans="1:1" x14ac:dyDescent="0.55000000000000004">
      <c r="A3607"/>
    </row>
    <row r="3608" spans="1:1" x14ac:dyDescent="0.55000000000000004">
      <c r="A3608"/>
    </row>
    <row r="3609" spans="1:1" x14ac:dyDescent="0.55000000000000004">
      <c r="A3609"/>
    </row>
    <row r="3610" spans="1:1" x14ac:dyDescent="0.55000000000000004">
      <c r="A3610"/>
    </row>
    <row r="3611" spans="1:1" x14ac:dyDescent="0.55000000000000004">
      <c r="A3611"/>
    </row>
    <row r="3612" spans="1:1" x14ac:dyDescent="0.55000000000000004">
      <c r="A3612"/>
    </row>
    <row r="3613" spans="1:1" x14ac:dyDescent="0.55000000000000004">
      <c r="A3613"/>
    </row>
    <row r="3614" spans="1:1" x14ac:dyDescent="0.55000000000000004">
      <c r="A3614"/>
    </row>
    <row r="3615" spans="1:1" x14ac:dyDescent="0.55000000000000004">
      <c r="A3615"/>
    </row>
    <row r="3616" spans="1:1" x14ac:dyDescent="0.55000000000000004">
      <c r="A3616"/>
    </row>
    <row r="3617" spans="1:1" x14ac:dyDescent="0.55000000000000004">
      <c r="A3617"/>
    </row>
    <row r="3618" spans="1:1" x14ac:dyDescent="0.55000000000000004">
      <c r="A3618"/>
    </row>
    <row r="3619" spans="1:1" x14ac:dyDescent="0.55000000000000004">
      <c r="A3619"/>
    </row>
    <row r="3620" spans="1:1" x14ac:dyDescent="0.55000000000000004">
      <c r="A3620"/>
    </row>
    <row r="3621" spans="1:1" x14ac:dyDescent="0.55000000000000004">
      <c r="A3621"/>
    </row>
    <row r="3622" spans="1:1" x14ac:dyDescent="0.55000000000000004">
      <c r="A3622"/>
    </row>
    <row r="3623" spans="1:1" x14ac:dyDescent="0.55000000000000004">
      <c r="A3623"/>
    </row>
    <row r="3624" spans="1:1" x14ac:dyDescent="0.55000000000000004">
      <c r="A3624"/>
    </row>
    <row r="3625" spans="1:1" x14ac:dyDescent="0.55000000000000004">
      <c r="A3625"/>
    </row>
    <row r="3626" spans="1:1" x14ac:dyDescent="0.55000000000000004">
      <c r="A3626"/>
    </row>
    <row r="3627" spans="1:1" x14ac:dyDescent="0.55000000000000004">
      <c r="A3627"/>
    </row>
    <row r="3628" spans="1:1" x14ac:dyDescent="0.55000000000000004">
      <c r="A3628"/>
    </row>
    <row r="3629" spans="1:1" x14ac:dyDescent="0.55000000000000004">
      <c r="A3629"/>
    </row>
    <row r="3630" spans="1:1" x14ac:dyDescent="0.55000000000000004">
      <c r="A3630"/>
    </row>
    <row r="3631" spans="1:1" x14ac:dyDescent="0.55000000000000004">
      <c r="A3631"/>
    </row>
    <row r="3632" spans="1:1" x14ac:dyDescent="0.55000000000000004">
      <c r="A3632"/>
    </row>
    <row r="3633" spans="1:1" x14ac:dyDescent="0.55000000000000004">
      <c r="A3633"/>
    </row>
    <row r="3634" spans="1:1" x14ac:dyDescent="0.55000000000000004">
      <c r="A3634"/>
    </row>
    <row r="3635" spans="1:1" x14ac:dyDescent="0.55000000000000004">
      <c r="A3635"/>
    </row>
    <row r="3636" spans="1:1" x14ac:dyDescent="0.55000000000000004">
      <c r="A3636"/>
    </row>
    <row r="3637" spans="1:1" x14ac:dyDescent="0.55000000000000004">
      <c r="A3637"/>
    </row>
    <row r="3638" spans="1:1" x14ac:dyDescent="0.55000000000000004">
      <c r="A3638"/>
    </row>
    <row r="3639" spans="1:1" x14ac:dyDescent="0.55000000000000004">
      <c r="A3639"/>
    </row>
    <row r="3640" spans="1:1" x14ac:dyDescent="0.55000000000000004">
      <c r="A3640"/>
    </row>
    <row r="3641" spans="1:1" x14ac:dyDescent="0.55000000000000004">
      <c r="A3641"/>
    </row>
    <row r="3642" spans="1:1" x14ac:dyDescent="0.55000000000000004">
      <c r="A3642"/>
    </row>
    <row r="3643" spans="1:1" x14ac:dyDescent="0.55000000000000004">
      <c r="A3643"/>
    </row>
    <row r="3644" spans="1:1" x14ac:dyDescent="0.55000000000000004">
      <c r="A3644"/>
    </row>
    <row r="3645" spans="1:1" x14ac:dyDescent="0.55000000000000004">
      <c r="A3645"/>
    </row>
    <row r="3646" spans="1:1" x14ac:dyDescent="0.55000000000000004">
      <c r="A3646"/>
    </row>
    <row r="3647" spans="1:1" x14ac:dyDescent="0.55000000000000004">
      <c r="A3647"/>
    </row>
    <row r="3648" spans="1:1" x14ac:dyDescent="0.55000000000000004">
      <c r="A3648"/>
    </row>
    <row r="3649" spans="1:1" x14ac:dyDescent="0.55000000000000004">
      <c r="A3649"/>
    </row>
    <row r="3650" spans="1:1" x14ac:dyDescent="0.55000000000000004">
      <c r="A3650"/>
    </row>
    <row r="3651" spans="1:1" x14ac:dyDescent="0.55000000000000004">
      <c r="A3651"/>
    </row>
    <row r="3652" spans="1:1" x14ac:dyDescent="0.55000000000000004">
      <c r="A3652"/>
    </row>
    <row r="3653" spans="1:1" x14ac:dyDescent="0.55000000000000004">
      <c r="A3653"/>
    </row>
    <row r="3654" spans="1:1" x14ac:dyDescent="0.55000000000000004">
      <c r="A3654"/>
    </row>
    <row r="3655" spans="1:1" x14ac:dyDescent="0.55000000000000004">
      <c r="A3655"/>
    </row>
    <row r="3656" spans="1:1" x14ac:dyDescent="0.55000000000000004">
      <c r="A3656"/>
    </row>
    <row r="3657" spans="1:1" x14ac:dyDescent="0.55000000000000004">
      <c r="A3657"/>
    </row>
    <row r="3658" spans="1:1" x14ac:dyDescent="0.55000000000000004">
      <c r="A3658"/>
    </row>
    <row r="3659" spans="1:1" x14ac:dyDescent="0.55000000000000004">
      <c r="A3659"/>
    </row>
    <row r="3660" spans="1:1" x14ac:dyDescent="0.55000000000000004">
      <c r="A3660"/>
    </row>
    <row r="3661" spans="1:1" x14ac:dyDescent="0.55000000000000004">
      <c r="A3661"/>
    </row>
    <row r="3662" spans="1:1" x14ac:dyDescent="0.55000000000000004">
      <c r="A3662"/>
    </row>
    <row r="3663" spans="1:1" x14ac:dyDescent="0.55000000000000004">
      <c r="A3663"/>
    </row>
    <row r="3664" spans="1:1" x14ac:dyDescent="0.55000000000000004">
      <c r="A3664"/>
    </row>
    <row r="3665" spans="1:1" x14ac:dyDescent="0.55000000000000004">
      <c r="A3665"/>
    </row>
    <row r="3666" spans="1:1" x14ac:dyDescent="0.55000000000000004">
      <c r="A3666"/>
    </row>
    <row r="3667" spans="1:1" x14ac:dyDescent="0.55000000000000004">
      <c r="A3667"/>
    </row>
    <row r="3668" spans="1:1" x14ac:dyDescent="0.55000000000000004">
      <c r="A3668"/>
    </row>
    <row r="3669" spans="1:1" x14ac:dyDescent="0.55000000000000004">
      <c r="A3669"/>
    </row>
    <row r="3670" spans="1:1" x14ac:dyDescent="0.55000000000000004">
      <c r="A3670"/>
    </row>
    <row r="3671" spans="1:1" x14ac:dyDescent="0.55000000000000004">
      <c r="A3671"/>
    </row>
    <row r="3672" spans="1:1" x14ac:dyDescent="0.55000000000000004">
      <c r="A3672"/>
    </row>
    <row r="3673" spans="1:1" x14ac:dyDescent="0.55000000000000004">
      <c r="A3673"/>
    </row>
    <row r="3674" spans="1:1" x14ac:dyDescent="0.55000000000000004">
      <c r="A3674"/>
    </row>
    <row r="3675" spans="1:1" x14ac:dyDescent="0.55000000000000004">
      <c r="A3675"/>
    </row>
    <row r="3676" spans="1:1" x14ac:dyDescent="0.55000000000000004">
      <c r="A3676"/>
    </row>
    <row r="3677" spans="1:1" x14ac:dyDescent="0.55000000000000004">
      <c r="A3677"/>
    </row>
    <row r="3678" spans="1:1" x14ac:dyDescent="0.55000000000000004">
      <c r="A3678"/>
    </row>
    <row r="3679" spans="1:1" x14ac:dyDescent="0.55000000000000004">
      <c r="A3679"/>
    </row>
    <row r="3680" spans="1:1" x14ac:dyDescent="0.55000000000000004">
      <c r="A3680"/>
    </row>
    <row r="3681" spans="1:1" x14ac:dyDescent="0.55000000000000004">
      <c r="A3681"/>
    </row>
    <row r="3682" spans="1:1" x14ac:dyDescent="0.55000000000000004">
      <c r="A3682"/>
    </row>
    <row r="3683" spans="1:1" x14ac:dyDescent="0.55000000000000004">
      <c r="A3683"/>
    </row>
    <row r="3684" spans="1:1" x14ac:dyDescent="0.55000000000000004">
      <c r="A3684"/>
    </row>
    <row r="3685" spans="1:1" x14ac:dyDescent="0.55000000000000004">
      <c r="A3685"/>
    </row>
    <row r="3686" spans="1:1" x14ac:dyDescent="0.55000000000000004">
      <c r="A3686"/>
    </row>
    <row r="3687" spans="1:1" x14ac:dyDescent="0.55000000000000004">
      <c r="A3687"/>
    </row>
    <row r="3688" spans="1:1" x14ac:dyDescent="0.55000000000000004">
      <c r="A3688"/>
    </row>
    <row r="3689" spans="1:1" x14ac:dyDescent="0.55000000000000004">
      <c r="A3689"/>
    </row>
    <row r="3690" spans="1:1" x14ac:dyDescent="0.55000000000000004">
      <c r="A3690"/>
    </row>
    <row r="3691" spans="1:1" x14ac:dyDescent="0.55000000000000004">
      <c r="A3691"/>
    </row>
    <row r="3692" spans="1:1" x14ac:dyDescent="0.55000000000000004">
      <c r="A3692"/>
    </row>
    <row r="3693" spans="1:1" x14ac:dyDescent="0.55000000000000004">
      <c r="A3693"/>
    </row>
    <row r="3694" spans="1:1" x14ac:dyDescent="0.55000000000000004">
      <c r="A3694"/>
    </row>
    <row r="3695" spans="1:1" x14ac:dyDescent="0.55000000000000004">
      <c r="A3695"/>
    </row>
    <row r="3696" spans="1:1" x14ac:dyDescent="0.55000000000000004">
      <c r="A3696"/>
    </row>
    <row r="3697" spans="1:1" x14ac:dyDescent="0.55000000000000004">
      <c r="A3697"/>
    </row>
    <row r="3698" spans="1:1" x14ac:dyDescent="0.55000000000000004">
      <c r="A3698"/>
    </row>
    <row r="3699" spans="1:1" x14ac:dyDescent="0.55000000000000004">
      <c r="A3699"/>
    </row>
    <row r="3700" spans="1:1" x14ac:dyDescent="0.55000000000000004">
      <c r="A3700"/>
    </row>
    <row r="3701" spans="1:1" x14ac:dyDescent="0.55000000000000004">
      <c r="A3701"/>
    </row>
    <row r="3702" spans="1:1" x14ac:dyDescent="0.55000000000000004">
      <c r="A3702"/>
    </row>
    <row r="3703" spans="1:1" x14ac:dyDescent="0.55000000000000004">
      <c r="A3703"/>
    </row>
    <row r="3704" spans="1:1" x14ac:dyDescent="0.55000000000000004">
      <c r="A3704"/>
    </row>
    <row r="3705" spans="1:1" x14ac:dyDescent="0.55000000000000004">
      <c r="A3705"/>
    </row>
    <row r="3706" spans="1:1" x14ac:dyDescent="0.55000000000000004">
      <c r="A3706"/>
    </row>
    <row r="3707" spans="1:1" x14ac:dyDescent="0.55000000000000004">
      <c r="A3707"/>
    </row>
    <row r="3708" spans="1:1" x14ac:dyDescent="0.55000000000000004">
      <c r="A3708"/>
    </row>
    <row r="3709" spans="1:1" x14ac:dyDescent="0.55000000000000004">
      <c r="A3709"/>
    </row>
    <row r="3710" spans="1:1" x14ac:dyDescent="0.55000000000000004">
      <c r="A3710"/>
    </row>
    <row r="3711" spans="1:1" x14ac:dyDescent="0.55000000000000004">
      <c r="A3711"/>
    </row>
    <row r="3712" spans="1:1" x14ac:dyDescent="0.55000000000000004">
      <c r="A3712"/>
    </row>
    <row r="3713" spans="1:1" x14ac:dyDescent="0.55000000000000004">
      <c r="A3713"/>
    </row>
    <row r="3714" spans="1:1" x14ac:dyDescent="0.55000000000000004">
      <c r="A3714"/>
    </row>
    <row r="3715" spans="1:1" x14ac:dyDescent="0.55000000000000004">
      <c r="A3715"/>
    </row>
    <row r="3716" spans="1:1" x14ac:dyDescent="0.55000000000000004">
      <c r="A3716"/>
    </row>
    <row r="3717" spans="1:1" x14ac:dyDescent="0.55000000000000004">
      <c r="A3717"/>
    </row>
    <row r="3718" spans="1:1" x14ac:dyDescent="0.55000000000000004">
      <c r="A3718"/>
    </row>
    <row r="3719" spans="1:1" x14ac:dyDescent="0.55000000000000004">
      <c r="A3719"/>
    </row>
    <row r="3720" spans="1:1" x14ac:dyDescent="0.55000000000000004">
      <c r="A3720"/>
    </row>
    <row r="3721" spans="1:1" x14ac:dyDescent="0.55000000000000004">
      <c r="A3721"/>
    </row>
    <row r="3722" spans="1:1" x14ac:dyDescent="0.55000000000000004">
      <c r="A3722"/>
    </row>
    <row r="3723" spans="1:1" x14ac:dyDescent="0.55000000000000004">
      <c r="A3723"/>
    </row>
    <row r="3724" spans="1:1" x14ac:dyDescent="0.55000000000000004">
      <c r="A3724"/>
    </row>
    <row r="3725" spans="1:1" x14ac:dyDescent="0.55000000000000004">
      <c r="A3725"/>
    </row>
    <row r="3726" spans="1:1" x14ac:dyDescent="0.55000000000000004">
      <c r="A3726"/>
    </row>
    <row r="3727" spans="1:1" x14ac:dyDescent="0.55000000000000004">
      <c r="A3727"/>
    </row>
    <row r="3728" spans="1:1" x14ac:dyDescent="0.55000000000000004">
      <c r="A3728"/>
    </row>
    <row r="3729" spans="1:1" x14ac:dyDescent="0.55000000000000004">
      <c r="A3729"/>
    </row>
    <row r="3730" spans="1:1" x14ac:dyDescent="0.55000000000000004">
      <c r="A3730"/>
    </row>
    <row r="3731" spans="1:1" x14ac:dyDescent="0.55000000000000004">
      <c r="A3731"/>
    </row>
    <row r="3732" spans="1:1" x14ac:dyDescent="0.55000000000000004">
      <c r="A3732"/>
    </row>
    <row r="3733" spans="1:1" x14ac:dyDescent="0.55000000000000004">
      <c r="A3733"/>
    </row>
    <row r="3734" spans="1:1" x14ac:dyDescent="0.55000000000000004">
      <c r="A3734"/>
    </row>
    <row r="3735" spans="1:1" x14ac:dyDescent="0.55000000000000004">
      <c r="A3735"/>
    </row>
    <row r="3736" spans="1:1" x14ac:dyDescent="0.55000000000000004">
      <c r="A3736"/>
    </row>
    <row r="3737" spans="1:1" x14ac:dyDescent="0.55000000000000004">
      <c r="A3737"/>
    </row>
    <row r="3738" spans="1:1" x14ac:dyDescent="0.55000000000000004">
      <c r="A3738"/>
    </row>
    <row r="3739" spans="1:1" x14ac:dyDescent="0.55000000000000004">
      <c r="A3739"/>
    </row>
    <row r="3740" spans="1:1" x14ac:dyDescent="0.55000000000000004">
      <c r="A3740"/>
    </row>
    <row r="3741" spans="1:1" x14ac:dyDescent="0.55000000000000004">
      <c r="A3741"/>
    </row>
    <row r="3742" spans="1:1" x14ac:dyDescent="0.55000000000000004">
      <c r="A3742"/>
    </row>
    <row r="3743" spans="1:1" x14ac:dyDescent="0.55000000000000004">
      <c r="A3743"/>
    </row>
    <row r="3744" spans="1:1" x14ac:dyDescent="0.55000000000000004">
      <c r="A3744"/>
    </row>
    <row r="3745" spans="1:1" x14ac:dyDescent="0.55000000000000004">
      <c r="A3745"/>
    </row>
    <row r="3746" spans="1:1" x14ac:dyDescent="0.55000000000000004">
      <c r="A3746"/>
    </row>
    <row r="3747" spans="1:1" x14ac:dyDescent="0.55000000000000004">
      <c r="A3747"/>
    </row>
    <row r="3748" spans="1:1" x14ac:dyDescent="0.55000000000000004">
      <c r="A3748"/>
    </row>
    <row r="3749" spans="1:1" x14ac:dyDescent="0.55000000000000004">
      <c r="A3749"/>
    </row>
    <row r="3750" spans="1:1" x14ac:dyDescent="0.55000000000000004">
      <c r="A3750"/>
    </row>
    <row r="3751" spans="1:1" x14ac:dyDescent="0.55000000000000004">
      <c r="A3751"/>
    </row>
    <row r="3752" spans="1:1" x14ac:dyDescent="0.55000000000000004">
      <c r="A3752"/>
    </row>
    <row r="3753" spans="1:1" x14ac:dyDescent="0.55000000000000004">
      <c r="A3753"/>
    </row>
    <row r="3754" spans="1:1" x14ac:dyDescent="0.55000000000000004">
      <c r="A3754"/>
    </row>
    <row r="3755" spans="1:1" x14ac:dyDescent="0.55000000000000004">
      <c r="A3755"/>
    </row>
    <row r="3756" spans="1:1" x14ac:dyDescent="0.55000000000000004">
      <c r="A3756"/>
    </row>
    <row r="3757" spans="1:1" x14ac:dyDescent="0.55000000000000004">
      <c r="A3757"/>
    </row>
    <row r="3758" spans="1:1" x14ac:dyDescent="0.55000000000000004">
      <c r="A3758"/>
    </row>
    <row r="3759" spans="1:1" x14ac:dyDescent="0.55000000000000004">
      <c r="A3759"/>
    </row>
    <row r="3760" spans="1:1" x14ac:dyDescent="0.55000000000000004">
      <c r="A3760"/>
    </row>
    <row r="3761" spans="1:1" x14ac:dyDescent="0.55000000000000004">
      <c r="A3761"/>
    </row>
    <row r="3762" spans="1:1" x14ac:dyDescent="0.55000000000000004">
      <c r="A3762"/>
    </row>
    <row r="3763" spans="1:1" x14ac:dyDescent="0.55000000000000004">
      <c r="A3763"/>
    </row>
    <row r="3764" spans="1:1" x14ac:dyDescent="0.55000000000000004">
      <c r="A3764"/>
    </row>
    <row r="3765" spans="1:1" x14ac:dyDescent="0.55000000000000004">
      <c r="A3765"/>
    </row>
    <row r="3766" spans="1:1" x14ac:dyDescent="0.55000000000000004">
      <c r="A3766"/>
    </row>
    <row r="3767" spans="1:1" x14ac:dyDescent="0.55000000000000004">
      <c r="A3767"/>
    </row>
    <row r="3768" spans="1:1" x14ac:dyDescent="0.55000000000000004">
      <c r="A3768"/>
    </row>
    <row r="3769" spans="1:1" x14ac:dyDescent="0.55000000000000004">
      <c r="A3769"/>
    </row>
    <row r="3770" spans="1:1" x14ac:dyDescent="0.55000000000000004">
      <c r="A3770"/>
    </row>
    <row r="3771" spans="1:1" x14ac:dyDescent="0.55000000000000004">
      <c r="A3771"/>
    </row>
    <row r="3772" spans="1:1" x14ac:dyDescent="0.55000000000000004">
      <c r="A3772"/>
    </row>
    <row r="3773" spans="1:1" x14ac:dyDescent="0.55000000000000004">
      <c r="A3773"/>
    </row>
    <row r="3774" spans="1:1" x14ac:dyDescent="0.55000000000000004">
      <c r="A3774"/>
    </row>
    <row r="3775" spans="1:1" x14ac:dyDescent="0.55000000000000004">
      <c r="A3775"/>
    </row>
    <row r="3776" spans="1:1" x14ac:dyDescent="0.55000000000000004">
      <c r="A3776"/>
    </row>
    <row r="3777" spans="1:1" x14ac:dyDescent="0.55000000000000004">
      <c r="A3777"/>
    </row>
    <row r="3778" spans="1:1" x14ac:dyDescent="0.55000000000000004">
      <c r="A3778"/>
    </row>
    <row r="3779" spans="1:1" x14ac:dyDescent="0.55000000000000004">
      <c r="A3779"/>
    </row>
    <row r="3780" spans="1:1" x14ac:dyDescent="0.55000000000000004">
      <c r="A3780"/>
    </row>
    <row r="3781" spans="1:1" x14ac:dyDescent="0.55000000000000004">
      <c r="A3781"/>
    </row>
    <row r="3782" spans="1:1" x14ac:dyDescent="0.55000000000000004">
      <c r="A3782"/>
    </row>
    <row r="3783" spans="1:1" x14ac:dyDescent="0.55000000000000004">
      <c r="A3783"/>
    </row>
    <row r="3784" spans="1:1" x14ac:dyDescent="0.55000000000000004">
      <c r="A3784"/>
    </row>
    <row r="3785" spans="1:1" x14ac:dyDescent="0.55000000000000004">
      <c r="A3785"/>
    </row>
    <row r="3786" spans="1:1" x14ac:dyDescent="0.55000000000000004">
      <c r="A3786"/>
    </row>
    <row r="3787" spans="1:1" x14ac:dyDescent="0.55000000000000004">
      <c r="A3787"/>
    </row>
    <row r="3788" spans="1:1" x14ac:dyDescent="0.55000000000000004">
      <c r="A3788"/>
    </row>
    <row r="3789" spans="1:1" x14ac:dyDescent="0.55000000000000004">
      <c r="A3789"/>
    </row>
    <row r="3790" spans="1:1" x14ac:dyDescent="0.55000000000000004">
      <c r="A3790"/>
    </row>
    <row r="3791" spans="1:1" x14ac:dyDescent="0.55000000000000004">
      <c r="A3791"/>
    </row>
    <row r="3792" spans="1:1" x14ac:dyDescent="0.55000000000000004">
      <c r="A3792"/>
    </row>
    <row r="3793" spans="1:1" x14ac:dyDescent="0.55000000000000004">
      <c r="A3793"/>
    </row>
    <row r="3794" spans="1:1" x14ac:dyDescent="0.55000000000000004">
      <c r="A3794"/>
    </row>
    <row r="3795" spans="1:1" x14ac:dyDescent="0.55000000000000004">
      <c r="A3795"/>
    </row>
    <row r="3796" spans="1:1" x14ac:dyDescent="0.55000000000000004">
      <c r="A3796"/>
    </row>
    <row r="3797" spans="1:1" x14ac:dyDescent="0.55000000000000004">
      <c r="A3797"/>
    </row>
    <row r="3798" spans="1:1" x14ac:dyDescent="0.55000000000000004">
      <c r="A3798"/>
    </row>
    <row r="3799" spans="1:1" x14ac:dyDescent="0.55000000000000004">
      <c r="A3799"/>
    </row>
    <row r="3800" spans="1:1" x14ac:dyDescent="0.55000000000000004">
      <c r="A3800"/>
    </row>
    <row r="3801" spans="1:1" x14ac:dyDescent="0.55000000000000004">
      <c r="A3801"/>
    </row>
    <row r="3802" spans="1:1" x14ac:dyDescent="0.55000000000000004">
      <c r="A3802"/>
    </row>
    <row r="3803" spans="1:1" x14ac:dyDescent="0.55000000000000004">
      <c r="A3803"/>
    </row>
    <row r="3804" spans="1:1" x14ac:dyDescent="0.55000000000000004">
      <c r="A3804"/>
    </row>
    <row r="3805" spans="1:1" x14ac:dyDescent="0.55000000000000004">
      <c r="A3805"/>
    </row>
    <row r="3806" spans="1:1" x14ac:dyDescent="0.55000000000000004">
      <c r="A3806"/>
    </row>
    <row r="3807" spans="1:1" x14ac:dyDescent="0.55000000000000004">
      <c r="A3807"/>
    </row>
    <row r="3808" spans="1:1" x14ac:dyDescent="0.55000000000000004">
      <c r="A3808"/>
    </row>
    <row r="3809" spans="1:1" x14ac:dyDescent="0.55000000000000004">
      <c r="A3809"/>
    </row>
    <row r="3810" spans="1:1" x14ac:dyDescent="0.55000000000000004">
      <c r="A3810"/>
    </row>
    <row r="3811" spans="1:1" x14ac:dyDescent="0.55000000000000004">
      <c r="A3811"/>
    </row>
    <row r="3812" spans="1:1" x14ac:dyDescent="0.55000000000000004">
      <c r="A3812"/>
    </row>
    <row r="3813" spans="1:1" x14ac:dyDescent="0.55000000000000004">
      <c r="A3813"/>
    </row>
    <row r="3814" spans="1:1" x14ac:dyDescent="0.55000000000000004">
      <c r="A3814"/>
    </row>
    <row r="3815" spans="1:1" x14ac:dyDescent="0.55000000000000004">
      <c r="A3815"/>
    </row>
    <row r="3816" spans="1:1" x14ac:dyDescent="0.55000000000000004">
      <c r="A3816"/>
    </row>
    <row r="3817" spans="1:1" x14ac:dyDescent="0.55000000000000004">
      <c r="A3817"/>
    </row>
    <row r="3818" spans="1:1" x14ac:dyDescent="0.55000000000000004">
      <c r="A3818"/>
    </row>
    <row r="3819" spans="1:1" x14ac:dyDescent="0.55000000000000004">
      <c r="A3819"/>
    </row>
    <row r="3820" spans="1:1" x14ac:dyDescent="0.55000000000000004">
      <c r="A3820"/>
    </row>
    <row r="3821" spans="1:1" x14ac:dyDescent="0.55000000000000004">
      <c r="A3821"/>
    </row>
    <row r="3822" spans="1:1" x14ac:dyDescent="0.55000000000000004">
      <c r="A3822"/>
    </row>
    <row r="3823" spans="1:1" x14ac:dyDescent="0.55000000000000004">
      <c r="A3823"/>
    </row>
    <row r="3824" spans="1:1" x14ac:dyDescent="0.55000000000000004">
      <c r="A3824"/>
    </row>
    <row r="3825" spans="1:1" x14ac:dyDescent="0.55000000000000004">
      <c r="A3825"/>
    </row>
    <row r="3826" spans="1:1" x14ac:dyDescent="0.55000000000000004">
      <c r="A3826"/>
    </row>
    <row r="3827" spans="1:1" x14ac:dyDescent="0.55000000000000004">
      <c r="A3827"/>
    </row>
    <row r="3828" spans="1:1" x14ac:dyDescent="0.55000000000000004">
      <c r="A3828"/>
    </row>
    <row r="3829" spans="1:1" x14ac:dyDescent="0.55000000000000004">
      <c r="A3829"/>
    </row>
    <row r="3830" spans="1:1" x14ac:dyDescent="0.55000000000000004">
      <c r="A3830"/>
    </row>
    <row r="3831" spans="1:1" x14ac:dyDescent="0.55000000000000004">
      <c r="A3831"/>
    </row>
    <row r="3832" spans="1:1" x14ac:dyDescent="0.55000000000000004">
      <c r="A3832"/>
    </row>
    <row r="3833" spans="1:1" x14ac:dyDescent="0.55000000000000004">
      <c r="A3833"/>
    </row>
    <row r="3834" spans="1:1" x14ac:dyDescent="0.55000000000000004">
      <c r="A3834"/>
    </row>
    <row r="3835" spans="1:1" x14ac:dyDescent="0.55000000000000004">
      <c r="A3835"/>
    </row>
    <row r="3836" spans="1:1" x14ac:dyDescent="0.55000000000000004">
      <c r="A3836"/>
    </row>
    <row r="3837" spans="1:1" x14ac:dyDescent="0.55000000000000004">
      <c r="A3837"/>
    </row>
    <row r="3838" spans="1:1" x14ac:dyDescent="0.55000000000000004">
      <c r="A3838"/>
    </row>
    <row r="3839" spans="1:1" x14ac:dyDescent="0.55000000000000004">
      <c r="A3839"/>
    </row>
    <row r="3840" spans="1:1" x14ac:dyDescent="0.55000000000000004">
      <c r="A3840"/>
    </row>
    <row r="3841" spans="1:1" x14ac:dyDescent="0.55000000000000004">
      <c r="A3841"/>
    </row>
    <row r="3842" spans="1:1" x14ac:dyDescent="0.55000000000000004">
      <c r="A3842"/>
    </row>
    <row r="3843" spans="1:1" x14ac:dyDescent="0.55000000000000004">
      <c r="A3843"/>
    </row>
    <row r="3844" spans="1:1" x14ac:dyDescent="0.55000000000000004">
      <c r="A3844"/>
    </row>
    <row r="3845" spans="1:1" x14ac:dyDescent="0.55000000000000004">
      <c r="A3845"/>
    </row>
    <row r="3846" spans="1:1" x14ac:dyDescent="0.55000000000000004">
      <c r="A3846"/>
    </row>
    <row r="3847" spans="1:1" x14ac:dyDescent="0.55000000000000004">
      <c r="A3847"/>
    </row>
    <row r="3848" spans="1:1" x14ac:dyDescent="0.55000000000000004">
      <c r="A3848"/>
    </row>
    <row r="3849" spans="1:1" x14ac:dyDescent="0.55000000000000004">
      <c r="A3849"/>
    </row>
    <row r="3850" spans="1:1" x14ac:dyDescent="0.55000000000000004">
      <c r="A3850"/>
    </row>
    <row r="3851" spans="1:1" x14ac:dyDescent="0.55000000000000004">
      <c r="A3851"/>
    </row>
    <row r="3852" spans="1:1" x14ac:dyDescent="0.55000000000000004">
      <c r="A3852"/>
    </row>
    <row r="3853" spans="1:1" x14ac:dyDescent="0.55000000000000004">
      <c r="A3853"/>
    </row>
    <row r="3854" spans="1:1" x14ac:dyDescent="0.55000000000000004">
      <c r="A3854"/>
    </row>
    <row r="3855" spans="1:1" x14ac:dyDescent="0.55000000000000004">
      <c r="A3855"/>
    </row>
    <row r="3856" spans="1:1" x14ac:dyDescent="0.55000000000000004">
      <c r="A3856"/>
    </row>
    <row r="3857" spans="1:1" x14ac:dyDescent="0.55000000000000004">
      <c r="A3857"/>
    </row>
    <row r="3858" spans="1:1" x14ac:dyDescent="0.55000000000000004">
      <c r="A3858"/>
    </row>
    <row r="3859" spans="1:1" x14ac:dyDescent="0.55000000000000004">
      <c r="A3859"/>
    </row>
    <row r="3860" spans="1:1" x14ac:dyDescent="0.55000000000000004">
      <c r="A3860"/>
    </row>
    <row r="3861" spans="1:1" x14ac:dyDescent="0.55000000000000004">
      <c r="A3861"/>
    </row>
    <row r="3862" spans="1:1" x14ac:dyDescent="0.55000000000000004">
      <c r="A3862"/>
    </row>
    <row r="3863" spans="1:1" x14ac:dyDescent="0.55000000000000004">
      <c r="A3863"/>
    </row>
    <row r="3864" spans="1:1" x14ac:dyDescent="0.55000000000000004">
      <c r="A3864"/>
    </row>
    <row r="3865" spans="1:1" x14ac:dyDescent="0.55000000000000004">
      <c r="A3865"/>
    </row>
    <row r="3866" spans="1:1" x14ac:dyDescent="0.55000000000000004">
      <c r="A3866"/>
    </row>
    <row r="3867" spans="1:1" x14ac:dyDescent="0.55000000000000004">
      <c r="A3867"/>
    </row>
    <row r="3868" spans="1:1" x14ac:dyDescent="0.55000000000000004">
      <c r="A3868"/>
    </row>
    <row r="3869" spans="1:1" x14ac:dyDescent="0.55000000000000004">
      <c r="A3869"/>
    </row>
    <row r="3870" spans="1:1" x14ac:dyDescent="0.55000000000000004">
      <c r="A3870"/>
    </row>
    <row r="3871" spans="1:1" x14ac:dyDescent="0.55000000000000004">
      <c r="A3871"/>
    </row>
    <row r="3872" spans="1:1" x14ac:dyDescent="0.55000000000000004">
      <c r="A3872"/>
    </row>
    <row r="3873" spans="1:1" x14ac:dyDescent="0.55000000000000004">
      <c r="A3873"/>
    </row>
    <row r="3874" spans="1:1" x14ac:dyDescent="0.55000000000000004">
      <c r="A3874"/>
    </row>
    <row r="3875" spans="1:1" x14ac:dyDescent="0.55000000000000004">
      <c r="A3875"/>
    </row>
    <row r="3876" spans="1:1" x14ac:dyDescent="0.55000000000000004">
      <c r="A3876"/>
    </row>
    <row r="3877" spans="1:1" x14ac:dyDescent="0.55000000000000004">
      <c r="A3877"/>
    </row>
    <row r="3878" spans="1:1" x14ac:dyDescent="0.55000000000000004">
      <c r="A3878"/>
    </row>
    <row r="3879" spans="1:1" x14ac:dyDescent="0.55000000000000004">
      <c r="A3879"/>
    </row>
    <row r="3880" spans="1:1" x14ac:dyDescent="0.55000000000000004">
      <c r="A3880"/>
    </row>
    <row r="3881" spans="1:1" x14ac:dyDescent="0.55000000000000004">
      <c r="A3881"/>
    </row>
    <row r="3882" spans="1:1" x14ac:dyDescent="0.55000000000000004">
      <c r="A3882"/>
    </row>
    <row r="3883" spans="1:1" x14ac:dyDescent="0.55000000000000004">
      <c r="A3883"/>
    </row>
    <row r="3884" spans="1:1" x14ac:dyDescent="0.55000000000000004">
      <c r="A3884"/>
    </row>
    <row r="3885" spans="1:1" x14ac:dyDescent="0.55000000000000004">
      <c r="A3885"/>
    </row>
    <row r="3886" spans="1:1" x14ac:dyDescent="0.55000000000000004">
      <c r="A3886"/>
    </row>
    <row r="3887" spans="1:1" x14ac:dyDescent="0.55000000000000004">
      <c r="A3887"/>
    </row>
    <row r="3888" spans="1:1" x14ac:dyDescent="0.55000000000000004">
      <c r="A3888"/>
    </row>
    <row r="3889" spans="1:1" x14ac:dyDescent="0.55000000000000004">
      <c r="A3889"/>
    </row>
    <row r="3890" spans="1:1" x14ac:dyDescent="0.55000000000000004">
      <c r="A3890"/>
    </row>
    <row r="3891" spans="1:1" x14ac:dyDescent="0.55000000000000004">
      <c r="A3891"/>
    </row>
    <row r="3892" spans="1:1" x14ac:dyDescent="0.55000000000000004">
      <c r="A3892"/>
    </row>
    <row r="3893" spans="1:1" x14ac:dyDescent="0.55000000000000004">
      <c r="A3893"/>
    </row>
    <row r="3894" spans="1:1" x14ac:dyDescent="0.55000000000000004">
      <c r="A3894"/>
    </row>
    <row r="3895" spans="1:1" x14ac:dyDescent="0.55000000000000004">
      <c r="A3895"/>
    </row>
    <row r="3896" spans="1:1" x14ac:dyDescent="0.55000000000000004">
      <c r="A3896"/>
    </row>
    <row r="3897" spans="1:1" x14ac:dyDescent="0.55000000000000004">
      <c r="A3897"/>
    </row>
    <row r="3898" spans="1:1" x14ac:dyDescent="0.55000000000000004">
      <c r="A3898"/>
    </row>
    <row r="3899" spans="1:1" x14ac:dyDescent="0.55000000000000004">
      <c r="A3899"/>
    </row>
    <row r="3900" spans="1:1" x14ac:dyDescent="0.55000000000000004">
      <c r="A3900"/>
    </row>
    <row r="3901" spans="1:1" x14ac:dyDescent="0.55000000000000004">
      <c r="A3901"/>
    </row>
    <row r="3902" spans="1:1" x14ac:dyDescent="0.55000000000000004">
      <c r="A3902"/>
    </row>
    <row r="3903" spans="1:1" x14ac:dyDescent="0.55000000000000004">
      <c r="A3903"/>
    </row>
    <row r="3904" spans="1:1" x14ac:dyDescent="0.55000000000000004">
      <c r="A3904"/>
    </row>
    <row r="3905" spans="1:1" x14ac:dyDescent="0.55000000000000004">
      <c r="A3905"/>
    </row>
    <row r="3906" spans="1:1" x14ac:dyDescent="0.55000000000000004">
      <c r="A3906"/>
    </row>
    <row r="3907" spans="1:1" x14ac:dyDescent="0.55000000000000004">
      <c r="A3907"/>
    </row>
    <row r="3908" spans="1:1" x14ac:dyDescent="0.55000000000000004">
      <c r="A3908"/>
    </row>
    <row r="3909" spans="1:1" x14ac:dyDescent="0.55000000000000004">
      <c r="A3909"/>
    </row>
    <row r="3910" spans="1:1" x14ac:dyDescent="0.55000000000000004">
      <c r="A3910"/>
    </row>
    <row r="3911" spans="1:1" x14ac:dyDescent="0.55000000000000004">
      <c r="A3911"/>
    </row>
    <row r="3912" spans="1:1" x14ac:dyDescent="0.55000000000000004">
      <c r="A3912"/>
    </row>
    <row r="3913" spans="1:1" x14ac:dyDescent="0.55000000000000004">
      <c r="A3913"/>
    </row>
    <row r="3914" spans="1:1" x14ac:dyDescent="0.55000000000000004">
      <c r="A3914"/>
    </row>
    <row r="3915" spans="1:1" x14ac:dyDescent="0.55000000000000004">
      <c r="A3915"/>
    </row>
    <row r="3916" spans="1:1" x14ac:dyDescent="0.55000000000000004">
      <c r="A3916"/>
    </row>
    <row r="3917" spans="1:1" x14ac:dyDescent="0.55000000000000004">
      <c r="A3917"/>
    </row>
    <row r="3918" spans="1:1" x14ac:dyDescent="0.55000000000000004">
      <c r="A3918"/>
    </row>
    <row r="3919" spans="1:1" x14ac:dyDescent="0.55000000000000004">
      <c r="A3919"/>
    </row>
    <row r="3920" spans="1:1" x14ac:dyDescent="0.55000000000000004">
      <c r="A3920"/>
    </row>
    <row r="3921" spans="1:1" x14ac:dyDescent="0.55000000000000004">
      <c r="A3921"/>
    </row>
    <row r="3922" spans="1:1" x14ac:dyDescent="0.55000000000000004">
      <c r="A3922"/>
    </row>
    <row r="3923" spans="1:1" x14ac:dyDescent="0.55000000000000004">
      <c r="A3923"/>
    </row>
    <row r="3924" spans="1:1" x14ac:dyDescent="0.55000000000000004">
      <c r="A3924"/>
    </row>
    <row r="3925" spans="1:1" x14ac:dyDescent="0.55000000000000004">
      <c r="A3925"/>
    </row>
    <row r="3926" spans="1:1" x14ac:dyDescent="0.55000000000000004">
      <c r="A3926"/>
    </row>
    <row r="3927" spans="1:1" x14ac:dyDescent="0.55000000000000004">
      <c r="A3927"/>
    </row>
    <row r="3928" spans="1:1" x14ac:dyDescent="0.55000000000000004">
      <c r="A3928"/>
    </row>
    <row r="3929" spans="1:1" x14ac:dyDescent="0.55000000000000004">
      <c r="A3929"/>
    </row>
    <row r="3930" spans="1:1" x14ac:dyDescent="0.55000000000000004">
      <c r="A3930"/>
    </row>
    <row r="3931" spans="1:1" x14ac:dyDescent="0.55000000000000004">
      <c r="A3931"/>
    </row>
    <row r="3932" spans="1:1" x14ac:dyDescent="0.55000000000000004">
      <c r="A3932"/>
    </row>
    <row r="3933" spans="1:1" x14ac:dyDescent="0.55000000000000004">
      <c r="A3933"/>
    </row>
    <row r="3934" spans="1:1" x14ac:dyDescent="0.55000000000000004">
      <c r="A3934"/>
    </row>
    <row r="3935" spans="1:1" x14ac:dyDescent="0.55000000000000004">
      <c r="A3935"/>
    </row>
    <row r="3936" spans="1:1" x14ac:dyDescent="0.55000000000000004">
      <c r="A3936"/>
    </row>
    <row r="3937" spans="1:1" x14ac:dyDescent="0.55000000000000004">
      <c r="A3937"/>
    </row>
    <row r="3938" spans="1:1" x14ac:dyDescent="0.55000000000000004">
      <c r="A3938"/>
    </row>
    <row r="3939" spans="1:1" x14ac:dyDescent="0.55000000000000004">
      <c r="A3939"/>
    </row>
    <row r="3940" spans="1:1" x14ac:dyDescent="0.55000000000000004">
      <c r="A3940"/>
    </row>
    <row r="3941" spans="1:1" x14ac:dyDescent="0.55000000000000004">
      <c r="A3941"/>
    </row>
    <row r="3942" spans="1:1" x14ac:dyDescent="0.55000000000000004">
      <c r="A3942"/>
    </row>
    <row r="3943" spans="1:1" x14ac:dyDescent="0.55000000000000004">
      <c r="A3943"/>
    </row>
    <row r="3944" spans="1:1" x14ac:dyDescent="0.55000000000000004">
      <c r="A3944"/>
    </row>
    <row r="3945" spans="1:1" x14ac:dyDescent="0.55000000000000004">
      <c r="A3945"/>
    </row>
    <row r="3946" spans="1:1" x14ac:dyDescent="0.55000000000000004">
      <c r="A3946"/>
    </row>
    <row r="3947" spans="1:1" x14ac:dyDescent="0.55000000000000004">
      <c r="A3947"/>
    </row>
    <row r="3948" spans="1:1" x14ac:dyDescent="0.55000000000000004">
      <c r="A3948"/>
    </row>
    <row r="3949" spans="1:1" x14ac:dyDescent="0.55000000000000004">
      <c r="A3949"/>
    </row>
    <row r="3950" spans="1:1" x14ac:dyDescent="0.55000000000000004">
      <c r="A3950"/>
    </row>
    <row r="3951" spans="1:1" x14ac:dyDescent="0.55000000000000004">
      <c r="A3951"/>
    </row>
    <row r="3952" spans="1:1" x14ac:dyDescent="0.55000000000000004">
      <c r="A3952"/>
    </row>
    <row r="3953" spans="1:1" x14ac:dyDescent="0.55000000000000004">
      <c r="A3953"/>
    </row>
    <row r="3954" spans="1:1" x14ac:dyDescent="0.55000000000000004">
      <c r="A3954"/>
    </row>
    <row r="3955" spans="1:1" x14ac:dyDescent="0.55000000000000004">
      <c r="A3955"/>
    </row>
    <row r="3956" spans="1:1" x14ac:dyDescent="0.55000000000000004">
      <c r="A3956"/>
    </row>
    <row r="3957" spans="1:1" x14ac:dyDescent="0.55000000000000004">
      <c r="A3957"/>
    </row>
    <row r="3958" spans="1:1" x14ac:dyDescent="0.55000000000000004">
      <c r="A3958"/>
    </row>
    <row r="3959" spans="1:1" x14ac:dyDescent="0.55000000000000004">
      <c r="A3959"/>
    </row>
    <row r="3960" spans="1:1" x14ac:dyDescent="0.55000000000000004">
      <c r="A3960"/>
    </row>
    <row r="3961" spans="1:1" x14ac:dyDescent="0.55000000000000004">
      <c r="A3961"/>
    </row>
    <row r="3962" spans="1:1" x14ac:dyDescent="0.55000000000000004">
      <c r="A3962"/>
    </row>
    <row r="3963" spans="1:1" x14ac:dyDescent="0.55000000000000004">
      <c r="A3963"/>
    </row>
    <row r="3964" spans="1:1" x14ac:dyDescent="0.55000000000000004">
      <c r="A3964"/>
    </row>
    <row r="3965" spans="1:1" x14ac:dyDescent="0.55000000000000004">
      <c r="A3965"/>
    </row>
    <row r="3966" spans="1:1" x14ac:dyDescent="0.55000000000000004">
      <c r="A3966"/>
    </row>
    <row r="3967" spans="1:1" x14ac:dyDescent="0.55000000000000004">
      <c r="A3967"/>
    </row>
    <row r="3968" spans="1:1" x14ac:dyDescent="0.55000000000000004">
      <c r="A3968"/>
    </row>
    <row r="3969" spans="1:1" x14ac:dyDescent="0.55000000000000004">
      <c r="A3969"/>
    </row>
    <row r="3970" spans="1:1" x14ac:dyDescent="0.55000000000000004">
      <c r="A3970"/>
    </row>
    <row r="3971" spans="1:1" x14ac:dyDescent="0.55000000000000004">
      <c r="A3971"/>
    </row>
    <row r="3972" spans="1:1" x14ac:dyDescent="0.55000000000000004">
      <c r="A3972"/>
    </row>
    <row r="3973" spans="1:1" x14ac:dyDescent="0.55000000000000004">
      <c r="A3973"/>
    </row>
    <row r="3974" spans="1:1" x14ac:dyDescent="0.55000000000000004">
      <c r="A3974"/>
    </row>
    <row r="3975" spans="1:1" x14ac:dyDescent="0.55000000000000004">
      <c r="A3975"/>
    </row>
    <row r="3976" spans="1:1" x14ac:dyDescent="0.55000000000000004">
      <c r="A3976"/>
    </row>
    <row r="3977" spans="1:1" x14ac:dyDescent="0.55000000000000004">
      <c r="A3977"/>
    </row>
    <row r="3978" spans="1:1" x14ac:dyDescent="0.55000000000000004">
      <c r="A3978"/>
    </row>
    <row r="3979" spans="1:1" x14ac:dyDescent="0.55000000000000004">
      <c r="A3979"/>
    </row>
    <row r="3980" spans="1:1" x14ac:dyDescent="0.55000000000000004">
      <c r="A3980"/>
    </row>
    <row r="3981" spans="1:1" x14ac:dyDescent="0.55000000000000004">
      <c r="A3981"/>
    </row>
    <row r="3982" spans="1:1" x14ac:dyDescent="0.55000000000000004">
      <c r="A3982"/>
    </row>
    <row r="3983" spans="1:1" x14ac:dyDescent="0.55000000000000004">
      <c r="A3983"/>
    </row>
    <row r="3984" spans="1:1" x14ac:dyDescent="0.55000000000000004">
      <c r="A3984"/>
    </row>
    <row r="3985" spans="1:1" x14ac:dyDescent="0.55000000000000004">
      <c r="A3985"/>
    </row>
    <row r="3986" spans="1:1" x14ac:dyDescent="0.55000000000000004">
      <c r="A3986"/>
    </row>
    <row r="3987" spans="1:1" x14ac:dyDescent="0.55000000000000004">
      <c r="A3987"/>
    </row>
    <row r="3988" spans="1:1" x14ac:dyDescent="0.55000000000000004">
      <c r="A3988"/>
    </row>
    <row r="3989" spans="1:1" x14ac:dyDescent="0.55000000000000004">
      <c r="A3989"/>
    </row>
    <row r="3990" spans="1:1" x14ac:dyDescent="0.55000000000000004">
      <c r="A3990"/>
    </row>
    <row r="3991" spans="1:1" x14ac:dyDescent="0.55000000000000004">
      <c r="A3991"/>
    </row>
    <row r="3992" spans="1:1" x14ac:dyDescent="0.55000000000000004">
      <c r="A3992"/>
    </row>
    <row r="3993" spans="1:1" x14ac:dyDescent="0.55000000000000004">
      <c r="A3993"/>
    </row>
    <row r="3994" spans="1:1" x14ac:dyDescent="0.55000000000000004">
      <c r="A3994"/>
    </row>
    <row r="3995" spans="1:1" x14ac:dyDescent="0.55000000000000004">
      <c r="A3995"/>
    </row>
    <row r="3996" spans="1:1" x14ac:dyDescent="0.55000000000000004">
      <c r="A3996"/>
    </row>
    <row r="3997" spans="1:1" x14ac:dyDescent="0.55000000000000004">
      <c r="A3997"/>
    </row>
    <row r="3998" spans="1:1" x14ac:dyDescent="0.55000000000000004">
      <c r="A3998"/>
    </row>
    <row r="3999" spans="1:1" x14ac:dyDescent="0.55000000000000004">
      <c r="A3999"/>
    </row>
    <row r="4000" spans="1:1" x14ac:dyDescent="0.55000000000000004">
      <c r="A4000"/>
    </row>
    <row r="4001" spans="1:1" x14ac:dyDescent="0.55000000000000004">
      <c r="A4001"/>
    </row>
    <row r="4002" spans="1:1" x14ac:dyDescent="0.55000000000000004">
      <c r="A4002"/>
    </row>
    <row r="4003" spans="1:1" x14ac:dyDescent="0.55000000000000004">
      <c r="A4003"/>
    </row>
    <row r="4004" spans="1:1" x14ac:dyDescent="0.55000000000000004">
      <c r="A4004"/>
    </row>
    <row r="4005" spans="1:1" x14ac:dyDescent="0.55000000000000004">
      <c r="A4005"/>
    </row>
    <row r="4006" spans="1:1" x14ac:dyDescent="0.55000000000000004">
      <c r="A4006"/>
    </row>
    <row r="4007" spans="1:1" x14ac:dyDescent="0.55000000000000004">
      <c r="A4007"/>
    </row>
    <row r="4008" spans="1:1" x14ac:dyDescent="0.55000000000000004">
      <c r="A4008"/>
    </row>
    <row r="4009" spans="1:1" x14ac:dyDescent="0.55000000000000004">
      <c r="A4009"/>
    </row>
    <row r="4010" spans="1:1" x14ac:dyDescent="0.55000000000000004">
      <c r="A4010"/>
    </row>
    <row r="4011" spans="1:1" x14ac:dyDescent="0.55000000000000004">
      <c r="A4011"/>
    </row>
    <row r="4012" spans="1:1" x14ac:dyDescent="0.55000000000000004">
      <c r="A4012"/>
    </row>
    <row r="4013" spans="1:1" x14ac:dyDescent="0.55000000000000004">
      <c r="A4013"/>
    </row>
    <row r="4014" spans="1:1" x14ac:dyDescent="0.55000000000000004">
      <c r="A4014"/>
    </row>
    <row r="4015" spans="1:1" x14ac:dyDescent="0.55000000000000004">
      <c r="A4015"/>
    </row>
    <row r="4016" spans="1:1" x14ac:dyDescent="0.55000000000000004">
      <c r="A4016"/>
    </row>
    <row r="4017" spans="1:1" x14ac:dyDescent="0.55000000000000004">
      <c r="A4017"/>
    </row>
    <row r="4018" spans="1:1" x14ac:dyDescent="0.55000000000000004">
      <c r="A4018"/>
    </row>
    <row r="4019" spans="1:1" x14ac:dyDescent="0.55000000000000004">
      <c r="A4019"/>
    </row>
    <row r="4020" spans="1:1" x14ac:dyDescent="0.55000000000000004">
      <c r="A4020"/>
    </row>
    <row r="4021" spans="1:1" x14ac:dyDescent="0.55000000000000004">
      <c r="A4021"/>
    </row>
    <row r="4022" spans="1:1" x14ac:dyDescent="0.55000000000000004">
      <c r="A4022"/>
    </row>
    <row r="4023" spans="1:1" x14ac:dyDescent="0.55000000000000004">
      <c r="A4023"/>
    </row>
    <row r="4024" spans="1:1" x14ac:dyDescent="0.55000000000000004">
      <c r="A4024"/>
    </row>
    <row r="4025" spans="1:1" x14ac:dyDescent="0.55000000000000004">
      <c r="A4025"/>
    </row>
    <row r="4026" spans="1:1" x14ac:dyDescent="0.55000000000000004">
      <c r="A4026"/>
    </row>
    <row r="4027" spans="1:1" x14ac:dyDescent="0.55000000000000004">
      <c r="A4027"/>
    </row>
    <row r="4028" spans="1:1" x14ac:dyDescent="0.55000000000000004">
      <c r="A4028"/>
    </row>
    <row r="4029" spans="1:1" x14ac:dyDescent="0.55000000000000004">
      <c r="A4029"/>
    </row>
    <row r="4030" spans="1:1" x14ac:dyDescent="0.55000000000000004">
      <c r="A4030"/>
    </row>
    <row r="4031" spans="1:1" x14ac:dyDescent="0.55000000000000004">
      <c r="A4031"/>
    </row>
    <row r="4032" spans="1:1" x14ac:dyDescent="0.55000000000000004">
      <c r="A4032"/>
    </row>
    <row r="4033" spans="1:1" x14ac:dyDescent="0.55000000000000004">
      <c r="A4033"/>
    </row>
    <row r="4034" spans="1:1" x14ac:dyDescent="0.55000000000000004">
      <c r="A4034"/>
    </row>
    <row r="4035" spans="1:1" x14ac:dyDescent="0.55000000000000004">
      <c r="A4035"/>
    </row>
    <row r="4036" spans="1:1" x14ac:dyDescent="0.55000000000000004">
      <c r="A4036"/>
    </row>
    <row r="4037" spans="1:1" x14ac:dyDescent="0.55000000000000004">
      <c r="A4037"/>
    </row>
    <row r="4038" spans="1:1" x14ac:dyDescent="0.55000000000000004">
      <c r="A4038"/>
    </row>
    <row r="4039" spans="1:1" x14ac:dyDescent="0.55000000000000004">
      <c r="A4039"/>
    </row>
    <row r="4040" spans="1:1" x14ac:dyDescent="0.55000000000000004">
      <c r="A4040"/>
    </row>
    <row r="4041" spans="1:1" x14ac:dyDescent="0.55000000000000004">
      <c r="A4041"/>
    </row>
    <row r="4042" spans="1:1" x14ac:dyDescent="0.55000000000000004">
      <c r="A4042"/>
    </row>
    <row r="4043" spans="1:1" x14ac:dyDescent="0.55000000000000004">
      <c r="A4043"/>
    </row>
    <row r="4044" spans="1:1" x14ac:dyDescent="0.55000000000000004">
      <c r="A4044"/>
    </row>
    <row r="4045" spans="1:1" x14ac:dyDescent="0.55000000000000004">
      <c r="A4045"/>
    </row>
    <row r="4046" spans="1:1" x14ac:dyDescent="0.55000000000000004">
      <c r="A4046"/>
    </row>
    <row r="4047" spans="1:1" x14ac:dyDescent="0.55000000000000004">
      <c r="A4047"/>
    </row>
    <row r="4048" spans="1:1" x14ac:dyDescent="0.55000000000000004">
      <c r="A4048"/>
    </row>
    <row r="4049" spans="1:1" x14ac:dyDescent="0.55000000000000004">
      <c r="A4049"/>
    </row>
    <row r="4050" spans="1:1" x14ac:dyDescent="0.55000000000000004">
      <c r="A4050"/>
    </row>
    <row r="4051" spans="1:1" x14ac:dyDescent="0.55000000000000004">
      <c r="A4051"/>
    </row>
    <row r="4052" spans="1:1" x14ac:dyDescent="0.55000000000000004">
      <c r="A4052"/>
    </row>
    <row r="4053" spans="1:1" x14ac:dyDescent="0.55000000000000004">
      <c r="A4053"/>
    </row>
    <row r="4054" spans="1:1" x14ac:dyDescent="0.55000000000000004">
      <c r="A4054"/>
    </row>
    <row r="4055" spans="1:1" x14ac:dyDescent="0.55000000000000004">
      <c r="A4055"/>
    </row>
    <row r="4056" spans="1:1" x14ac:dyDescent="0.55000000000000004">
      <c r="A4056"/>
    </row>
    <row r="4057" spans="1:1" x14ac:dyDescent="0.55000000000000004">
      <c r="A4057"/>
    </row>
    <row r="4058" spans="1:1" x14ac:dyDescent="0.55000000000000004">
      <c r="A4058"/>
    </row>
    <row r="4059" spans="1:1" x14ac:dyDescent="0.55000000000000004">
      <c r="A4059"/>
    </row>
    <row r="4060" spans="1:1" x14ac:dyDescent="0.55000000000000004">
      <c r="A4060"/>
    </row>
    <row r="4061" spans="1:1" x14ac:dyDescent="0.55000000000000004">
      <c r="A4061"/>
    </row>
    <row r="4062" spans="1:1" x14ac:dyDescent="0.55000000000000004">
      <c r="A4062"/>
    </row>
    <row r="4063" spans="1:1" x14ac:dyDescent="0.55000000000000004">
      <c r="A4063"/>
    </row>
    <row r="4064" spans="1:1" x14ac:dyDescent="0.55000000000000004">
      <c r="A4064"/>
    </row>
    <row r="4065" spans="1:1" x14ac:dyDescent="0.55000000000000004">
      <c r="A4065"/>
    </row>
    <row r="4066" spans="1:1" x14ac:dyDescent="0.55000000000000004">
      <c r="A4066"/>
    </row>
    <row r="4067" spans="1:1" x14ac:dyDescent="0.55000000000000004">
      <c r="A4067"/>
    </row>
    <row r="4068" spans="1:1" x14ac:dyDescent="0.55000000000000004">
      <c r="A4068"/>
    </row>
    <row r="4069" spans="1:1" x14ac:dyDescent="0.55000000000000004">
      <c r="A4069"/>
    </row>
    <row r="4070" spans="1:1" x14ac:dyDescent="0.55000000000000004">
      <c r="A4070"/>
    </row>
    <row r="4071" spans="1:1" x14ac:dyDescent="0.55000000000000004">
      <c r="A4071"/>
    </row>
    <row r="4072" spans="1:1" x14ac:dyDescent="0.55000000000000004">
      <c r="A4072"/>
    </row>
    <row r="4073" spans="1:1" x14ac:dyDescent="0.55000000000000004">
      <c r="A4073"/>
    </row>
    <row r="4074" spans="1:1" x14ac:dyDescent="0.55000000000000004">
      <c r="A4074"/>
    </row>
    <row r="4075" spans="1:1" x14ac:dyDescent="0.55000000000000004">
      <c r="A4075"/>
    </row>
    <row r="4076" spans="1:1" x14ac:dyDescent="0.55000000000000004">
      <c r="A4076"/>
    </row>
    <row r="4077" spans="1:1" x14ac:dyDescent="0.55000000000000004">
      <c r="A4077"/>
    </row>
    <row r="4078" spans="1:1" x14ac:dyDescent="0.55000000000000004">
      <c r="A4078"/>
    </row>
    <row r="4079" spans="1:1" x14ac:dyDescent="0.55000000000000004">
      <c r="A4079"/>
    </row>
    <row r="4080" spans="1:1" x14ac:dyDescent="0.55000000000000004">
      <c r="A4080"/>
    </row>
    <row r="4081" spans="1:1" x14ac:dyDescent="0.55000000000000004">
      <c r="A4081"/>
    </row>
    <row r="4082" spans="1:1" x14ac:dyDescent="0.55000000000000004">
      <c r="A4082"/>
    </row>
    <row r="4083" spans="1:1" x14ac:dyDescent="0.55000000000000004">
      <c r="A4083"/>
    </row>
    <row r="4084" spans="1:1" x14ac:dyDescent="0.55000000000000004">
      <c r="A4084"/>
    </row>
    <row r="4085" spans="1:1" x14ac:dyDescent="0.55000000000000004">
      <c r="A4085"/>
    </row>
    <row r="4086" spans="1:1" x14ac:dyDescent="0.55000000000000004">
      <c r="A4086"/>
    </row>
    <row r="4087" spans="1:1" x14ac:dyDescent="0.55000000000000004">
      <c r="A4087"/>
    </row>
    <row r="4088" spans="1:1" x14ac:dyDescent="0.55000000000000004">
      <c r="A4088"/>
    </row>
    <row r="4089" spans="1:1" x14ac:dyDescent="0.55000000000000004">
      <c r="A4089"/>
    </row>
    <row r="4090" spans="1:1" x14ac:dyDescent="0.55000000000000004">
      <c r="A4090"/>
    </row>
    <row r="4091" spans="1:1" x14ac:dyDescent="0.55000000000000004">
      <c r="A4091"/>
    </row>
    <row r="4092" spans="1:1" x14ac:dyDescent="0.55000000000000004">
      <c r="A4092"/>
    </row>
    <row r="4093" spans="1:1" x14ac:dyDescent="0.55000000000000004">
      <c r="A4093"/>
    </row>
    <row r="4094" spans="1:1" x14ac:dyDescent="0.55000000000000004">
      <c r="A4094"/>
    </row>
    <row r="4095" spans="1:1" x14ac:dyDescent="0.55000000000000004">
      <c r="A4095"/>
    </row>
    <row r="4096" spans="1:1" x14ac:dyDescent="0.55000000000000004">
      <c r="A4096"/>
    </row>
    <row r="4097" spans="1:1" x14ac:dyDescent="0.55000000000000004">
      <c r="A4097"/>
    </row>
    <row r="4098" spans="1:1" x14ac:dyDescent="0.55000000000000004">
      <c r="A4098"/>
    </row>
    <row r="4099" spans="1:1" x14ac:dyDescent="0.55000000000000004">
      <c r="A4099"/>
    </row>
    <row r="4100" spans="1:1" x14ac:dyDescent="0.55000000000000004">
      <c r="A4100"/>
    </row>
    <row r="4101" spans="1:1" x14ac:dyDescent="0.55000000000000004">
      <c r="A4101"/>
    </row>
    <row r="4102" spans="1:1" x14ac:dyDescent="0.55000000000000004">
      <c r="A4102"/>
    </row>
    <row r="4103" spans="1:1" x14ac:dyDescent="0.55000000000000004">
      <c r="A4103"/>
    </row>
    <row r="4104" spans="1:1" x14ac:dyDescent="0.55000000000000004">
      <c r="A4104"/>
    </row>
    <row r="4105" spans="1:1" x14ac:dyDescent="0.55000000000000004">
      <c r="A4105"/>
    </row>
    <row r="4106" spans="1:1" x14ac:dyDescent="0.55000000000000004">
      <c r="A4106"/>
    </row>
    <row r="4107" spans="1:1" x14ac:dyDescent="0.55000000000000004">
      <c r="A4107"/>
    </row>
    <row r="4108" spans="1:1" x14ac:dyDescent="0.55000000000000004">
      <c r="A4108"/>
    </row>
    <row r="4109" spans="1:1" x14ac:dyDescent="0.55000000000000004">
      <c r="A4109"/>
    </row>
    <row r="4110" spans="1:1" x14ac:dyDescent="0.55000000000000004">
      <c r="A4110"/>
    </row>
    <row r="4111" spans="1:1" x14ac:dyDescent="0.55000000000000004">
      <c r="A4111"/>
    </row>
    <row r="4112" spans="1:1" x14ac:dyDescent="0.55000000000000004">
      <c r="A4112"/>
    </row>
    <row r="4113" spans="1:1" x14ac:dyDescent="0.55000000000000004">
      <c r="A4113"/>
    </row>
    <row r="4114" spans="1:1" x14ac:dyDescent="0.55000000000000004">
      <c r="A4114"/>
    </row>
    <row r="4115" spans="1:1" x14ac:dyDescent="0.55000000000000004">
      <c r="A4115"/>
    </row>
    <row r="4116" spans="1:1" x14ac:dyDescent="0.55000000000000004">
      <c r="A4116"/>
    </row>
    <row r="4117" spans="1:1" x14ac:dyDescent="0.55000000000000004">
      <c r="A4117"/>
    </row>
    <row r="4118" spans="1:1" x14ac:dyDescent="0.55000000000000004">
      <c r="A4118"/>
    </row>
    <row r="4119" spans="1:1" x14ac:dyDescent="0.55000000000000004">
      <c r="A4119"/>
    </row>
    <row r="4120" spans="1:1" x14ac:dyDescent="0.55000000000000004">
      <c r="A4120"/>
    </row>
    <row r="4121" spans="1:1" x14ac:dyDescent="0.55000000000000004">
      <c r="A4121"/>
    </row>
    <row r="4122" spans="1:1" x14ac:dyDescent="0.55000000000000004">
      <c r="A4122"/>
    </row>
    <row r="4123" spans="1:1" x14ac:dyDescent="0.55000000000000004">
      <c r="A4123"/>
    </row>
    <row r="4124" spans="1:1" x14ac:dyDescent="0.55000000000000004">
      <c r="A4124"/>
    </row>
    <row r="4125" spans="1:1" x14ac:dyDescent="0.55000000000000004">
      <c r="A4125"/>
    </row>
    <row r="4126" spans="1:1" x14ac:dyDescent="0.55000000000000004">
      <c r="A4126"/>
    </row>
    <row r="4127" spans="1:1" x14ac:dyDescent="0.55000000000000004">
      <c r="A4127"/>
    </row>
    <row r="4128" spans="1:1" x14ac:dyDescent="0.55000000000000004">
      <c r="A4128"/>
    </row>
    <row r="4129" spans="1:1" x14ac:dyDescent="0.55000000000000004">
      <c r="A4129"/>
    </row>
    <row r="4130" spans="1:1" x14ac:dyDescent="0.55000000000000004">
      <c r="A4130"/>
    </row>
    <row r="4131" spans="1:1" x14ac:dyDescent="0.55000000000000004">
      <c r="A4131"/>
    </row>
    <row r="4132" spans="1:1" x14ac:dyDescent="0.55000000000000004">
      <c r="A4132"/>
    </row>
    <row r="4133" spans="1:1" x14ac:dyDescent="0.55000000000000004">
      <c r="A4133"/>
    </row>
    <row r="4134" spans="1:1" x14ac:dyDescent="0.55000000000000004">
      <c r="A4134"/>
    </row>
    <row r="4135" spans="1:1" x14ac:dyDescent="0.55000000000000004">
      <c r="A4135"/>
    </row>
    <row r="4136" spans="1:1" x14ac:dyDescent="0.55000000000000004">
      <c r="A4136"/>
    </row>
    <row r="4137" spans="1:1" x14ac:dyDescent="0.55000000000000004">
      <c r="A4137"/>
    </row>
    <row r="4138" spans="1:1" x14ac:dyDescent="0.55000000000000004">
      <c r="A4138"/>
    </row>
    <row r="4139" spans="1:1" x14ac:dyDescent="0.55000000000000004">
      <c r="A4139"/>
    </row>
    <row r="4140" spans="1:1" x14ac:dyDescent="0.55000000000000004">
      <c r="A4140"/>
    </row>
    <row r="4141" spans="1:1" x14ac:dyDescent="0.55000000000000004">
      <c r="A4141"/>
    </row>
    <row r="4142" spans="1:1" x14ac:dyDescent="0.55000000000000004">
      <c r="A4142"/>
    </row>
    <row r="4143" spans="1:1" x14ac:dyDescent="0.55000000000000004">
      <c r="A4143"/>
    </row>
    <row r="4144" spans="1:1" x14ac:dyDescent="0.55000000000000004">
      <c r="A4144"/>
    </row>
    <row r="4145" spans="1:1" x14ac:dyDescent="0.55000000000000004">
      <c r="A4145"/>
    </row>
    <row r="4146" spans="1:1" x14ac:dyDescent="0.55000000000000004">
      <c r="A4146"/>
    </row>
    <row r="4147" spans="1:1" x14ac:dyDescent="0.55000000000000004">
      <c r="A4147"/>
    </row>
    <row r="4148" spans="1:1" x14ac:dyDescent="0.55000000000000004">
      <c r="A4148"/>
    </row>
    <row r="4149" spans="1:1" x14ac:dyDescent="0.55000000000000004">
      <c r="A4149"/>
    </row>
    <row r="4150" spans="1:1" x14ac:dyDescent="0.55000000000000004">
      <c r="A4150"/>
    </row>
    <row r="4151" spans="1:1" x14ac:dyDescent="0.55000000000000004">
      <c r="A4151"/>
    </row>
    <row r="4152" spans="1:1" x14ac:dyDescent="0.55000000000000004">
      <c r="A4152"/>
    </row>
    <row r="4153" spans="1:1" x14ac:dyDescent="0.55000000000000004">
      <c r="A4153"/>
    </row>
    <row r="4154" spans="1:1" x14ac:dyDescent="0.55000000000000004">
      <c r="A4154"/>
    </row>
    <row r="4155" spans="1:1" x14ac:dyDescent="0.55000000000000004">
      <c r="A4155"/>
    </row>
    <row r="4156" spans="1:1" x14ac:dyDescent="0.55000000000000004">
      <c r="A4156"/>
    </row>
    <row r="4157" spans="1:1" x14ac:dyDescent="0.55000000000000004">
      <c r="A4157"/>
    </row>
    <row r="4158" spans="1:1" x14ac:dyDescent="0.55000000000000004">
      <c r="A4158"/>
    </row>
    <row r="4159" spans="1:1" x14ac:dyDescent="0.55000000000000004">
      <c r="A4159"/>
    </row>
    <row r="4160" spans="1:1" x14ac:dyDescent="0.55000000000000004">
      <c r="A4160"/>
    </row>
    <row r="4161" spans="1:1" x14ac:dyDescent="0.55000000000000004">
      <c r="A4161"/>
    </row>
    <row r="4162" spans="1:1" x14ac:dyDescent="0.55000000000000004">
      <c r="A4162"/>
    </row>
    <row r="4163" spans="1:1" x14ac:dyDescent="0.55000000000000004">
      <c r="A4163"/>
    </row>
    <row r="4164" spans="1:1" x14ac:dyDescent="0.55000000000000004">
      <c r="A4164"/>
    </row>
    <row r="4165" spans="1:1" x14ac:dyDescent="0.55000000000000004">
      <c r="A4165"/>
    </row>
    <row r="4166" spans="1:1" x14ac:dyDescent="0.55000000000000004">
      <c r="A4166"/>
    </row>
    <row r="4167" spans="1:1" x14ac:dyDescent="0.55000000000000004">
      <c r="A4167"/>
    </row>
    <row r="4168" spans="1:1" x14ac:dyDescent="0.55000000000000004">
      <c r="A4168"/>
    </row>
    <row r="4169" spans="1:1" x14ac:dyDescent="0.55000000000000004">
      <c r="A4169"/>
    </row>
    <row r="4170" spans="1:1" x14ac:dyDescent="0.55000000000000004">
      <c r="A4170"/>
    </row>
    <row r="4171" spans="1:1" x14ac:dyDescent="0.55000000000000004">
      <c r="A4171"/>
    </row>
    <row r="4172" spans="1:1" x14ac:dyDescent="0.55000000000000004">
      <c r="A4172"/>
    </row>
    <row r="4173" spans="1:1" x14ac:dyDescent="0.55000000000000004">
      <c r="A4173"/>
    </row>
    <row r="4174" spans="1:1" x14ac:dyDescent="0.55000000000000004">
      <c r="A4174"/>
    </row>
    <row r="4175" spans="1:1" x14ac:dyDescent="0.55000000000000004">
      <c r="A4175"/>
    </row>
    <row r="4176" spans="1:1" x14ac:dyDescent="0.55000000000000004">
      <c r="A4176"/>
    </row>
    <row r="4177" spans="1:1" x14ac:dyDescent="0.55000000000000004">
      <c r="A4177"/>
    </row>
    <row r="4178" spans="1:1" x14ac:dyDescent="0.55000000000000004">
      <c r="A4178"/>
    </row>
    <row r="4179" spans="1:1" x14ac:dyDescent="0.55000000000000004">
      <c r="A4179"/>
    </row>
    <row r="4180" spans="1:1" x14ac:dyDescent="0.55000000000000004">
      <c r="A4180"/>
    </row>
    <row r="4181" spans="1:1" x14ac:dyDescent="0.55000000000000004">
      <c r="A4181"/>
    </row>
    <row r="4182" spans="1:1" x14ac:dyDescent="0.55000000000000004">
      <c r="A4182"/>
    </row>
    <row r="4183" spans="1:1" x14ac:dyDescent="0.55000000000000004">
      <c r="A4183"/>
    </row>
    <row r="4184" spans="1:1" x14ac:dyDescent="0.55000000000000004">
      <c r="A4184"/>
    </row>
    <row r="4185" spans="1:1" x14ac:dyDescent="0.55000000000000004">
      <c r="A4185"/>
    </row>
    <row r="4186" spans="1:1" x14ac:dyDescent="0.55000000000000004">
      <c r="A4186"/>
    </row>
    <row r="4187" spans="1:1" x14ac:dyDescent="0.55000000000000004">
      <c r="A4187"/>
    </row>
    <row r="4188" spans="1:1" x14ac:dyDescent="0.55000000000000004">
      <c r="A4188"/>
    </row>
    <row r="4189" spans="1:1" x14ac:dyDescent="0.55000000000000004">
      <c r="A4189"/>
    </row>
    <row r="4190" spans="1:1" x14ac:dyDescent="0.55000000000000004">
      <c r="A4190"/>
    </row>
    <row r="4191" spans="1:1" x14ac:dyDescent="0.55000000000000004">
      <c r="A4191"/>
    </row>
    <row r="4192" spans="1:1" x14ac:dyDescent="0.55000000000000004">
      <c r="A4192"/>
    </row>
    <row r="4193" spans="1:1" x14ac:dyDescent="0.55000000000000004">
      <c r="A4193"/>
    </row>
    <row r="4194" spans="1:1" x14ac:dyDescent="0.55000000000000004">
      <c r="A4194"/>
    </row>
    <row r="4195" spans="1:1" x14ac:dyDescent="0.55000000000000004">
      <c r="A4195"/>
    </row>
    <row r="4196" spans="1:1" x14ac:dyDescent="0.55000000000000004">
      <c r="A4196"/>
    </row>
    <row r="4197" spans="1:1" x14ac:dyDescent="0.55000000000000004">
      <c r="A4197"/>
    </row>
    <row r="4198" spans="1:1" x14ac:dyDescent="0.55000000000000004">
      <c r="A4198"/>
    </row>
    <row r="4199" spans="1:1" x14ac:dyDescent="0.55000000000000004">
      <c r="A4199"/>
    </row>
    <row r="4200" spans="1:1" x14ac:dyDescent="0.55000000000000004">
      <c r="A4200"/>
    </row>
    <row r="4201" spans="1:1" x14ac:dyDescent="0.55000000000000004">
      <c r="A4201"/>
    </row>
    <row r="4202" spans="1:1" x14ac:dyDescent="0.55000000000000004">
      <c r="A4202"/>
    </row>
    <row r="4203" spans="1:1" x14ac:dyDescent="0.55000000000000004">
      <c r="A4203"/>
    </row>
    <row r="4204" spans="1:1" x14ac:dyDescent="0.55000000000000004">
      <c r="A4204"/>
    </row>
    <row r="4205" spans="1:1" x14ac:dyDescent="0.55000000000000004">
      <c r="A4205"/>
    </row>
    <row r="4206" spans="1:1" x14ac:dyDescent="0.55000000000000004">
      <c r="A4206"/>
    </row>
    <row r="4207" spans="1:1" x14ac:dyDescent="0.55000000000000004">
      <c r="A4207"/>
    </row>
    <row r="4208" spans="1:1" x14ac:dyDescent="0.55000000000000004">
      <c r="A4208"/>
    </row>
    <row r="4209" spans="1:1" x14ac:dyDescent="0.55000000000000004">
      <c r="A4209"/>
    </row>
    <row r="4210" spans="1:1" x14ac:dyDescent="0.55000000000000004">
      <c r="A4210"/>
    </row>
    <row r="4211" spans="1:1" x14ac:dyDescent="0.55000000000000004">
      <c r="A4211"/>
    </row>
    <row r="4212" spans="1:1" x14ac:dyDescent="0.55000000000000004">
      <c r="A4212"/>
    </row>
    <row r="4213" spans="1:1" x14ac:dyDescent="0.55000000000000004">
      <c r="A4213"/>
    </row>
    <row r="4214" spans="1:1" x14ac:dyDescent="0.55000000000000004">
      <c r="A4214"/>
    </row>
    <row r="4215" spans="1:1" x14ac:dyDescent="0.55000000000000004">
      <c r="A4215"/>
    </row>
    <row r="4216" spans="1:1" x14ac:dyDescent="0.55000000000000004">
      <c r="A4216"/>
    </row>
    <row r="4217" spans="1:1" x14ac:dyDescent="0.55000000000000004">
      <c r="A4217"/>
    </row>
    <row r="4218" spans="1:1" x14ac:dyDescent="0.55000000000000004">
      <c r="A4218"/>
    </row>
    <row r="4219" spans="1:1" x14ac:dyDescent="0.55000000000000004">
      <c r="A4219"/>
    </row>
    <row r="4220" spans="1:1" x14ac:dyDescent="0.55000000000000004">
      <c r="A4220"/>
    </row>
    <row r="4221" spans="1:1" x14ac:dyDescent="0.55000000000000004">
      <c r="A4221"/>
    </row>
    <row r="4222" spans="1:1" x14ac:dyDescent="0.55000000000000004">
      <c r="A4222"/>
    </row>
    <row r="4223" spans="1:1" x14ac:dyDescent="0.55000000000000004">
      <c r="A4223"/>
    </row>
    <row r="4224" spans="1:1" x14ac:dyDescent="0.55000000000000004">
      <c r="A4224"/>
    </row>
    <row r="4225" spans="1:1" x14ac:dyDescent="0.55000000000000004">
      <c r="A4225"/>
    </row>
    <row r="4226" spans="1:1" x14ac:dyDescent="0.55000000000000004">
      <c r="A4226"/>
    </row>
    <row r="4227" spans="1:1" x14ac:dyDescent="0.55000000000000004">
      <c r="A4227"/>
    </row>
    <row r="4228" spans="1:1" x14ac:dyDescent="0.55000000000000004">
      <c r="A4228"/>
    </row>
    <row r="4229" spans="1:1" x14ac:dyDescent="0.55000000000000004">
      <c r="A4229"/>
    </row>
    <row r="4230" spans="1:1" x14ac:dyDescent="0.55000000000000004">
      <c r="A4230"/>
    </row>
    <row r="4231" spans="1:1" x14ac:dyDescent="0.55000000000000004">
      <c r="A4231"/>
    </row>
    <row r="4232" spans="1:1" x14ac:dyDescent="0.55000000000000004">
      <c r="A4232"/>
    </row>
    <row r="4233" spans="1:1" x14ac:dyDescent="0.55000000000000004">
      <c r="A4233"/>
    </row>
    <row r="4234" spans="1:1" x14ac:dyDescent="0.55000000000000004">
      <c r="A4234"/>
    </row>
    <row r="4235" spans="1:1" x14ac:dyDescent="0.55000000000000004">
      <c r="A4235"/>
    </row>
    <row r="4236" spans="1:1" x14ac:dyDescent="0.55000000000000004">
      <c r="A4236"/>
    </row>
    <row r="4237" spans="1:1" x14ac:dyDescent="0.55000000000000004">
      <c r="A4237"/>
    </row>
    <row r="4238" spans="1:1" x14ac:dyDescent="0.55000000000000004">
      <c r="A4238"/>
    </row>
    <row r="4239" spans="1:1" x14ac:dyDescent="0.55000000000000004">
      <c r="A4239"/>
    </row>
    <row r="4240" spans="1:1" x14ac:dyDescent="0.55000000000000004">
      <c r="A4240"/>
    </row>
    <row r="4241" spans="1:1" x14ac:dyDescent="0.55000000000000004">
      <c r="A4241"/>
    </row>
    <row r="4242" spans="1:1" x14ac:dyDescent="0.55000000000000004">
      <c r="A4242"/>
    </row>
    <row r="4243" spans="1:1" x14ac:dyDescent="0.55000000000000004">
      <c r="A4243"/>
    </row>
    <row r="4244" spans="1:1" x14ac:dyDescent="0.55000000000000004">
      <c r="A4244"/>
    </row>
    <row r="4245" spans="1:1" x14ac:dyDescent="0.55000000000000004">
      <c r="A4245"/>
    </row>
    <row r="4246" spans="1:1" x14ac:dyDescent="0.55000000000000004">
      <c r="A4246"/>
    </row>
    <row r="4247" spans="1:1" x14ac:dyDescent="0.55000000000000004">
      <c r="A4247"/>
    </row>
    <row r="4248" spans="1:1" x14ac:dyDescent="0.55000000000000004">
      <c r="A4248"/>
    </row>
    <row r="4249" spans="1:1" x14ac:dyDescent="0.55000000000000004">
      <c r="A4249"/>
    </row>
    <row r="4250" spans="1:1" x14ac:dyDescent="0.55000000000000004">
      <c r="A4250"/>
    </row>
    <row r="4251" spans="1:1" x14ac:dyDescent="0.55000000000000004">
      <c r="A4251"/>
    </row>
    <row r="4252" spans="1:1" x14ac:dyDescent="0.55000000000000004">
      <c r="A4252"/>
    </row>
    <row r="4253" spans="1:1" x14ac:dyDescent="0.55000000000000004">
      <c r="A4253"/>
    </row>
    <row r="4254" spans="1:1" x14ac:dyDescent="0.55000000000000004">
      <c r="A4254"/>
    </row>
    <row r="4255" spans="1:1" x14ac:dyDescent="0.55000000000000004">
      <c r="A4255"/>
    </row>
    <row r="4256" spans="1:1" x14ac:dyDescent="0.55000000000000004">
      <c r="A4256"/>
    </row>
    <row r="4257" spans="1:1" x14ac:dyDescent="0.55000000000000004">
      <c r="A4257"/>
    </row>
    <row r="4258" spans="1:1" x14ac:dyDescent="0.55000000000000004">
      <c r="A4258"/>
    </row>
    <row r="4259" spans="1:1" x14ac:dyDescent="0.55000000000000004">
      <c r="A4259"/>
    </row>
    <row r="4260" spans="1:1" x14ac:dyDescent="0.55000000000000004">
      <c r="A4260"/>
    </row>
    <row r="4261" spans="1:1" x14ac:dyDescent="0.55000000000000004">
      <c r="A4261"/>
    </row>
    <row r="4262" spans="1:1" x14ac:dyDescent="0.55000000000000004">
      <c r="A4262"/>
    </row>
    <row r="4263" spans="1:1" x14ac:dyDescent="0.55000000000000004">
      <c r="A4263"/>
    </row>
    <row r="4264" spans="1:1" x14ac:dyDescent="0.55000000000000004">
      <c r="A4264"/>
    </row>
    <row r="4265" spans="1:1" x14ac:dyDescent="0.55000000000000004">
      <c r="A4265"/>
    </row>
    <row r="4266" spans="1:1" x14ac:dyDescent="0.55000000000000004">
      <c r="A4266"/>
    </row>
    <row r="4267" spans="1:1" x14ac:dyDescent="0.55000000000000004">
      <c r="A4267"/>
    </row>
    <row r="4268" spans="1:1" x14ac:dyDescent="0.55000000000000004">
      <c r="A4268"/>
    </row>
    <row r="4269" spans="1:1" x14ac:dyDescent="0.55000000000000004">
      <c r="A4269"/>
    </row>
    <row r="4270" spans="1:1" x14ac:dyDescent="0.55000000000000004">
      <c r="A4270"/>
    </row>
    <row r="4271" spans="1:1" x14ac:dyDescent="0.55000000000000004">
      <c r="A4271"/>
    </row>
    <row r="4272" spans="1:1" x14ac:dyDescent="0.55000000000000004">
      <c r="A4272"/>
    </row>
    <row r="4273" spans="1:1" x14ac:dyDescent="0.55000000000000004">
      <c r="A4273"/>
    </row>
    <row r="4274" spans="1:1" x14ac:dyDescent="0.55000000000000004">
      <c r="A4274"/>
    </row>
    <row r="4275" spans="1:1" x14ac:dyDescent="0.55000000000000004">
      <c r="A4275"/>
    </row>
    <row r="4276" spans="1:1" x14ac:dyDescent="0.55000000000000004">
      <c r="A4276"/>
    </row>
    <row r="4277" spans="1:1" x14ac:dyDescent="0.55000000000000004">
      <c r="A4277"/>
    </row>
    <row r="4278" spans="1:1" x14ac:dyDescent="0.55000000000000004">
      <c r="A4278"/>
    </row>
    <row r="4279" spans="1:1" x14ac:dyDescent="0.55000000000000004">
      <c r="A4279"/>
    </row>
    <row r="4280" spans="1:1" x14ac:dyDescent="0.55000000000000004">
      <c r="A4280"/>
    </row>
    <row r="4281" spans="1:1" x14ac:dyDescent="0.55000000000000004">
      <c r="A4281"/>
    </row>
    <row r="4282" spans="1:1" x14ac:dyDescent="0.55000000000000004">
      <c r="A4282"/>
    </row>
    <row r="4283" spans="1:1" x14ac:dyDescent="0.55000000000000004">
      <c r="A4283"/>
    </row>
    <row r="4284" spans="1:1" x14ac:dyDescent="0.55000000000000004">
      <c r="A4284"/>
    </row>
    <row r="4285" spans="1:1" x14ac:dyDescent="0.55000000000000004">
      <c r="A4285"/>
    </row>
    <row r="4286" spans="1:1" x14ac:dyDescent="0.55000000000000004">
      <c r="A4286"/>
    </row>
    <row r="4287" spans="1:1" x14ac:dyDescent="0.55000000000000004">
      <c r="A4287"/>
    </row>
    <row r="4288" spans="1:1" x14ac:dyDescent="0.55000000000000004">
      <c r="A4288"/>
    </row>
    <row r="4289" spans="1:1" x14ac:dyDescent="0.55000000000000004">
      <c r="A4289"/>
    </row>
    <row r="4290" spans="1:1" x14ac:dyDescent="0.55000000000000004">
      <c r="A4290"/>
    </row>
    <row r="4291" spans="1:1" x14ac:dyDescent="0.55000000000000004">
      <c r="A4291"/>
    </row>
    <row r="4292" spans="1:1" x14ac:dyDescent="0.55000000000000004">
      <c r="A4292"/>
    </row>
    <row r="4293" spans="1:1" x14ac:dyDescent="0.55000000000000004">
      <c r="A4293"/>
    </row>
    <row r="4294" spans="1:1" x14ac:dyDescent="0.55000000000000004">
      <c r="A4294"/>
    </row>
    <row r="4295" spans="1:1" x14ac:dyDescent="0.55000000000000004">
      <c r="A4295"/>
    </row>
    <row r="4296" spans="1:1" x14ac:dyDescent="0.55000000000000004">
      <c r="A4296"/>
    </row>
    <row r="4297" spans="1:1" x14ac:dyDescent="0.55000000000000004">
      <c r="A4297"/>
    </row>
    <row r="4298" spans="1:1" x14ac:dyDescent="0.55000000000000004">
      <c r="A4298"/>
    </row>
    <row r="4299" spans="1:1" x14ac:dyDescent="0.55000000000000004">
      <c r="A4299"/>
    </row>
    <row r="4300" spans="1:1" x14ac:dyDescent="0.55000000000000004">
      <c r="A4300"/>
    </row>
    <row r="4301" spans="1:1" x14ac:dyDescent="0.55000000000000004">
      <c r="A4301"/>
    </row>
    <row r="4302" spans="1:1" x14ac:dyDescent="0.55000000000000004">
      <c r="A4302"/>
    </row>
    <row r="4303" spans="1:1" x14ac:dyDescent="0.55000000000000004">
      <c r="A4303"/>
    </row>
    <row r="4304" spans="1:1" x14ac:dyDescent="0.55000000000000004">
      <c r="A4304"/>
    </row>
    <row r="4305" spans="1:1" x14ac:dyDescent="0.55000000000000004">
      <c r="A4305"/>
    </row>
    <row r="4306" spans="1:1" x14ac:dyDescent="0.55000000000000004">
      <c r="A4306"/>
    </row>
    <row r="4307" spans="1:1" x14ac:dyDescent="0.55000000000000004">
      <c r="A4307"/>
    </row>
    <row r="4308" spans="1:1" x14ac:dyDescent="0.55000000000000004">
      <c r="A4308"/>
    </row>
    <row r="4309" spans="1:1" x14ac:dyDescent="0.55000000000000004">
      <c r="A4309"/>
    </row>
    <row r="4310" spans="1:1" x14ac:dyDescent="0.55000000000000004">
      <c r="A4310"/>
    </row>
    <row r="4311" spans="1:1" x14ac:dyDescent="0.55000000000000004">
      <c r="A4311"/>
    </row>
    <row r="4312" spans="1:1" x14ac:dyDescent="0.55000000000000004">
      <c r="A4312"/>
    </row>
    <row r="4313" spans="1:1" x14ac:dyDescent="0.55000000000000004">
      <c r="A4313"/>
    </row>
    <row r="4314" spans="1:1" x14ac:dyDescent="0.55000000000000004">
      <c r="A4314"/>
    </row>
    <row r="4315" spans="1:1" x14ac:dyDescent="0.55000000000000004">
      <c r="A4315"/>
    </row>
    <row r="4316" spans="1:1" x14ac:dyDescent="0.55000000000000004">
      <c r="A4316"/>
    </row>
    <row r="4317" spans="1:1" x14ac:dyDescent="0.55000000000000004">
      <c r="A4317"/>
    </row>
    <row r="4318" spans="1:1" x14ac:dyDescent="0.55000000000000004">
      <c r="A4318"/>
    </row>
    <row r="4319" spans="1:1" x14ac:dyDescent="0.55000000000000004">
      <c r="A4319"/>
    </row>
    <row r="4320" spans="1:1" x14ac:dyDescent="0.55000000000000004">
      <c r="A4320"/>
    </row>
    <row r="4321" spans="1:1" x14ac:dyDescent="0.55000000000000004">
      <c r="A4321"/>
    </row>
    <row r="4322" spans="1:1" x14ac:dyDescent="0.55000000000000004">
      <c r="A4322"/>
    </row>
    <row r="4323" spans="1:1" x14ac:dyDescent="0.55000000000000004">
      <c r="A4323"/>
    </row>
    <row r="4324" spans="1:1" x14ac:dyDescent="0.55000000000000004">
      <c r="A4324"/>
    </row>
    <row r="4325" spans="1:1" x14ac:dyDescent="0.55000000000000004">
      <c r="A4325"/>
    </row>
    <row r="4326" spans="1:1" x14ac:dyDescent="0.55000000000000004">
      <c r="A4326"/>
    </row>
    <row r="4327" spans="1:1" x14ac:dyDescent="0.55000000000000004">
      <c r="A4327"/>
    </row>
    <row r="4328" spans="1:1" x14ac:dyDescent="0.55000000000000004">
      <c r="A4328"/>
    </row>
    <row r="4329" spans="1:1" x14ac:dyDescent="0.55000000000000004">
      <c r="A4329"/>
    </row>
    <row r="4330" spans="1:1" x14ac:dyDescent="0.55000000000000004">
      <c r="A4330"/>
    </row>
    <row r="4331" spans="1:1" x14ac:dyDescent="0.55000000000000004">
      <c r="A4331"/>
    </row>
    <row r="4332" spans="1:1" x14ac:dyDescent="0.55000000000000004">
      <c r="A4332"/>
    </row>
    <row r="4333" spans="1:1" x14ac:dyDescent="0.55000000000000004">
      <c r="A4333"/>
    </row>
    <row r="4334" spans="1:1" x14ac:dyDescent="0.55000000000000004">
      <c r="A4334"/>
    </row>
    <row r="4335" spans="1:1" x14ac:dyDescent="0.55000000000000004">
      <c r="A4335"/>
    </row>
    <row r="4336" spans="1:1" x14ac:dyDescent="0.55000000000000004">
      <c r="A4336"/>
    </row>
    <row r="4337" spans="1:1" x14ac:dyDescent="0.55000000000000004">
      <c r="A4337"/>
    </row>
    <row r="4338" spans="1:1" x14ac:dyDescent="0.55000000000000004">
      <c r="A4338"/>
    </row>
    <row r="4339" spans="1:1" x14ac:dyDescent="0.55000000000000004">
      <c r="A4339"/>
    </row>
    <row r="4340" spans="1:1" x14ac:dyDescent="0.55000000000000004">
      <c r="A4340"/>
    </row>
    <row r="4341" spans="1:1" x14ac:dyDescent="0.55000000000000004">
      <c r="A4341"/>
    </row>
    <row r="4342" spans="1:1" x14ac:dyDescent="0.55000000000000004">
      <c r="A4342"/>
    </row>
    <row r="4343" spans="1:1" x14ac:dyDescent="0.55000000000000004">
      <c r="A4343"/>
    </row>
    <row r="4344" spans="1:1" x14ac:dyDescent="0.55000000000000004">
      <c r="A4344"/>
    </row>
    <row r="4345" spans="1:1" x14ac:dyDescent="0.55000000000000004">
      <c r="A4345"/>
    </row>
    <row r="4346" spans="1:1" x14ac:dyDescent="0.55000000000000004">
      <c r="A4346"/>
    </row>
    <row r="4347" spans="1:1" x14ac:dyDescent="0.55000000000000004">
      <c r="A4347"/>
    </row>
    <row r="4348" spans="1:1" x14ac:dyDescent="0.55000000000000004">
      <c r="A4348"/>
    </row>
    <row r="4349" spans="1:1" x14ac:dyDescent="0.55000000000000004">
      <c r="A4349"/>
    </row>
    <row r="4350" spans="1:1" x14ac:dyDescent="0.55000000000000004">
      <c r="A4350"/>
    </row>
    <row r="4351" spans="1:1" x14ac:dyDescent="0.55000000000000004">
      <c r="A4351"/>
    </row>
    <row r="4352" spans="1:1" x14ac:dyDescent="0.55000000000000004">
      <c r="A4352"/>
    </row>
    <row r="4353" spans="1:1" x14ac:dyDescent="0.55000000000000004">
      <c r="A4353"/>
    </row>
    <row r="4354" spans="1:1" x14ac:dyDescent="0.55000000000000004">
      <c r="A4354"/>
    </row>
    <row r="4355" spans="1:1" x14ac:dyDescent="0.55000000000000004">
      <c r="A4355"/>
    </row>
    <row r="4356" spans="1:1" x14ac:dyDescent="0.55000000000000004">
      <c r="A4356"/>
    </row>
    <row r="4357" spans="1:1" x14ac:dyDescent="0.55000000000000004">
      <c r="A4357"/>
    </row>
    <row r="4358" spans="1:1" x14ac:dyDescent="0.55000000000000004">
      <c r="A4358"/>
    </row>
    <row r="4359" spans="1:1" x14ac:dyDescent="0.55000000000000004">
      <c r="A4359"/>
    </row>
    <row r="4360" spans="1:1" x14ac:dyDescent="0.55000000000000004">
      <c r="A4360"/>
    </row>
    <row r="4361" spans="1:1" x14ac:dyDescent="0.55000000000000004">
      <c r="A4361"/>
    </row>
    <row r="4362" spans="1:1" x14ac:dyDescent="0.55000000000000004">
      <c r="A4362"/>
    </row>
    <row r="4363" spans="1:1" x14ac:dyDescent="0.55000000000000004">
      <c r="A4363"/>
    </row>
    <row r="4364" spans="1:1" x14ac:dyDescent="0.55000000000000004">
      <c r="A4364"/>
    </row>
    <row r="4365" spans="1:1" x14ac:dyDescent="0.55000000000000004">
      <c r="A4365"/>
    </row>
    <row r="4366" spans="1:1" x14ac:dyDescent="0.55000000000000004">
      <c r="A4366"/>
    </row>
    <row r="4367" spans="1:1" x14ac:dyDescent="0.55000000000000004">
      <c r="A4367"/>
    </row>
    <row r="4368" spans="1:1" x14ac:dyDescent="0.55000000000000004">
      <c r="A4368"/>
    </row>
    <row r="4369" spans="1:1" x14ac:dyDescent="0.55000000000000004">
      <c r="A4369"/>
    </row>
    <row r="4370" spans="1:1" x14ac:dyDescent="0.55000000000000004">
      <c r="A4370"/>
    </row>
    <row r="4371" spans="1:1" x14ac:dyDescent="0.55000000000000004">
      <c r="A4371"/>
    </row>
    <row r="4372" spans="1:1" x14ac:dyDescent="0.55000000000000004">
      <c r="A4372"/>
    </row>
    <row r="4373" spans="1:1" x14ac:dyDescent="0.55000000000000004">
      <c r="A4373"/>
    </row>
    <row r="4374" spans="1:1" x14ac:dyDescent="0.55000000000000004">
      <c r="A4374"/>
    </row>
    <row r="4375" spans="1:1" x14ac:dyDescent="0.55000000000000004">
      <c r="A4375"/>
    </row>
    <row r="4376" spans="1:1" x14ac:dyDescent="0.55000000000000004">
      <c r="A4376"/>
    </row>
    <row r="4377" spans="1:1" x14ac:dyDescent="0.55000000000000004">
      <c r="A4377"/>
    </row>
    <row r="4378" spans="1:1" x14ac:dyDescent="0.55000000000000004">
      <c r="A4378"/>
    </row>
    <row r="4379" spans="1:1" x14ac:dyDescent="0.55000000000000004">
      <c r="A4379"/>
    </row>
    <row r="4380" spans="1:1" x14ac:dyDescent="0.55000000000000004">
      <c r="A4380"/>
    </row>
    <row r="4381" spans="1:1" x14ac:dyDescent="0.55000000000000004">
      <c r="A4381"/>
    </row>
    <row r="4382" spans="1:1" x14ac:dyDescent="0.55000000000000004">
      <c r="A4382"/>
    </row>
    <row r="4383" spans="1:1" x14ac:dyDescent="0.55000000000000004">
      <c r="A4383"/>
    </row>
    <row r="4384" spans="1:1" x14ac:dyDescent="0.55000000000000004">
      <c r="A4384"/>
    </row>
    <row r="4385" spans="1:1" x14ac:dyDescent="0.55000000000000004">
      <c r="A4385"/>
    </row>
    <row r="4386" spans="1:1" x14ac:dyDescent="0.55000000000000004">
      <c r="A4386"/>
    </row>
    <row r="4387" spans="1:1" x14ac:dyDescent="0.55000000000000004">
      <c r="A4387"/>
    </row>
    <row r="4388" spans="1:1" x14ac:dyDescent="0.55000000000000004">
      <c r="A4388"/>
    </row>
    <row r="4389" spans="1:1" x14ac:dyDescent="0.55000000000000004">
      <c r="A4389"/>
    </row>
    <row r="4390" spans="1:1" x14ac:dyDescent="0.55000000000000004">
      <c r="A4390"/>
    </row>
    <row r="4391" spans="1:1" x14ac:dyDescent="0.55000000000000004">
      <c r="A4391"/>
    </row>
    <row r="4392" spans="1:1" x14ac:dyDescent="0.55000000000000004">
      <c r="A4392"/>
    </row>
    <row r="4393" spans="1:1" x14ac:dyDescent="0.55000000000000004">
      <c r="A4393"/>
    </row>
    <row r="4394" spans="1:1" x14ac:dyDescent="0.55000000000000004">
      <c r="A4394"/>
    </row>
    <row r="4395" spans="1:1" x14ac:dyDescent="0.55000000000000004">
      <c r="A4395"/>
    </row>
    <row r="4396" spans="1:1" x14ac:dyDescent="0.55000000000000004">
      <c r="A4396"/>
    </row>
    <row r="4397" spans="1:1" x14ac:dyDescent="0.55000000000000004">
      <c r="A4397"/>
    </row>
    <row r="4398" spans="1:1" x14ac:dyDescent="0.55000000000000004">
      <c r="A4398"/>
    </row>
    <row r="4399" spans="1:1" x14ac:dyDescent="0.55000000000000004">
      <c r="A4399"/>
    </row>
    <row r="4400" spans="1:1" x14ac:dyDescent="0.55000000000000004">
      <c r="A4400"/>
    </row>
    <row r="4401" spans="1:1" x14ac:dyDescent="0.55000000000000004">
      <c r="A4401"/>
    </row>
    <row r="4402" spans="1:1" x14ac:dyDescent="0.55000000000000004">
      <c r="A4402"/>
    </row>
    <row r="4403" spans="1:1" x14ac:dyDescent="0.55000000000000004">
      <c r="A4403"/>
    </row>
    <row r="4404" spans="1:1" x14ac:dyDescent="0.55000000000000004">
      <c r="A4404"/>
    </row>
    <row r="4405" spans="1:1" x14ac:dyDescent="0.55000000000000004">
      <c r="A4405"/>
    </row>
    <row r="4406" spans="1:1" x14ac:dyDescent="0.55000000000000004">
      <c r="A4406"/>
    </row>
    <row r="4407" spans="1:1" x14ac:dyDescent="0.55000000000000004">
      <c r="A4407"/>
    </row>
    <row r="4408" spans="1:1" x14ac:dyDescent="0.55000000000000004">
      <c r="A4408"/>
    </row>
    <row r="4409" spans="1:1" x14ac:dyDescent="0.55000000000000004">
      <c r="A4409"/>
    </row>
    <row r="4410" spans="1:1" x14ac:dyDescent="0.55000000000000004">
      <c r="A4410"/>
    </row>
    <row r="4411" spans="1:1" x14ac:dyDescent="0.55000000000000004">
      <c r="A4411"/>
    </row>
    <row r="4412" spans="1:1" x14ac:dyDescent="0.55000000000000004">
      <c r="A4412"/>
    </row>
    <row r="4413" spans="1:1" x14ac:dyDescent="0.55000000000000004">
      <c r="A4413"/>
    </row>
    <row r="4414" spans="1:1" x14ac:dyDescent="0.55000000000000004">
      <c r="A4414"/>
    </row>
    <row r="4415" spans="1:1" x14ac:dyDescent="0.55000000000000004">
      <c r="A4415"/>
    </row>
    <row r="4416" spans="1:1" x14ac:dyDescent="0.55000000000000004">
      <c r="A4416"/>
    </row>
    <row r="4417" spans="1:1" x14ac:dyDescent="0.55000000000000004">
      <c r="A4417"/>
    </row>
    <row r="4418" spans="1:1" x14ac:dyDescent="0.55000000000000004">
      <c r="A4418"/>
    </row>
    <row r="4419" spans="1:1" x14ac:dyDescent="0.55000000000000004">
      <c r="A4419"/>
    </row>
    <row r="4420" spans="1:1" x14ac:dyDescent="0.55000000000000004">
      <c r="A4420"/>
    </row>
    <row r="4421" spans="1:1" x14ac:dyDescent="0.55000000000000004">
      <c r="A4421"/>
    </row>
    <row r="4422" spans="1:1" x14ac:dyDescent="0.55000000000000004">
      <c r="A4422"/>
    </row>
    <row r="4423" spans="1:1" x14ac:dyDescent="0.55000000000000004">
      <c r="A4423"/>
    </row>
    <row r="4424" spans="1:1" x14ac:dyDescent="0.55000000000000004">
      <c r="A4424"/>
    </row>
    <row r="4425" spans="1:1" x14ac:dyDescent="0.55000000000000004">
      <c r="A4425"/>
    </row>
    <row r="4426" spans="1:1" x14ac:dyDescent="0.55000000000000004">
      <c r="A4426"/>
    </row>
    <row r="4427" spans="1:1" x14ac:dyDescent="0.55000000000000004">
      <c r="A4427"/>
    </row>
    <row r="4428" spans="1:1" x14ac:dyDescent="0.55000000000000004">
      <c r="A4428"/>
    </row>
    <row r="4429" spans="1:1" x14ac:dyDescent="0.55000000000000004">
      <c r="A4429"/>
    </row>
    <row r="4430" spans="1:1" x14ac:dyDescent="0.55000000000000004">
      <c r="A4430"/>
    </row>
    <row r="4431" spans="1:1" x14ac:dyDescent="0.55000000000000004">
      <c r="A4431"/>
    </row>
    <row r="4432" spans="1:1" x14ac:dyDescent="0.55000000000000004">
      <c r="A4432"/>
    </row>
    <row r="4433" spans="1:1" x14ac:dyDescent="0.55000000000000004">
      <c r="A4433"/>
    </row>
    <row r="4434" spans="1:1" x14ac:dyDescent="0.55000000000000004">
      <c r="A4434"/>
    </row>
    <row r="4435" spans="1:1" x14ac:dyDescent="0.55000000000000004">
      <c r="A4435"/>
    </row>
    <row r="4436" spans="1:1" x14ac:dyDescent="0.55000000000000004">
      <c r="A4436"/>
    </row>
    <row r="4437" spans="1:1" x14ac:dyDescent="0.55000000000000004">
      <c r="A4437"/>
    </row>
    <row r="4438" spans="1:1" x14ac:dyDescent="0.55000000000000004">
      <c r="A4438"/>
    </row>
    <row r="4439" spans="1:1" x14ac:dyDescent="0.55000000000000004">
      <c r="A4439"/>
    </row>
    <row r="4440" spans="1:1" x14ac:dyDescent="0.55000000000000004">
      <c r="A4440"/>
    </row>
    <row r="4441" spans="1:1" x14ac:dyDescent="0.55000000000000004">
      <c r="A4441"/>
    </row>
    <row r="4442" spans="1:1" x14ac:dyDescent="0.55000000000000004">
      <c r="A4442"/>
    </row>
    <row r="4443" spans="1:1" x14ac:dyDescent="0.55000000000000004">
      <c r="A4443"/>
    </row>
    <row r="4444" spans="1:1" x14ac:dyDescent="0.55000000000000004">
      <c r="A4444"/>
    </row>
    <row r="4445" spans="1:1" x14ac:dyDescent="0.55000000000000004">
      <c r="A4445"/>
    </row>
    <row r="4446" spans="1:1" x14ac:dyDescent="0.55000000000000004">
      <c r="A4446"/>
    </row>
    <row r="4447" spans="1:1" x14ac:dyDescent="0.55000000000000004">
      <c r="A4447"/>
    </row>
    <row r="4448" spans="1:1" x14ac:dyDescent="0.55000000000000004">
      <c r="A4448"/>
    </row>
    <row r="4449" spans="1:1" x14ac:dyDescent="0.55000000000000004">
      <c r="A4449"/>
    </row>
    <row r="4450" spans="1:1" x14ac:dyDescent="0.55000000000000004">
      <c r="A4450"/>
    </row>
    <row r="4451" spans="1:1" x14ac:dyDescent="0.55000000000000004">
      <c r="A4451"/>
    </row>
    <row r="4452" spans="1:1" x14ac:dyDescent="0.55000000000000004">
      <c r="A4452"/>
    </row>
    <row r="4453" spans="1:1" x14ac:dyDescent="0.55000000000000004">
      <c r="A4453"/>
    </row>
    <row r="4454" spans="1:1" x14ac:dyDescent="0.55000000000000004">
      <c r="A4454"/>
    </row>
    <row r="4455" spans="1:1" x14ac:dyDescent="0.55000000000000004">
      <c r="A4455"/>
    </row>
    <row r="4456" spans="1:1" x14ac:dyDescent="0.55000000000000004">
      <c r="A4456"/>
    </row>
    <row r="4457" spans="1:1" x14ac:dyDescent="0.55000000000000004">
      <c r="A4457"/>
    </row>
    <row r="4458" spans="1:1" x14ac:dyDescent="0.55000000000000004">
      <c r="A4458"/>
    </row>
    <row r="4459" spans="1:1" x14ac:dyDescent="0.55000000000000004">
      <c r="A4459"/>
    </row>
    <row r="4460" spans="1:1" x14ac:dyDescent="0.55000000000000004">
      <c r="A4460"/>
    </row>
    <row r="4461" spans="1:1" x14ac:dyDescent="0.55000000000000004">
      <c r="A4461"/>
    </row>
    <row r="4462" spans="1:1" x14ac:dyDescent="0.55000000000000004">
      <c r="A4462"/>
    </row>
    <row r="4463" spans="1:1" x14ac:dyDescent="0.55000000000000004">
      <c r="A4463"/>
    </row>
    <row r="4464" spans="1:1" x14ac:dyDescent="0.55000000000000004">
      <c r="A4464"/>
    </row>
    <row r="4465" spans="1:1" x14ac:dyDescent="0.55000000000000004">
      <c r="A4465"/>
    </row>
    <row r="4466" spans="1:1" x14ac:dyDescent="0.55000000000000004">
      <c r="A4466"/>
    </row>
    <row r="4467" spans="1:1" x14ac:dyDescent="0.55000000000000004">
      <c r="A4467"/>
    </row>
    <row r="4468" spans="1:1" x14ac:dyDescent="0.55000000000000004">
      <c r="A4468"/>
    </row>
    <row r="4469" spans="1:1" x14ac:dyDescent="0.55000000000000004">
      <c r="A4469"/>
    </row>
    <row r="4470" spans="1:1" x14ac:dyDescent="0.55000000000000004">
      <c r="A4470"/>
    </row>
    <row r="4471" spans="1:1" x14ac:dyDescent="0.55000000000000004">
      <c r="A4471"/>
    </row>
    <row r="4472" spans="1:1" x14ac:dyDescent="0.55000000000000004">
      <c r="A4472"/>
    </row>
    <row r="4473" spans="1:1" x14ac:dyDescent="0.55000000000000004">
      <c r="A4473"/>
    </row>
    <row r="4474" spans="1:1" x14ac:dyDescent="0.55000000000000004">
      <c r="A4474"/>
    </row>
    <row r="4475" spans="1:1" x14ac:dyDescent="0.55000000000000004">
      <c r="A4475"/>
    </row>
    <row r="4476" spans="1:1" x14ac:dyDescent="0.55000000000000004">
      <c r="A4476"/>
    </row>
    <row r="4477" spans="1:1" x14ac:dyDescent="0.55000000000000004">
      <c r="A4477"/>
    </row>
    <row r="4478" spans="1:1" x14ac:dyDescent="0.55000000000000004">
      <c r="A4478"/>
    </row>
    <row r="4479" spans="1:1" x14ac:dyDescent="0.55000000000000004">
      <c r="A4479"/>
    </row>
    <row r="4480" spans="1:1" x14ac:dyDescent="0.55000000000000004">
      <c r="A4480"/>
    </row>
    <row r="4481" spans="1:1" x14ac:dyDescent="0.55000000000000004">
      <c r="A4481"/>
    </row>
    <row r="4482" spans="1:1" x14ac:dyDescent="0.55000000000000004">
      <c r="A4482"/>
    </row>
    <row r="4483" spans="1:1" x14ac:dyDescent="0.55000000000000004">
      <c r="A4483"/>
    </row>
    <row r="4484" spans="1:1" x14ac:dyDescent="0.55000000000000004">
      <c r="A4484"/>
    </row>
    <row r="4485" spans="1:1" x14ac:dyDescent="0.55000000000000004">
      <c r="A4485"/>
    </row>
    <row r="4486" spans="1:1" x14ac:dyDescent="0.55000000000000004">
      <c r="A4486"/>
    </row>
    <row r="4487" spans="1:1" x14ac:dyDescent="0.55000000000000004">
      <c r="A4487"/>
    </row>
    <row r="4488" spans="1:1" x14ac:dyDescent="0.55000000000000004">
      <c r="A4488"/>
    </row>
    <row r="4489" spans="1:1" x14ac:dyDescent="0.55000000000000004">
      <c r="A4489"/>
    </row>
    <row r="4490" spans="1:1" x14ac:dyDescent="0.55000000000000004">
      <c r="A4490"/>
    </row>
    <row r="4491" spans="1:1" x14ac:dyDescent="0.55000000000000004">
      <c r="A4491"/>
    </row>
    <row r="4492" spans="1:1" x14ac:dyDescent="0.55000000000000004">
      <c r="A4492"/>
    </row>
    <row r="4493" spans="1:1" x14ac:dyDescent="0.55000000000000004">
      <c r="A4493"/>
    </row>
    <row r="4494" spans="1:1" x14ac:dyDescent="0.55000000000000004">
      <c r="A4494"/>
    </row>
    <row r="4495" spans="1:1" x14ac:dyDescent="0.55000000000000004">
      <c r="A4495"/>
    </row>
    <row r="4496" spans="1:1" x14ac:dyDescent="0.55000000000000004">
      <c r="A4496"/>
    </row>
    <row r="4497" spans="1:1" x14ac:dyDescent="0.55000000000000004">
      <c r="A4497"/>
    </row>
    <row r="4498" spans="1:1" x14ac:dyDescent="0.55000000000000004">
      <c r="A4498"/>
    </row>
    <row r="4499" spans="1:1" x14ac:dyDescent="0.55000000000000004">
      <c r="A4499"/>
    </row>
    <row r="4500" spans="1:1" x14ac:dyDescent="0.55000000000000004">
      <c r="A4500"/>
    </row>
    <row r="4501" spans="1:1" x14ac:dyDescent="0.55000000000000004">
      <c r="A4501"/>
    </row>
    <row r="4502" spans="1:1" x14ac:dyDescent="0.55000000000000004">
      <c r="A4502"/>
    </row>
    <row r="4503" spans="1:1" x14ac:dyDescent="0.55000000000000004">
      <c r="A4503"/>
    </row>
    <row r="4504" spans="1:1" x14ac:dyDescent="0.55000000000000004">
      <c r="A4504"/>
    </row>
    <row r="4505" spans="1:1" x14ac:dyDescent="0.55000000000000004">
      <c r="A4505"/>
    </row>
    <row r="4506" spans="1:1" x14ac:dyDescent="0.55000000000000004">
      <c r="A4506"/>
    </row>
    <row r="4507" spans="1:1" x14ac:dyDescent="0.55000000000000004">
      <c r="A4507"/>
    </row>
    <row r="4508" spans="1:1" x14ac:dyDescent="0.55000000000000004">
      <c r="A4508"/>
    </row>
    <row r="4509" spans="1:1" x14ac:dyDescent="0.55000000000000004">
      <c r="A4509"/>
    </row>
    <row r="4510" spans="1:1" x14ac:dyDescent="0.55000000000000004">
      <c r="A4510"/>
    </row>
    <row r="4511" spans="1:1" x14ac:dyDescent="0.55000000000000004">
      <c r="A4511"/>
    </row>
    <row r="4512" spans="1:1" x14ac:dyDescent="0.55000000000000004">
      <c r="A4512"/>
    </row>
    <row r="4513" spans="1:1" x14ac:dyDescent="0.55000000000000004">
      <c r="A4513"/>
    </row>
    <row r="4514" spans="1:1" x14ac:dyDescent="0.55000000000000004">
      <c r="A4514"/>
    </row>
    <row r="4515" spans="1:1" x14ac:dyDescent="0.55000000000000004">
      <c r="A4515"/>
    </row>
    <row r="4516" spans="1:1" x14ac:dyDescent="0.55000000000000004">
      <c r="A4516"/>
    </row>
    <row r="4517" spans="1:1" x14ac:dyDescent="0.55000000000000004">
      <c r="A4517"/>
    </row>
    <row r="4518" spans="1:1" x14ac:dyDescent="0.55000000000000004">
      <c r="A4518"/>
    </row>
    <row r="4519" spans="1:1" x14ac:dyDescent="0.55000000000000004">
      <c r="A4519"/>
    </row>
    <row r="4520" spans="1:1" x14ac:dyDescent="0.55000000000000004">
      <c r="A4520"/>
    </row>
    <row r="4521" spans="1:1" x14ac:dyDescent="0.55000000000000004">
      <c r="A4521"/>
    </row>
    <row r="4522" spans="1:1" x14ac:dyDescent="0.55000000000000004">
      <c r="A4522"/>
    </row>
    <row r="4523" spans="1:1" x14ac:dyDescent="0.55000000000000004">
      <c r="A4523"/>
    </row>
    <row r="4524" spans="1:1" x14ac:dyDescent="0.55000000000000004">
      <c r="A4524"/>
    </row>
    <row r="4525" spans="1:1" x14ac:dyDescent="0.55000000000000004">
      <c r="A4525"/>
    </row>
    <row r="4526" spans="1:1" x14ac:dyDescent="0.55000000000000004">
      <c r="A4526"/>
    </row>
    <row r="4527" spans="1:1" x14ac:dyDescent="0.55000000000000004">
      <c r="A4527"/>
    </row>
    <row r="4528" spans="1:1" x14ac:dyDescent="0.55000000000000004">
      <c r="A4528"/>
    </row>
    <row r="4529" spans="1:1" x14ac:dyDescent="0.55000000000000004">
      <c r="A4529"/>
    </row>
    <row r="4530" spans="1:1" x14ac:dyDescent="0.55000000000000004">
      <c r="A4530"/>
    </row>
    <row r="4531" spans="1:1" x14ac:dyDescent="0.55000000000000004">
      <c r="A4531"/>
    </row>
    <row r="4532" spans="1:1" x14ac:dyDescent="0.55000000000000004">
      <c r="A4532"/>
    </row>
    <row r="4533" spans="1:1" x14ac:dyDescent="0.55000000000000004">
      <c r="A4533"/>
    </row>
    <row r="4534" spans="1:1" x14ac:dyDescent="0.55000000000000004">
      <c r="A4534"/>
    </row>
    <row r="4535" spans="1:1" x14ac:dyDescent="0.55000000000000004">
      <c r="A4535"/>
    </row>
    <row r="4536" spans="1:1" x14ac:dyDescent="0.55000000000000004">
      <c r="A4536"/>
    </row>
    <row r="4537" spans="1:1" x14ac:dyDescent="0.55000000000000004">
      <c r="A4537"/>
    </row>
    <row r="4538" spans="1:1" x14ac:dyDescent="0.55000000000000004">
      <c r="A4538"/>
    </row>
    <row r="4539" spans="1:1" x14ac:dyDescent="0.55000000000000004">
      <c r="A4539"/>
    </row>
    <row r="4540" spans="1:1" x14ac:dyDescent="0.55000000000000004">
      <c r="A4540"/>
    </row>
    <row r="4541" spans="1:1" x14ac:dyDescent="0.55000000000000004">
      <c r="A4541"/>
    </row>
    <row r="4542" spans="1:1" x14ac:dyDescent="0.55000000000000004">
      <c r="A4542"/>
    </row>
    <row r="4543" spans="1:1" x14ac:dyDescent="0.55000000000000004">
      <c r="A4543"/>
    </row>
    <row r="4544" spans="1:1" x14ac:dyDescent="0.55000000000000004">
      <c r="A4544"/>
    </row>
    <row r="4545" spans="1:1" x14ac:dyDescent="0.55000000000000004">
      <c r="A4545"/>
    </row>
    <row r="4546" spans="1:1" x14ac:dyDescent="0.55000000000000004">
      <c r="A4546"/>
    </row>
    <row r="4547" spans="1:1" x14ac:dyDescent="0.55000000000000004">
      <c r="A4547"/>
    </row>
    <row r="4548" spans="1:1" x14ac:dyDescent="0.55000000000000004">
      <c r="A4548"/>
    </row>
    <row r="4549" spans="1:1" x14ac:dyDescent="0.55000000000000004">
      <c r="A4549"/>
    </row>
    <row r="4550" spans="1:1" x14ac:dyDescent="0.55000000000000004">
      <c r="A4550"/>
    </row>
    <row r="4551" spans="1:1" x14ac:dyDescent="0.55000000000000004">
      <c r="A4551"/>
    </row>
    <row r="4552" spans="1:1" x14ac:dyDescent="0.55000000000000004">
      <c r="A4552"/>
    </row>
    <row r="4553" spans="1:1" x14ac:dyDescent="0.55000000000000004">
      <c r="A4553"/>
    </row>
    <row r="4554" spans="1:1" x14ac:dyDescent="0.55000000000000004">
      <c r="A4554"/>
    </row>
    <row r="4555" spans="1:1" x14ac:dyDescent="0.55000000000000004">
      <c r="A4555"/>
    </row>
    <row r="4556" spans="1:1" x14ac:dyDescent="0.55000000000000004">
      <c r="A4556"/>
    </row>
    <row r="4557" spans="1:1" x14ac:dyDescent="0.55000000000000004">
      <c r="A4557"/>
    </row>
    <row r="4558" spans="1:1" x14ac:dyDescent="0.55000000000000004">
      <c r="A4558"/>
    </row>
    <row r="4559" spans="1:1" x14ac:dyDescent="0.55000000000000004">
      <c r="A4559"/>
    </row>
    <row r="4560" spans="1:1" x14ac:dyDescent="0.55000000000000004">
      <c r="A4560"/>
    </row>
    <row r="4561" spans="1:1" x14ac:dyDescent="0.55000000000000004">
      <c r="A4561"/>
    </row>
    <row r="4562" spans="1:1" x14ac:dyDescent="0.55000000000000004">
      <c r="A4562"/>
    </row>
    <row r="4563" spans="1:1" x14ac:dyDescent="0.55000000000000004">
      <c r="A4563"/>
    </row>
    <row r="4564" spans="1:1" x14ac:dyDescent="0.55000000000000004">
      <c r="A4564"/>
    </row>
    <row r="4565" spans="1:1" x14ac:dyDescent="0.55000000000000004">
      <c r="A4565"/>
    </row>
    <row r="4566" spans="1:1" x14ac:dyDescent="0.55000000000000004">
      <c r="A4566"/>
    </row>
    <row r="4567" spans="1:1" x14ac:dyDescent="0.55000000000000004">
      <c r="A4567"/>
    </row>
    <row r="4568" spans="1:1" x14ac:dyDescent="0.55000000000000004">
      <c r="A4568"/>
    </row>
    <row r="4569" spans="1:1" x14ac:dyDescent="0.55000000000000004">
      <c r="A4569"/>
    </row>
    <row r="4570" spans="1:1" x14ac:dyDescent="0.55000000000000004">
      <c r="A4570"/>
    </row>
    <row r="4571" spans="1:1" x14ac:dyDescent="0.55000000000000004">
      <c r="A4571"/>
    </row>
    <row r="4572" spans="1:1" x14ac:dyDescent="0.55000000000000004">
      <c r="A4572"/>
    </row>
    <row r="4573" spans="1:1" x14ac:dyDescent="0.55000000000000004">
      <c r="A4573"/>
    </row>
    <row r="4574" spans="1:1" x14ac:dyDescent="0.55000000000000004">
      <c r="A4574"/>
    </row>
    <row r="4575" spans="1:1" x14ac:dyDescent="0.55000000000000004">
      <c r="A4575"/>
    </row>
    <row r="4576" spans="1:1" x14ac:dyDescent="0.55000000000000004">
      <c r="A4576"/>
    </row>
    <row r="4577" spans="1:1" x14ac:dyDescent="0.55000000000000004">
      <c r="A4577"/>
    </row>
    <row r="4578" spans="1:1" x14ac:dyDescent="0.55000000000000004">
      <c r="A4578"/>
    </row>
    <row r="4579" spans="1:1" x14ac:dyDescent="0.55000000000000004">
      <c r="A4579"/>
    </row>
    <row r="4580" spans="1:1" x14ac:dyDescent="0.55000000000000004">
      <c r="A4580"/>
    </row>
    <row r="4581" spans="1:1" x14ac:dyDescent="0.55000000000000004">
      <c r="A4581"/>
    </row>
    <row r="4582" spans="1:1" x14ac:dyDescent="0.55000000000000004">
      <c r="A4582"/>
    </row>
    <row r="4583" spans="1:1" x14ac:dyDescent="0.55000000000000004">
      <c r="A4583"/>
    </row>
    <row r="4584" spans="1:1" x14ac:dyDescent="0.55000000000000004">
      <c r="A4584"/>
    </row>
    <row r="4585" spans="1:1" x14ac:dyDescent="0.55000000000000004">
      <c r="A4585"/>
    </row>
    <row r="4586" spans="1:1" x14ac:dyDescent="0.55000000000000004">
      <c r="A4586"/>
    </row>
    <row r="4587" spans="1:1" x14ac:dyDescent="0.55000000000000004">
      <c r="A4587"/>
    </row>
    <row r="4588" spans="1:1" x14ac:dyDescent="0.55000000000000004">
      <c r="A4588"/>
    </row>
    <row r="4589" spans="1:1" x14ac:dyDescent="0.55000000000000004">
      <c r="A4589"/>
    </row>
    <row r="4590" spans="1:1" x14ac:dyDescent="0.55000000000000004">
      <c r="A4590"/>
    </row>
    <row r="4591" spans="1:1" x14ac:dyDescent="0.55000000000000004">
      <c r="A4591"/>
    </row>
    <row r="4592" spans="1:1" x14ac:dyDescent="0.55000000000000004">
      <c r="A4592"/>
    </row>
    <row r="4593" spans="1:1" x14ac:dyDescent="0.55000000000000004">
      <c r="A4593"/>
    </row>
    <row r="4594" spans="1:1" x14ac:dyDescent="0.55000000000000004">
      <c r="A4594"/>
    </row>
    <row r="4595" spans="1:1" x14ac:dyDescent="0.55000000000000004">
      <c r="A4595"/>
    </row>
    <row r="4596" spans="1:1" x14ac:dyDescent="0.55000000000000004">
      <c r="A4596"/>
    </row>
    <row r="4597" spans="1:1" x14ac:dyDescent="0.55000000000000004">
      <c r="A4597"/>
    </row>
    <row r="4598" spans="1:1" x14ac:dyDescent="0.55000000000000004">
      <c r="A4598"/>
    </row>
    <row r="4599" spans="1:1" x14ac:dyDescent="0.55000000000000004">
      <c r="A4599"/>
    </row>
    <row r="4600" spans="1:1" x14ac:dyDescent="0.55000000000000004">
      <c r="A4600"/>
    </row>
    <row r="4601" spans="1:1" x14ac:dyDescent="0.55000000000000004">
      <c r="A4601"/>
    </row>
    <row r="4602" spans="1:1" x14ac:dyDescent="0.55000000000000004">
      <c r="A4602"/>
    </row>
    <row r="4603" spans="1:1" x14ac:dyDescent="0.55000000000000004">
      <c r="A4603"/>
    </row>
    <row r="4604" spans="1:1" x14ac:dyDescent="0.55000000000000004">
      <c r="A4604"/>
    </row>
    <row r="4605" spans="1:1" x14ac:dyDescent="0.55000000000000004">
      <c r="A4605"/>
    </row>
    <row r="4606" spans="1:1" x14ac:dyDescent="0.55000000000000004">
      <c r="A4606"/>
    </row>
    <row r="4607" spans="1:1" x14ac:dyDescent="0.55000000000000004">
      <c r="A4607"/>
    </row>
    <row r="4608" spans="1:1" x14ac:dyDescent="0.55000000000000004">
      <c r="A4608"/>
    </row>
    <row r="4609" spans="1:1" x14ac:dyDescent="0.55000000000000004">
      <c r="A4609"/>
    </row>
    <row r="4610" spans="1:1" x14ac:dyDescent="0.55000000000000004">
      <c r="A4610"/>
    </row>
    <row r="4611" spans="1:1" x14ac:dyDescent="0.55000000000000004">
      <c r="A4611"/>
    </row>
    <row r="4612" spans="1:1" x14ac:dyDescent="0.55000000000000004">
      <c r="A4612"/>
    </row>
    <row r="4613" spans="1:1" x14ac:dyDescent="0.55000000000000004">
      <c r="A4613"/>
    </row>
    <row r="4614" spans="1:1" x14ac:dyDescent="0.55000000000000004">
      <c r="A4614"/>
    </row>
    <row r="4615" spans="1:1" x14ac:dyDescent="0.55000000000000004">
      <c r="A4615"/>
    </row>
    <row r="4616" spans="1:1" x14ac:dyDescent="0.55000000000000004">
      <c r="A4616"/>
    </row>
    <row r="4617" spans="1:1" x14ac:dyDescent="0.55000000000000004">
      <c r="A4617"/>
    </row>
    <row r="4618" spans="1:1" x14ac:dyDescent="0.55000000000000004">
      <c r="A4618"/>
    </row>
    <row r="4619" spans="1:1" x14ac:dyDescent="0.55000000000000004">
      <c r="A4619"/>
    </row>
    <row r="4620" spans="1:1" x14ac:dyDescent="0.55000000000000004">
      <c r="A4620"/>
    </row>
    <row r="4621" spans="1:1" x14ac:dyDescent="0.55000000000000004">
      <c r="A4621"/>
    </row>
    <row r="4622" spans="1:1" x14ac:dyDescent="0.55000000000000004">
      <c r="A4622"/>
    </row>
    <row r="4623" spans="1:1" x14ac:dyDescent="0.55000000000000004">
      <c r="A4623"/>
    </row>
    <row r="4624" spans="1:1" x14ac:dyDescent="0.55000000000000004">
      <c r="A4624"/>
    </row>
    <row r="4625" spans="1:1" x14ac:dyDescent="0.55000000000000004">
      <c r="A4625"/>
    </row>
    <row r="4626" spans="1:1" x14ac:dyDescent="0.55000000000000004">
      <c r="A4626"/>
    </row>
    <row r="4627" spans="1:1" x14ac:dyDescent="0.55000000000000004">
      <c r="A4627"/>
    </row>
    <row r="4628" spans="1:1" x14ac:dyDescent="0.55000000000000004">
      <c r="A4628"/>
    </row>
    <row r="4629" spans="1:1" x14ac:dyDescent="0.55000000000000004">
      <c r="A4629"/>
    </row>
    <row r="4630" spans="1:1" x14ac:dyDescent="0.55000000000000004">
      <c r="A4630"/>
    </row>
    <row r="4631" spans="1:1" x14ac:dyDescent="0.55000000000000004">
      <c r="A4631"/>
    </row>
    <row r="4632" spans="1:1" x14ac:dyDescent="0.55000000000000004">
      <c r="A4632"/>
    </row>
    <row r="4633" spans="1:1" x14ac:dyDescent="0.55000000000000004">
      <c r="A4633"/>
    </row>
    <row r="4634" spans="1:1" x14ac:dyDescent="0.55000000000000004">
      <c r="A4634"/>
    </row>
    <row r="4635" spans="1:1" x14ac:dyDescent="0.55000000000000004">
      <c r="A4635"/>
    </row>
    <row r="4636" spans="1:1" x14ac:dyDescent="0.55000000000000004">
      <c r="A4636"/>
    </row>
    <row r="4637" spans="1:1" x14ac:dyDescent="0.55000000000000004">
      <c r="A4637"/>
    </row>
    <row r="4638" spans="1:1" x14ac:dyDescent="0.55000000000000004">
      <c r="A4638"/>
    </row>
    <row r="4639" spans="1:1" x14ac:dyDescent="0.55000000000000004">
      <c r="A4639"/>
    </row>
    <row r="4640" spans="1:1" x14ac:dyDescent="0.55000000000000004">
      <c r="A4640"/>
    </row>
    <row r="4641" spans="1:1" x14ac:dyDescent="0.55000000000000004">
      <c r="A4641"/>
    </row>
    <row r="4642" spans="1:1" x14ac:dyDescent="0.55000000000000004">
      <c r="A4642"/>
    </row>
    <row r="4643" spans="1:1" x14ac:dyDescent="0.55000000000000004">
      <c r="A4643"/>
    </row>
    <row r="4644" spans="1:1" x14ac:dyDescent="0.55000000000000004">
      <c r="A4644"/>
    </row>
    <row r="4645" spans="1:1" x14ac:dyDescent="0.55000000000000004">
      <c r="A4645"/>
    </row>
    <row r="4646" spans="1:1" x14ac:dyDescent="0.55000000000000004">
      <c r="A4646"/>
    </row>
    <row r="4647" spans="1:1" x14ac:dyDescent="0.55000000000000004">
      <c r="A4647"/>
    </row>
    <row r="4648" spans="1:1" x14ac:dyDescent="0.55000000000000004">
      <c r="A4648"/>
    </row>
    <row r="4649" spans="1:1" x14ac:dyDescent="0.55000000000000004">
      <c r="A4649"/>
    </row>
    <row r="4650" spans="1:1" x14ac:dyDescent="0.55000000000000004">
      <c r="A4650"/>
    </row>
    <row r="4651" spans="1:1" x14ac:dyDescent="0.55000000000000004">
      <c r="A4651"/>
    </row>
    <row r="4652" spans="1:1" x14ac:dyDescent="0.55000000000000004">
      <c r="A4652"/>
    </row>
    <row r="4653" spans="1:1" x14ac:dyDescent="0.55000000000000004">
      <c r="A4653"/>
    </row>
    <row r="4654" spans="1:1" x14ac:dyDescent="0.55000000000000004">
      <c r="A4654"/>
    </row>
    <row r="4655" spans="1:1" x14ac:dyDescent="0.55000000000000004">
      <c r="A4655"/>
    </row>
    <row r="4656" spans="1:1" x14ac:dyDescent="0.55000000000000004">
      <c r="A4656"/>
    </row>
    <row r="4657" spans="1:1" x14ac:dyDescent="0.55000000000000004">
      <c r="A4657"/>
    </row>
    <row r="4658" spans="1:1" x14ac:dyDescent="0.55000000000000004">
      <c r="A4658"/>
    </row>
    <row r="4659" spans="1:1" x14ac:dyDescent="0.55000000000000004">
      <c r="A4659"/>
    </row>
    <row r="4660" spans="1:1" x14ac:dyDescent="0.55000000000000004">
      <c r="A4660"/>
    </row>
    <row r="4661" spans="1:1" x14ac:dyDescent="0.55000000000000004">
      <c r="A4661"/>
    </row>
    <row r="4662" spans="1:1" x14ac:dyDescent="0.55000000000000004">
      <c r="A4662"/>
    </row>
    <row r="4663" spans="1:1" x14ac:dyDescent="0.55000000000000004">
      <c r="A4663"/>
    </row>
    <row r="4664" spans="1:1" x14ac:dyDescent="0.55000000000000004">
      <c r="A4664"/>
    </row>
    <row r="4665" spans="1:1" x14ac:dyDescent="0.55000000000000004">
      <c r="A4665"/>
    </row>
    <row r="4666" spans="1:1" x14ac:dyDescent="0.55000000000000004">
      <c r="A4666"/>
    </row>
    <row r="4667" spans="1:1" x14ac:dyDescent="0.55000000000000004">
      <c r="A4667"/>
    </row>
    <row r="4668" spans="1:1" x14ac:dyDescent="0.55000000000000004">
      <c r="A4668"/>
    </row>
    <row r="4669" spans="1:1" x14ac:dyDescent="0.55000000000000004">
      <c r="A4669"/>
    </row>
    <row r="4670" spans="1:1" x14ac:dyDescent="0.55000000000000004">
      <c r="A4670"/>
    </row>
    <row r="4671" spans="1:1" x14ac:dyDescent="0.55000000000000004">
      <c r="A4671"/>
    </row>
    <row r="4672" spans="1:1" x14ac:dyDescent="0.55000000000000004">
      <c r="A4672"/>
    </row>
    <row r="4673" spans="1:1" x14ac:dyDescent="0.55000000000000004">
      <c r="A4673"/>
    </row>
    <row r="4674" spans="1:1" x14ac:dyDescent="0.55000000000000004">
      <c r="A4674"/>
    </row>
    <row r="4675" spans="1:1" x14ac:dyDescent="0.55000000000000004">
      <c r="A4675"/>
    </row>
    <row r="4676" spans="1:1" x14ac:dyDescent="0.55000000000000004">
      <c r="A4676"/>
    </row>
    <row r="4677" spans="1:1" x14ac:dyDescent="0.55000000000000004">
      <c r="A4677"/>
    </row>
    <row r="4678" spans="1:1" x14ac:dyDescent="0.55000000000000004">
      <c r="A4678"/>
    </row>
    <row r="4679" spans="1:1" x14ac:dyDescent="0.55000000000000004">
      <c r="A4679"/>
    </row>
    <row r="4680" spans="1:1" x14ac:dyDescent="0.55000000000000004">
      <c r="A4680"/>
    </row>
    <row r="4681" spans="1:1" x14ac:dyDescent="0.55000000000000004">
      <c r="A4681"/>
    </row>
    <row r="4682" spans="1:1" x14ac:dyDescent="0.55000000000000004">
      <c r="A4682"/>
    </row>
    <row r="4683" spans="1:1" x14ac:dyDescent="0.55000000000000004">
      <c r="A4683"/>
    </row>
    <row r="4684" spans="1:1" x14ac:dyDescent="0.55000000000000004">
      <c r="A4684"/>
    </row>
    <row r="4685" spans="1:1" x14ac:dyDescent="0.55000000000000004">
      <c r="A4685"/>
    </row>
    <row r="4686" spans="1:1" x14ac:dyDescent="0.55000000000000004">
      <c r="A4686"/>
    </row>
    <row r="4687" spans="1:1" x14ac:dyDescent="0.55000000000000004">
      <c r="A4687"/>
    </row>
    <row r="4688" spans="1:1" x14ac:dyDescent="0.55000000000000004">
      <c r="A4688"/>
    </row>
    <row r="4689" spans="1:1" x14ac:dyDescent="0.55000000000000004">
      <c r="A4689"/>
    </row>
    <row r="4690" spans="1:1" x14ac:dyDescent="0.55000000000000004">
      <c r="A4690"/>
    </row>
    <row r="4691" spans="1:1" x14ac:dyDescent="0.55000000000000004">
      <c r="A4691"/>
    </row>
    <row r="4692" spans="1:1" x14ac:dyDescent="0.55000000000000004">
      <c r="A4692"/>
    </row>
    <row r="4693" spans="1:1" x14ac:dyDescent="0.55000000000000004">
      <c r="A4693"/>
    </row>
    <row r="4694" spans="1:1" x14ac:dyDescent="0.55000000000000004">
      <c r="A4694"/>
    </row>
    <row r="4695" spans="1:1" x14ac:dyDescent="0.55000000000000004">
      <c r="A4695"/>
    </row>
    <row r="4696" spans="1:1" x14ac:dyDescent="0.55000000000000004">
      <c r="A4696"/>
    </row>
    <row r="4697" spans="1:1" x14ac:dyDescent="0.55000000000000004">
      <c r="A4697"/>
    </row>
    <row r="4698" spans="1:1" x14ac:dyDescent="0.55000000000000004">
      <c r="A4698"/>
    </row>
    <row r="4699" spans="1:1" x14ac:dyDescent="0.55000000000000004">
      <c r="A4699"/>
    </row>
    <row r="4700" spans="1:1" x14ac:dyDescent="0.55000000000000004">
      <c r="A4700"/>
    </row>
    <row r="4701" spans="1:1" x14ac:dyDescent="0.55000000000000004">
      <c r="A4701"/>
    </row>
    <row r="4702" spans="1:1" x14ac:dyDescent="0.55000000000000004">
      <c r="A4702"/>
    </row>
    <row r="4703" spans="1:1" x14ac:dyDescent="0.55000000000000004">
      <c r="A4703"/>
    </row>
    <row r="4704" spans="1:1" x14ac:dyDescent="0.55000000000000004">
      <c r="A4704"/>
    </row>
    <row r="4705" spans="1:1" x14ac:dyDescent="0.55000000000000004">
      <c r="A4705"/>
    </row>
    <row r="4706" spans="1:1" x14ac:dyDescent="0.55000000000000004">
      <c r="A4706"/>
    </row>
    <row r="4707" spans="1:1" x14ac:dyDescent="0.55000000000000004">
      <c r="A4707"/>
    </row>
    <row r="4708" spans="1:1" x14ac:dyDescent="0.55000000000000004">
      <c r="A4708"/>
    </row>
    <row r="4709" spans="1:1" x14ac:dyDescent="0.55000000000000004">
      <c r="A4709"/>
    </row>
    <row r="4710" spans="1:1" x14ac:dyDescent="0.55000000000000004">
      <c r="A4710"/>
    </row>
    <row r="4711" spans="1:1" x14ac:dyDescent="0.55000000000000004">
      <c r="A4711"/>
    </row>
    <row r="4712" spans="1:1" x14ac:dyDescent="0.55000000000000004">
      <c r="A4712"/>
    </row>
    <row r="4713" spans="1:1" x14ac:dyDescent="0.55000000000000004">
      <c r="A4713"/>
    </row>
    <row r="4714" spans="1:1" x14ac:dyDescent="0.55000000000000004">
      <c r="A4714"/>
    </row>
    <row r="4715" spans="1:1" x14ac:dyDescent="0.55000000000000004">
      <c r="A4715"/>
    </row>
    <row r="4716" spans="1:1" x14ac:dyDescent="0.55000000000000004">
      <c r="A4716"/>
    </row>
    <row r="4717" spans="1:1" x14ac:dyDescent="0.55000000000000004">
      <c r="A4717"/>
    </row>
    <row r="4718" spans="1:1" x14ac:dyDescent="0.55000000000000004">
      <c r="A4718"/>
    </row>
    <row r="4719" spans="1:1" x14ac:dyDescent="0.55000000000000004">
      <c r="A4719"/>
    </row>
    <row r="4720" spans="1:1" x14ac:dyDescent="0.55000000000000004">
      <c r="A4720"/>
    </row>
    <row r="4721" spans="1:1" x14ac:dyDescent="0.55000000000000004">
      <c r="A4721"/>
    </row>
    <row r="4722" spans="1:1" x14ac:dyDescent="0.55000000000000004">
      <c r="A4722"/>
    </row>
    <row r="4723" spans="1:1" x14ac:dyDescent="0.55000000000000004">
      <c r="A4723"/>
    </row>
    <row r="4724" spans="1:1" x14ac:dyDescent="0.55000000000000004">
      <c r="A4724"/>
    </row>
    <row r="4725" spans="1:1" x14ac:dyDescent="0.55000000000000004">
      <c r="A4725"/>
    </row>
    <row r="4726" spans="1:1" x14ac:dyDescent="0.55000000000000004">
      <c r="A4726"/>
    </row>
    <row r="4727" spans="1:1" x14ac:dyDescent="0.55000000000000004">
      <c r="A4727"/>
    </row>
    <row r="4728" spans="1:1" x14ac:dyDescent="0.55000000000000004">
      <c r="A4728"/>
    </row>
    <row r="4729" spans="1:1" x14ac:dyDescent="0.55000000000000004">
      <c r="A4729"/>
    </row>
    <row r="4730" spans="1:1" x14ac:dyDescent="0.55000000000000004">
      <c r="A4730"/>
    </row>
    <row r="4731" spans="1:1" x14ac:dyDescent="0.55000000000000004">
      <c r="A4731"/>
    </row>
    <row r="4732" spans="1:1" x14ac:dyDescent="0.55000000000000004">
      <c r="A4732"/>
    </row>
    <row r="4733" spans="1:1" x14ac:dyDescent="0.55000000000000004">
      <c r="A4733"/>
    </row>
    <row r="4734" spans="1:1" x14ac:dyDescent="0.55000000000000004">
      <c r="A4734"/>
    </row>
    <row r="4735" spans="1:1" x14ac:dyDescent="0.55000000000000004">
      <c r="A4735"/>
    </row>
    <row r="4736" spans="1:1" x14ac:dyDescent="0.55000000000000004">
      <c r="A4736"/>
    </row>
    <row r="4737" spans="1:1" x14ac:dyDescent="0.55000000000000004">
      <c r="A4737"/>
    </row>
    <row r="4738" spans="1:1" x14ac:dyDescent="0.55000000000000004">
      <c r="A4738"/>
    </row>
    <row r="4739" spans="1:1" x14ac:dyDescent="0.55000000000000004">
      <c r="A4739"/>
    </row>
    <row r="4740" spans="1:1" x14ac:dyDescent="0.55000000000000004">
      <c r="A4740"/>
    </row>
    <row r="4741" spans="1:1" x14ac:dyDescent="0.55000000000000004">
      <c r="A4741"/>
    </row>
    <row r="4742" spans="1:1" x14ac:dyDescent="0.55000000000000004">
      <c r="A4742"/>
    </row>
    <row r="4743" spans="1:1" x14ac:dyDescent="0.55000000000000004">
      <c r="A4743"/>
    </row>
    <row r="4744" spans="1:1" x14ac:dyDescent="0.55000000000000004">
      <c r="A4744"/>
    </row>
    <row r="4745" spans="1:1" x14ac:dyDescent="0.55000000000000004">
      <c r="A4745"/>
    </row>
    <row r="4746" spans="1:1" x14ac:dyDescent="0.55000000000000004">
      <c r="A4746"/>
    </row>
    <row r="4747" spans="1:1" x14ac:dyDescent="0.55000000000000004">
      <c r="A4747"/>
    </row>
    <row r="4748" spans="1:1" x14ac:dyDescent="0.55000000000000004">
      <c r="A4748"/>
    </row>
    <row r="4749" spans="1:1" x14ac:dyDescent="0.55000000000000004">
      <c r="A4749"/>
    </row>
    <row r="4750" spans="1:1" x14ac:dyDescent="0.55000000000000004">
      <c r="A4750"/>
    </row>
    <row r="4751" spans="1:1" x14ac:dyDescent="0.55000000000000004">
      <c r="A4751"/>
    </row>
    <row r="4752" spans="1:1" x14ac:dyDescent="0.55000000000000004">
      <c r="A4752"/>
    </row>
    <row r="4753" spans="1:1" x14ac:dyDescent="0.55000000000000004">
      <c r="A4753"/>
    </row>
    <row r="4754" spans="1:1" x14ac:dyDescent="0.55000000000000004">
      <c r="A4754"/>
    </row>
    <row r="4755" spans="1:1" x14ac:dyDescent="0.55000000000000004">
      <c r="A4755"/>
    </row>
    <row r="4756" spans="1:1" x14ac:dyDescent="0.55000000000000004">
      <c r="A4756"/>
    </row>
    <row r="4757" spans="1:1" x14ac:dyDescent="0.55000000000000004">
      <c r="A4757"/>
    </row>
    <row r="4758" spans="1:1" x14ac:dyDescent="0.55000000000000004">
      <c r="A4758"/>
    </row>
    <row r="4759" spans="1:1" x14ac:dyDescent="0.55000000000000004">
      <c r="A4759"/>
    </row>
    <row r="4760" spans="1:1" x14ac:dyDescent="0.55000000000000004">
      <c r="A4760"/>
    </row>
    <row r="4761" spans="1:1" x14ac:dyDescent="0.55000000000000004">
      <c r="A4761"/>
    </row>
    <row r="4762" spans="1:1" x14ac:dyDescent="0.55000000000000004">
      <c r="A4762"/>
    </row>
    <row r="4763" spans="1:1" x14ac:dyDescent="0.55000000000000004">
      <c r="A4763"/>
    </row>
    <row r="4764" spans="1:1" x14ac:dyDescent="0.55000000000000004">
      <c r="A4764"/>
    </row>
    <row r="4765" spans="1:1" x14ac:dyDescent="0.55000000000000004">
      <c r="A4765"/>
    </row>
    <row r="4766" spans="1:1" x14ac:dyDescent="0.55000000000000004">
      <c r="A4766"/>
    </row>
    <row r="4767" spans="1:1" x14ac:dyDescent="0.55000000000000004">
      <c r="A4767"/>
    </row>
    <row r="4768" spans="1:1" x14ac:dyDescent="0.55000000000000004">
      <c r="A4768"/>
    </row>
    <row r="4769" spans="1:1" x14ac:dyDescent="0.55000000000000004">
      <c r="A4769"/>
    </row>
    <row r="4770" spans="1:1" x14ac:dyDescent="0.55000000000000004">
      <c r="A4770"/>
    </row>
    <row r="4771" spans="1:1" x14ac:dyDescent="0.55000000000000004">
      <c r="A4771"/>
    </row>
    <row r="4772" spans="1:1" x14ac:dyDescent="0.55000000000000004">
      <c r="A4772"/>
    </row>
    <row r="4773" spans="1:1" x14ac:dyDescent="0.55000000000000004">
      <c r="A4773"/>
    </row>
    <row r="4774" spans="1:1" x14ac:dyDescent="0.55000000000000004">
      <c r="A4774"/>
    </row>
    <row r="4775" spans="1:1" x14ac:dyDescent="0.55000000000000004">
      <c r="A4775"/>
    </row>
    <row r="4776" spans="1:1" x14ac:dyDescent="0.55000000000000004">
      <c r="A4776"/>
    </row>
    <row r="4777" spans="1:1" x14ac:dyDescent="0.55000000000000004">
      <c r="A4777"/>
    </row>
    <row r="4778" spans="1:1" x14ac:dyDescent="0.55000000000000004">
      <c r="A4778"/>
    </row>
    <row r="4779" spans="1:1" x14ac:dyDescent="0.55000000000000004">
      <c r="A4779"/>
    </row>
    <row r="4780" spans="1:1" x14ac:dyDescent="0.55000000000000004">
      <c r="A4780"/>
    </row>
    <row r="4781" spans="1:1" x14ac:dyDescent="0.55000000000000004">
      <c r="A4781"/>
    </row>
    <row r="4782" spans="1:1" x14ac:dyDescent="0.55000000000000004">
      <c r="A4782"/>
    </row>
    <row r="4783" spans="1:1" x14ac:dyDescent="0.55000000000000004">
      <c r="A4783"/>
    </row>
    <row r="4784" spans="1:1" x14ac:dyDescent="0.55000000000000004">
      <c r="A4784"/>
    </row>
    <row r="4785" spans="1:1" x14ac:dyDescent="0.55000000000000004">
      <c r="A4785"/>
    </row>
    <row r="4786" spans="1:1" x14ac:dyDescent="0.55000000000000004">
      <c r="A4786"/>
    </row>
    <row r="4787" spans="1:1" x14ac:dyDescent="0.55000000000000004">
      <c r="A4787"/>
    </row>
    <row r="4788" spans="1:1" x14ac:dyDescent="0.55000000000000004">
      <c r="A4788"/>
    </row>
    <row r="4789" spans="1:1" x14ac:dyDescent="0.55000000000000004">
      <c r="A4789"/>
    </row>
    <row r="4790" spans="1:1" x14ac:dyDescent="0.55000000000000004">
      <c r="A4790"/>
    </row>
    <row r="4791" spans="1:1" x14ac:dyDescent="0.55000000000000004">
      <c r="A4791"/>
    </row>
    <row r="4792" spans="1:1" x14ac:dyDescent="0.55000000000000004">
      <c r="A4792"/>
    </row>
    <row r="4793" spans="1:1" x14ac:dyDescent="0.55000000000000004">
      <c r="A4793"/>
    </row>
    <row r="4794" spans="1:1" x14ac:dyDescent="0.55000000000000004">
      <c r="A4794"/>
    </row>
    <row r="4795" spans="1:1" x14ac:dyDescent="0.55000000000000004">
      <c r="A4795"/>
    </row>
    <row r="4796" spans="1:1" x14ac:dyDescent="0.55000000000000004">
      <c r="A4796"/>
    </row>
    <row r="4797" spans="1:1" x14ac:dyDescent="0.55000000000000004">
      <c r="A4797"/>
    </row>
    <row r="4798" spans="1:1" x14ac:dyDescent="0.55000000000000004">
      <c r="A4798"/>
    </row>
    <row r="4799" spans="1:1" x14ac:dyDescent="0.55000000000000004">
      <c r="A4799"/>
    </row>
    <row r="4800" spans="1:1" x14ac:dyDescent="0.55000000000000004">
      <c r="A4800"/>
    </row>
    <row r="4801" spans="1:1" x14ac:dyDescent="0.55000000000000004">
      <c r="A4801"/>
    </row>
    <row r="4802" spans="1:1" x14ac:dyDescent="0.55000000000000004">
      <c r="A4802"/>
    </row>
    <row r="4803" spans="1:1" x14ac:dyDescent="0.55000000000000004">
      <c r="A4803"/>
    </row>
    <row r="4804" spans="1:1" x14ac:dyDescent="0.55000000000000004">
      <c r="A4804"/>
    </row>
    <row r="4805" spans="1:1" x14ac:dyDescent="0.55000000000000004">
      <c r="A4805"/>
    </row>
    <row r="4806" spans="1:1" x14ac:dyDescent="0.55000000000000004">
      <c r="A4806"/>
    </row>
    <row r="4807" spans="1:1" x14ac:dyDescent="0.55000000000000004">
      <c r="A4807"/>
    </row>
    <row r="4808" spans="1:1" x14ac:dyDescent="0.55000000000000004">
      <c r="A4808"/>
    </row>
    <row r="4809" spans="1:1" x14ac:dyDescent="0.55000000000000004">
      <c r="A4809"/>
    </row>
    <row r="4810" spans="1:1" x14ac:dyDescent="0.55000000000000004">
      <c r="A4810"/>
    </row>
    <row r="4811" spans="1:1" x14ac:dyDescent="0.55000000000000004">
      <c r="A4811"/>
    </row>
    <row r="4812" spans="1:1" x14ac:dyDescent="0.55000000000000004">
      <c r="A4812"/>
    </row>
    <row r="4813" spans="1:1" x14ac:dyDescent="0.55000000000000004">
      <c r="A4813"/>
    </row>
    <row r="4814" spans="1:1" x14ac:dyDescent="0.55000000000000004">
      <c r="A4814"/>
    </row>
    <row r="4815" spans="1:1" x14ac:dyDescent="0.55000000000000004">
      <c r="A4815"/>
    </row>
    <row r="4816" spans="1:1" x14ac:dyDescent="0.55000000000000004">
      <c r="A4816"/>
    </row>
    <row r="4817" spans="1:1" x14ac:dyDescent="0.55000000000000004">
      <c r="A4817"/>
    </row>
    <row r="4818" spans="1:1" x14ac:dyDescent="0.55000000000000004">
      <c r="A4818"/>
    </row>
    <row r="4819" spans="1:1" x14ac:dyDescent="0.55000000000000004">
      <c r="A4819"/>
    </row>
    <row r="4820" spans="1:1" x14ac:dyDescent="0.55000000000000004">
      <c r="A4820"/>
    </row>
    <row r="4821" spans="1:1" x14ac:dyDescent="0.55000000000000004">
      <c r="A4821"/>
    </row>
    <row r="4822" spans="1:1" x14ac:dyDescent="0.55000000000000004">
      <c r="A4822"/>
    </row>
    <row r="4823" spans="1:1" x14ac:dyDescent="0.55000000000000004">
      <c r="A4823"/>
    </row>
    <row r="4824" spans="1:1" x14ac:dyDescent="0.55000000000000004">
      <c r="A4824"/>
    </row>
    <row r="4825" spans="1:1" x14ac:dyDescent="0.55000000000000004">
      <c r="A4825"/>
    </row>
    <row r="4826" spans="1:1" x14ac:dyDescent="0.55000000000000004">
      <c r="A4826"/>
    </row>
    <row r="4827" spans="1:1" x14ac:dyDescent="0.55000000000000004">
      <c r="A4827"/>
    </row>
    <row r="4828" spans="1:1" x14ac:dyDescent="0.55000000000000004">
      <c r="A4828"/>
    </row>
    <row r="4829" spans="1:1" x14ac:dyDescent="0.55000000000000004">
      <c r="A4829"/>
    </row>
    <row r="4830" spans="1:1" x14ac:dyDescent="0.55000000000000004">
      <c r="A4830"/>
    </row>
    <row r="4831" spans="1:1" x14ac:dyDescent="0.55000000000000004">
      <c r="A4831"/>
    </row>
    <row r="4832" spans="1:1" x14ac:dyDescent="0.55000000000000004">
      <c r="A4832"/>
    </row>
    <row r="4833" spans="1:1" x14ac:dyDescent="0.55000000000000004">
      <c r="A4833"/>
    </row>
    <row r="4834" spans="1:1" x14ac:dyDescent="0.55000000000000004">
      <c r="A4834"/>
    </row>
    <row r="4835" spans="1:1" x14ac:dyDescent="0.55000000000000004">
      <c r="A4835"/>
    </row>
    <row r="4836" spans="1:1" x14ac:dyDescent="0.55000000000000004">
      <c r="A4836"/>
    </row>
    <row r="4837" spans="1:1" x14ac:dyDescent="0.55000000000000004">
      <c r="A4837"/>
    </row>
    <row r="4838" spans="1:1" x14ac:dyDescent="0.55000000000000004">
      <c r="A4838"/>
    </row>
    <row r="4839" spans="1:1" x14ac:dyDescent="0.55000000000000004">
      <c r="A4839"/>
    </row>
    <row r="4840" spans="1:1" x14ac:dyDescent="0.55000000000000004">
      <c r="A4840"/>
    </row>
    <row r="4841" spans="1:1" x14ac:dyDescent="0.55000000000000004">
      <c r="A4841"/>
    </row>
    <row r="4842" spans="1:1" x14ac:dyDescent="0.55000000000000004">
      <c r="A4842"/>
    </row>
    <row r="4843" spans="1:1" x14ac:dyDescent="0.55000000000000004">
      <c r="A4843"/>
    </row>
    <row r="4844" spans="1:1" x14ac:dyDescent="0.55000000000000004">
      <c r="A4844"/>
    </row>
    <row r="4845" spans="1:1" x14ac:dyDescent="0.55000000000000004">
      <c r="A4845"/>
    </row>
    <row r="4846" spans="1:1" x14ac:dyDescent="0.55000000000000004">
      <c r="A4846"/>
    </row>
    <row r="4847" spans="1:1" x14ac:dyDescent="0.55000000000000004">
      <c r="A4847"/>
    </row>
    <row r="4848" spans="1:1" x14ac:dyDescent="0.55000000000000004">
      <c r="A4848"/>
    </row>
    <row r="4849" spans="1:1" x14ac:dyDescent="0.55000000000000004">
      <c r="A4849"/>
    </row>
    <row r="4850" spans="1:1" x14ac:dyDescent="0.55000000000000004">
      <c r="A4850"/>
    </row>
    <row r="4851" spans="1:1" x14ac:dyDescent="0.55000000000000004">
      <c r="A4851"/>
    </row>
    <row r="4852" spans="1:1" x14ac:dyDescent="0.55000000000000004">
      <c r="A4852"/>
    </row>
    <row r="4853" spans="1:1" x14ac:dyDescent="0.55000000000000004">
      <c r="A4853"/>
    </row>
    <row r="4854" spans="1:1" x14ac:dyDescent="0.55000000000000004">
      <c r="A4854"/>
    </row>
    <row r="4855" spans="1:1" x14ac:dyDescent="0.55000000000000004">
      <c r="A4855"/>
    </row>
    <row r="4856" spans="1:1" x14ac:dyDescent="0.55000000000000004">
      <c r="A4856"/>
    </row>
    <row r="4857" spans="1:1" x14ac:dyDescent="0.55000000000000004">
      <c r="A4857"/>
    </row>
    <row r="4858" spans="1:1" x14ac:dyDescent="0.55000000000000004">
      <c r="A4858"/>
    </row>
    <row r="4859" spans="1:1" x14ac:dyDescent="0.55000000000000004">
      <c r="A4859"/>
    </row>
    <row r="4860" spans="1:1" x14ac:dyDescent="0.55000000000000004">
      <c r="A4860"/>
    </row>
    <row r="4861" spans="1:1" x14ac:dyDescent="0.55000000000000004">
      <c r="A4861"/>
    </row>
    <row r="4862" spans="1:1" x14ac:dyDescent="0.55000000000000004">
      <c r="A4862"/>
    </row>
    <row r="4863" spans="1:1" x14ac:dyDescent="0.55000000000000004">
      <c r="A4863"/>
    </row>
    <row r="4864" spans="1:1" x14ac:dyDescent="0.55000000000000004">
      <c r="A4864"/>
    </row>
    <row r="4865" spans="1:1" x14ac:dyDescent="0.55000000000000004">
      <c r="A4865"/>
    </row>
    <row r="4866" spans="1:1" x14ac:dyDescent="0.55000000000000004">
      <c r="A4866"/>
    </row>
    <row r="4867" spans="1:1" x14ac:dyDescent="0.55000000000000004">
      <c r="A4867"/>
    </row>
    <row r="4868" spans="1:1" x14ac:dyDescent="0.55000000000000004">
      <c r="A4868"/>
    </row>
    <row r="4869" spans="1:1" x14ac:dyDescent="0.55000000000000004">
      <c r="A4869"/>
    </row>
    <row r="4870" spans="1:1" x14ac:dyDescent="0.55000000000000004">
      <c r="A4870"/>
    </row>
    <row r="4871" spans="1:1" x14ac:dyDescent="0.55000000000000004">
      <c r="A4871"/>
    </row>
    <row r="4872" spans="1:1" x14ac:dyDescent="0.55000000000000004">
      <c r="A4872"/>
    </row>
    <row r="4873" spans="1:1" x14ac:dyDescent="0.55000000000000004">
      <c r="A4873"/>
    </row>
    <row r="4874" spans="1:1" x14ac:dyDescent="0.55000000000000004">
      <c r="A4874"/>
    </row>
    <row r="4875" spans="1:1" x14ac:dyDescent="0.55000000000000004">
      <c r="A4875"/>
    </row>
    <row r="4876" spans="1:1" x14ac:dyDescent="0.55000000000000004">
      <c r="A4876"/>
    </row>
    <row r="4877" spans="1:1" x14ac:dyDescent="0.55000000000000004">
      <c r="A4877"/>
    </row>
    <row r="4878" spans="1:1" x14ac:dyDescent="0.55000000000000004">
      <c r="A4878"/>
    </row>
    <row r="4879" spans="1:1" x14ac:dyDescent="0.55000000000000004">
      <c r="A4879"/>
    </row>
    <row r="4880" spans="1:1" x14ac:dyDescent="0.55000000000000004">
      <c r="A4880"/>
    </row>
    <row r="4881" spans="1:1" x14ac:dyDescent="0.55000000000000004">
      <c r="A4881"/>
    </row>
    <row r="4882" spans="1:1" x14ac:dyDescent="0.55000000000000004">
      <c r="A4882"/>
    </row>
    <row r="4883" spans="1:1" x14ac:dyDescent="0.55000000000000004">
      <c r="A4883"/>
    </row>
    <row r="4884" spans="1:1" x14ac:dyDescent="0.55000000000000004">
      <c r="A4884"/>
    </row>
    <row r="4885" spans="1:1" x14ac:dyDescent="0.55000000000000004">
      <c r="A4885"/>
    </row>
    <row r="4886" spans="1:1" x14ac:dyDescent="0.55000000000000004">
      <c r="A4886"/>
    </row>
    <row r="4887" spans="1:1" x14ac:dyDescent="0.55000000000000004">
      <c r="A4887"/>
    </row>
    <row r="4888" spans="1:1" x14ac:dyDescent="0.55000000000000004">
      <c r="A4888"/>
    </row>
    <row r="4889" spans="1:1" x14ac:dyDescent="0.55000000000000004">
      <c r="A4889"/>
    </row>
    <row r="4890" spans="1:1" x14ac:dyDescent="0.55000000000000004">
      <c r="A4890"/>
    </row>
    <row r="4891" spans="1:1" x14ac:dyDescent="0.55000000000000004">
      <c r="A4891"/>
    </row>
    <row r="4892" spans="1:1" x14ac:dyDescent="0.55000000000000004">
      <c r="A4892"/>
    </row>
    <row r="4893" spans="1:1" x14ac:dyDescent="0.55000000000000004">
      <c r="A4893"/>
    </row>
    <row r="4894" spans="1:1" x14ac:dyDescent="0.55000000000000004">
      <c r="A4894"/>
    </row>
    <row r="4895" spans="1:1" x14ac:dyDescent="0.55000000000000004">
      <c r="A4895"/>
    </row>
    <row r="4896" spans="1:1" x14ac:dyDescent="0.55000000000000004">
      <c r="A4896"/>
    </row>
    <row r="4897" spans="1:1" x14ac:dyDescent="0.55000000000000004">
      <c r="A4897"/>
    </row>
    <row r="4898" spans="1:1" x14ac:dyDescent="0.55000000000000004">
      <c r="A4898"/>
    </row>
    <row r="4899" spans="1:1" x14ac:dyDescent="0.55000000000000004">
      <c r="A4899"/>
    </row>
    <row r="4900" spans="1:1" x14ac:dyDescent="0.55000000000000004">
      <c r="A4900"/>
    </row>
    <row r="4901" spans="1:1" x14ac:dyDescent="0.55000000000000004">
      <c r="A4901"/>
    </row>
    <row r="4902" spans="1:1" x14ac:dyDescent="0.55000000000000004">
      <c r="A4902"/>
    </row>
    <row r="4903" spans="1:1" x14ac:dyDescent="0.55000000000000004">
      <c r="A4903"/>
    </row>
    <row r="4904" spans="1:1" x14ac:dyDescent="0.55000000000000004">
      <c r="A4904"/>
    </row>
    <row r="4905" spans="1:1" x14ac:dyDescent="0.55000000000000004">
      <c r="A4905"/>
    </row>
    <row r="4906" spans="1:1" x14ac:dyDescent="0.55000000000000004">
      <c r="A4906"/>
    </row>
    <row r="4907" spans="1:1" x14ac:dyDescent="0.55000000000000004">
      <c r="A4907"/>
    </row>
    <row r="4908" spans="1:1" x14ac:dyDescent="0.55000000000000004">
      <c r="A4908"/>
    </row>
    <row r="4909" spans="1:1" x14ac:dyDescent="0.55000000000000004">
      <c r="A4909"/>
    </row>
    <row r="4910" spans="1:1" x14ac:dyDescent="0.55000000000000004">
      <c r="A4910"/>
    </row>
    <row r="4911" spans="1:1" x14ac:dyDescent="0.55000000000000004">
      <c r="A4911"/>
    </row>
    <row r="4912" spans="1:1" x14ac:dyDescent="0.55000000000000004">
      <c r="A4912"/>
    </row>
    <row r="4913" spans="1:1" x14ac:dyDescent="0.55000000000000004">
      <c r="A4913"/>
    </row>
    <row r="4914" spans="1:1" x14ac:dyDescent="0.55000000000000004">
      <c r="A4914"/>
    </row>
    <row r="4915" spans="1:1" x14ac:dyDescent="0.55000000000000004">
      <c r="A4915"/>
    </row>
    <row r="4916" spans="1:1" x14ac:dyDescent="0.55000000000000004">
      <c r="A4916"/>
    </row>
    <row r="4917" spans="1:1" x14ac:dyDescent="0.55000000000000004">
      <c r="A4917"/>
    </row>
    <row r="4918" spans="1:1" x14ac:dyDescent="0.55000000000000004">
      <c r="A4918"/>
    </row>
    <row r="4919" spans="1:1" x14ac:dyDescent="0.55000000000000004">
      <c r="A4919"/>
    </row>
    <row r="4920" spans="1:1" x14ac:dyDescent="0.55000000000000004">
      <c r="A4920"/>
    </row>
    <row r="4921" spans="1:1" x14ac:dyDescent="0.55000000000000004">
      <c r="A4921"/>
    </row>
    <row r="4922" spans="1:1" x14ac:dyDescent="0.55000000000000004">
      <c r="A4922"/>
    </row>
    <row r="4923" spans="1:1" x14ac:dyDescent="0.55000000000000004">
      <c r="A4923"/>
    </row>
    <row r="4924" spans="1:1" x14ac:dyDescent="0.55000000000000004">
      <c r="A4924"/>
    </row>
    <row r="4925" spans="1:1" x14ac:dyDescent="0.55000000000000004">
      <c r="A4925"/>
    </row>
    <row r="4926" spans="1:1" x14ac:dyDescent="0.55000000000000004">
      <c r="A4926"/>
    </row>
    <row r="4927" spans="1:1" x14ac:dyDescent="0.55000000000000004">
      <c r="A4927"/>
    </row>
    <row r="4928" spans="1:1" x14ac:dyDescent="0.55000000000000004">
      <c r="A4928"/>
    </row>
    <row r="4929" spans="1:1" x14ac:dyDescent="0.55000000000000004">
      <c r="A4929"/>
    </row>
    <row r="4930" spans="1:1" x14ac:dyDescent="0.55000000000000004">
      <c r="A4930"/>
    </row>
    <row r="4931" spans="1:1" x14ac:dyDescent="0.55000000000000004">
      <c r="A4931"/>
    </row>
    <row r="4932" spans="1:1" x14ac:dyDescent="0.55000000000000004">
      <c r="A4932"/>
    </row>
    <row r="4933" spans="1:1" x14ac:dyDescent="0.55000000000000004">
      <c r="A4933"/>
    </row>
    <row r="4934" spans="1:1" x14ac:dyDescent="0.55000000000000004">
      <c r="A4934"/>
    </row>
    <row r="4935" spans="1:1" x14ac:dyDescent="0.55000000000000004">
      <c r="A4935"/>
    </row>
    <row r="4936" spans="1:1" x14ac:dyDescent="0.55000000000000004">
      <c r="A4936"/>
    </row>
    <row r="4937" spans="1:1" x14ac:dyDescent="0.55000000000000004">
      <c r="A4937"/>
    </row>
    <row r="4938" spans="1:1" x14ac:dyDescent="0.55000000000000004">
      <c r="A4938"/>
    </row>
    <row r="4939" spans="1:1" x14ac:dyDescent="0.55000000000000004">
      <c r="A4939"/>
    </row>
    <row r="4940" spans="1:1" x14ac:dyDescent="0.55000000000000004">
      <c r="A4940"/>
    </row>
    <row r="4941" spans="1:1" x14ac:dyDescent="0.55000000000000004">
      <c r="A4941"/>
    </row>
    <row r="4942" spans="1:1" x14ac:dyDescent="0.55000000000000004">
      <c r="A4942"/>
    </row>
    <row r="4943" spans="1:1" x14ac:dyDescent="0.55000000000000004">
      <c r="A4943"/>
    </row>
    <row r="4944" spans="1:1" x14ac:dyDescent="0.55000000000000004">
      <c r="A4944"/>
    </row>
    <row r="4945" spans="1:1" x14ac:dyDescent="0.55000000000000004">
      <c r="A4945"/>
    </row>
    <row r="4946" spans="1:1" x14ac:dyDescent="0.55000000000000004">
      <c r="A4946"/>
    </row>
    <row r="4947" spans="1:1" x14ac:dyDescent="0.55000000000000004">
      <c r="A4947"/>
    </row>
    <row r="4948" spans="1:1" x14ac:dyDescent="0.55000000000000004">
      <c r="A4948"/>
    </row>
    <row r="4949" spans="1:1" x14ac:dyDescent="0.55000000000000004">
      <c r="A4949"/>
    </row>
    <row r="4950" spans="1:1" x14ac:dyDescent="0.55000000000000004">
      <c r="A4950"/>
    </row>
    <row r="4951" spans="1:1" x14ac:dyDescent="0.55000000000000004">
      <c r="A4951"/>
    </row>
    <row r="4952" spans="1:1" x14ac:dyDescent="0.55000000000000004">
      <c r="A4952"/>
    </row>
    <row r="4953" spans="1:1" x14ac:dyDescent="0.55000000000000004">
      <c r="A4953"/>
    </row>
    <row r="4954" spans="1:1" x14ac:dyDescent="0.55000000000000004">
      <c r="A4954"/>
    </row>
    <row r="4955" spans="1:1" x14ac:dyDescent="0.55000000000000004">
      <c r="A4955"/>
    </row>
    <row r="4956" spans="1:1" x14ac:dyDescent="0.55000000000000004">
      <c r="A4956"/>
    </row>
    <row r="4957" spans="1:1" x14ac:dyDescent="0.55000000000000004">
      <c r="A4957"/>
    </row>
    <row r="4958" spans="1:1" x14ac:dyDescent="0.55000000000000004">
      <c r="A4958"/>
    </row>
    <row r="4959" spans="1:1" x14ac:dyDescent="0.55000000000000004">
      <c r="A4959"/>
    </row>
    <row r="4960" spans="1:1" x14ac:dyDescent="0.55000000000000004">
      <c r="A4960"/>
    </row>
    <row r="4961" spans="1:1" x14ac:dyDescent="0.55000000000000004">
      <c r="A4961"/>
    </row>
    <row r="4962" spans="1:1" x14ac:dyDescent="0.55000000000000004">
      <c r="A4962"/>
    </row>
    <row r="4963" spans="1:1" x14ac:dyDescent="0.55000000000000004">
      <c r="A4963"/>
    </row>
    <row r="4964" spans="1:1" x14ac:dyDescent="0.55000000000000004">
      <c r="A4964"/>
    </row>
    <row r="4965" spans="1:1" x14ac:dyDescent="0.55000000000000004">
      <c r="A4965"/>
    </row>
    <row r="4966" spans="1:1" x14ac:dyDescent="0.55000000000000004">
      <c r="A4966"/>
    </row>
    <row r="4967" spans="1:1" x14ac:dyDescent="0.55000000000000004">
      <c r="A4967"/>
    </row>
    <row r="4968" spans="1:1" x14ac:dyDescent="0.55000000000000004">
      <c r="A4968"/>
    </row>
    <row r="4969" spans="1:1" x14ac:dyDescent="0.55000000000000004">
      <c r="A4969"/>
    </row>
    <row r="4970" spans="1:1" x14ac:dyDescent="0.55000000000000004">
      <c r="A4970"/>
    </row>
    <row r="4971" spans="1:1" x14ac:dyDescent="0.55000000000000004">
      <c r="A4971"/>
    </row>
    <row r="4972" spans="1:1" x14ac:dyDescent="0.55000000000000004">
      <c r="A4972"/>
    </row>
    <row r="4973" spans="1:1" x14ac:dyDescent="0.55000000000000004">
      <c r="A4973"/>
    </row>
    <row r="4974" spans="1:1" x14ac:dyDescent="0.55000000000000004">
      <c r="A4974"/>
    </row>
    <row r="4975" spans="1:1" x14ac:dyDescent="0.55000000000000004">
      <c r="A4975"/>
    </row>
    <row r="4976" spans="1:1" x14ac:dyDescent="0.55000000000000004">
      <c r="A4976"/>
    </row>
    <row r="4977" spans="1:1" x14ac:dyDescent="0.55000000000000004">
      <c r="A4977"/>
    </row>
    <row r="4978" spans="1:1" x14ac:dyDescent="0.55000000000000004">
      <c r="A4978"/>
    </row>
    <row r="4979" spans="1:1" x14ac:dyDescent="0.55000000000000004">
      <c r="A4979"/>
    </row>
    <row r="4980" spans="1:1" x14ac:dyDescent="0.55000000000000004">
      <c r="A4980"/>
    </row>
    <row r="4981" spans="1:1" x14ac:dyDescent="0.55000000000000004">
      <c r="A4981"/>
    </row>
    <row r="4982" spans="1:1" x14ac:dyDescent="0.55000000000000004">
      <c r="A4982"/>
    </row>
    <row r="4983" spans="1:1" x14ac:dyDescent="0.55000000000000004">
      <c r="A4983"/>
    </row>
    <row r="4984" spans="1:1" x14ac:dyDescent="0.55000000000000004">
      <c r="A4984"/>
    </row>
    <row r="4985" spans="1:1" x14ac:dyDescent="0.55000000000000004">
      <c r="A4985"/>
    </row>
    <row r="4986" spans="1:1" x14ac:dyDescent="0.55000000000000004">
      <c r="A4986"/>
    </row>
    <row r="4987" spans="1:1" x14ac:dyDescent="0.55000000000000004">
      <c r="A4987"/>
    </row>
    <row r="4988" spans="1:1" x14ac:dyDescent="0.55000000000000004">
      <c r="A4988"/>
    </row>
    <row r="4989" spans="1:1" x14ac:dyDescent="0.55000000000000004">
      <c r="A4989"/>
    </row>
    <row r="4990" spans="1:1" x14ac:dyDescent="0.55000000000000004">
      <c r="A4990"/>
    </row>
    <row r="4991" spans="1:1" x14ac:dyDescent="0.55000000000000004">
      <c r="A4991"/>
    </row>
    <row r="4992" spans="1:1" x14ac:dyDescent="0.55000000000000004">
      <c r="A4992"/>
    </row>
    <row r="4993" spans="1:1" x14ac:dyDescent="0.55000000000000004">
      <c r="A4993"/>
    </row>
    <row r="4994" spans="1:1" x14ac:dyDescent="0.55000000000000004">
      <c r="A4994"/>
    </row>
    <row r="4995" spans="1:1" x14ac:dyDescent="0.55000000000000004">
      <c r="A4995"/>
    </row>
    <row r="4996" spans="1:1" x14ac:dyDescent="0.55000000000000004">
      <c r="A4996"/>
    </row>
    <row r="4997" spans="1:1" x14ac:dyDescent="0.55000000000000004">
      <c r="A4997"/>
    </row>
    <row r="4998" spans="1:1" x14ac:dyDescent="0.55000000000000004">
      <c r="A4998"/>
    </row>
    <row r="4999" spans="1:1" x14ac:dyDescent="0.55000000000000004">
      <c r="A4999"/>
    </row>
    <row r="5000" spans="1:1" x14ac:dyDescent="0.55000000000000004">
      <c r="A5000"/>
    </row>
    <row r="5001" spans="1:1" x14ac:dyDescent="0.55000000000000004">
      <c r="A5001"/>
    </row>
    <row r="5002" spans="1:1" x14ac:dyDescent="0.55000000000000004">
      <c r="A5002"/>
    </row>
    <row r="5003" spans="1:1" x14ac:dyDescent="0.55000000000000004">
      <c r="A5003"/>
    </row>
    <row r="5004" spans="1:1" x14ac:dyDescent="0.55000000000000004">
      <c r="A5004"/>
    </row>
    <row r="5005" spans="1:1" x14ac:dyDescent="0.55000000000000004">
      <c r="A5005"/>
    </row>
    <row r="5006" spans="1:1" x14ac:dyDescent="0.55000000000000004">
      <c r="A5006"/>
    </row>
    <row r="5007" spans="1:1" x14ac:dyDescent="0.55000000000000004">
      <c r="A5007"/>
    </row>
    <row r="5008" spans="1:1" x14ac:dyDescent="0.55000000000000004">
      <c r="A5008"/>
    </row>
    <row r="5009" spans="1:1" x14ac:dyDescent="0.55000000000000004">
      <c r="A5009"/>
    </row>
    <row r="5010" spans="1:1" x14ac:dyDescent="0.55000000000000004">
      <c r="A5010"/>
    </row>
    <row r="5011" spans="1:1" x14ac:dyDescent="0.55000000000000004">
      <c r="A5011"/>
    </row>
    <row r="5012" spans="1:1" x14ac:dyDescent="0.55000000000000004">
      <c r="A5012"/>
    </row>
    <row r="5013" spans="1:1" x14ac:dyDescent="0.55000000000000004">
      <c r="A5013"/>
    </row>
    <row r="5014" spans="1:1" x14ac:dyDescent="0.55000000000000004">
      <c r="A5014"/>
    </row>
    <row r="5015" spans="1:1" x14ac:dyDescent="0.55000000000000004">
      <c r="A5015"/>
    </row>
    <row r="5016" spans="1:1" x14ac:dyDescent="0.55000000000000004">
      <c r="A5016"/>
    </row>
    <row r="5017" spans="1:1" x14ac:dyDescent="0.55000000000000004">
      <c r="A5017"/>
    </row>
    <row r="5018" spans="1:1" x14ac:dyDescent="0.55000000000000004">
      <c r="A5018"/>
    </row>
    <row r="5019" spans="1:1" x14ac:dyDescent="0.55000000000000004">
      <c r="A5019"/>
    </row>
    <row r="5020" spans="1:1" x14ac:dyDescent="0.55000000000000004">
      <c r="A5020"/>
    </row>
    <row r="5021" spans="1:1" x14ac:dyDescent="0.55000000000000004">
      <c r="A5021"/>
    </row>
    <row r="5022" spans="1:1" x14ac:dyDescent="0.55000000000000004">
      <c r="A5022"/>
    </row>
    <row r="5023" spans="1:1" x14ac:dyDescent="0.55000000000000004">
      <c r="A5023"/>
    </row>
    <row r="5024" spans="1:1" x14ac:dyDescent="0.55000000000000004">
      <c r="A5024"/>
    </row>
    <row r="5025" spans="1:1" x14ac:dyDescent="0.55000000000000004">
      <c r="A5025"/>
    </row>
    <row r="5026" spans="1:1" x14ac:dyDescent="0.55000000000000004">
      <c r="A5026"/>
    </row>
    <row r="5027" spans="1:1" x14ac:dyDescent="0.55000000000000004">
      <c r="A5027"/>
    </row>
    <row r="5028" spans="1:1" x14ac:dyDescent="0.55000000000000004">
      <c r="A5028"/>
    </row>
    <row r="5029" spans="1:1" x14ac:dyDescent="0.55000000000000004">
      <c r="A5029"/>
    </row>
    <row r="5030" spans="1:1" x14ac:dyDescent="0.55000000000000004">
      <c r="A5030"/>
    </row>
    <row r="5031" spans="1:1" x14ac:dyDescent="0.55000000000000004">
      <c r="A5031"/>
    </row>
    <row r="5032" spans="1:1" x14ac:dyDescent="0.55000000000000004">
      <c r="A5032"/>
    </row>
    <row r="5033" spans="1:1" x14ac:dyDescent="0.55000000000000004">
      <c r="A5033"/>
    </row>
    <row r="5034" spans="1:1" x14ac:dyDescent="0.55000000000000004">
      <c r="A5034"/>
    </row>
    <row r="5035" spans="1:1" x14ac:dyDescent="0.55000000000000004">
      <c r="A5035"/>
    </row>
    <row r="5036" spans="1:1" x14ac:dyDescent="0.55000000000000004">
      <c r="A5036"/>
    </row>
    <row r="5037" spans="1:1" x14ac:dyDescent="0.55000000000000004">
      <c r="A5037"/>
    </row>
    <row r="5038" spans="1:1" x14ac:dyDescent="0.55000000000000004">
      <c r="A5038"/>
    </row>
    <row r="5039" spans="1:1" x14ac:dyDescent="0.55000000000000004">
      <c r="A5039"/>
    </row>
    <row r="5040" spans="1:1" x14ac:dyDescent="0.55000000000000004">
      <c r="A5040"/>
    </row>
    <row r="5041" spans="1:1" x14ac:dyDescent="0.55000000000000004">
      <c r="A5041"/>
    </row>
    <row r="5042" spans="1:1" x14ac:dyDescent="0.55000000000000004">
      <c r="A5042"/>
    </row>
    <row r="5043" spans="1:1" x14ac:dyDescent="0.55000000000000004">
      <c r="A5043"/>
    </row>
    <row r="5044" spans="1:1" x14ac:dyDescent="0.55000000000000004">
      <c r="A5044"/>
    </row>
    <row r="5045" spans="1:1" x14ac:dyDescent="0.55000000000000004">
      <c r="A5045"/>
    </row>
    <row r="5046" spans="1:1" x14ac:dyDescent="0.55000000000000004">
      <c r="A5046"/>
    </row>
    <row r="5047" spans="1:1" x14ac:dyDescent="0.55000000000000004">
      <c r="A5047"/>
    </row>
    <row r="5048" spans="1:1" x14ac:dyDescent="0.55000000000000004">
      <c r="A5048"/>
    </row>
    <row r="5049" spans="1:1" x14ac:dyDescent="0.55000000000000004">
      <c r="A5049"/>
    </row>
    <row r="5050" spans="1:1" x14ac:dyDescent="0.55000000000000004">
      <c r="A5050"/>
    </row>
    <row r="5051" spans="1:1" x14ac:dyDescent="0.55000000000000004">
      <c r="A5051"/>
    </row>
    <row r="5052" spans="1:1" x14ac:dyDescent="0.55000000000000004">
      <c r="A5052"/>
    </row>
    <row r="5053" spans="1:1" x14ac:dyDescent="0.55000000000000004">
      <c r="A5053"/>
    </row>
    <row r="5054" spans="1:1" x14ac:dyDescent="0.55000000000000004">
      <c r="A5054"/>
    </row>
    <row r="5055" spans="1:1" x14ac:dyDescent="0.55000000000000004">
      <c r="A5055"/>
    </row>
    <row r="5056" spans="1:1" x14ac:dyDescent="0.55000000000000004">
      <c r="A5056"/>
    </row>
    <row r="5057" spans="1:1" x14ac:dyDescent="0.55000000000000004">
      <c r="A5057"/>
    </row>
    <row r="5058" spans="1:1" x14ac:dyDescent="0.55000000000000004">
      <c r="A5058"/>
    </row>
    <row r="5059" spans="1:1" x14ac:dyDescent="0.55000000000000004">
      <c r="A5059"/>
    </row>
    <row r="5060" spans="1:1" x14ac:dyDescent="0.55000000000000004">
      <c r="A5060"/>
    </row>
    <row r="5061" spans="1:1" x14ac:dyDescent="0.55000000000000004">
      <c r="A5061"/>
    </row>
    <row r="5062" spans="1:1" x14ac:dyDescent="0.55000000000000004">
      <c r="A5062"/>
    </row>
    <row r="5063" spans="1:1" x14ac:dyDescent="0.55000000000000004">
      <c r="A5063"/>
    </row>
    <row r="5064" spans="1:1" x14ac:dyDescent="0.55000000000000004">
      <c r="A5064"/>
    </row>
    <row r="5065" spans="1:1" x14ac:dyDescent="0.55000000000000004">
      <c r="A5065"/>
    </row>
    <row r="5066" spans="1:1" x14ac:dyDescent="0.55000000000000004">
      <c r="A5066"/>
    </row>
    <row r="5067" spans="1:1" x14ac:dyDescent="0.55000000000000004">
      <c r="A5067"/>
    </row>
    <row r="5068" spans="1:1" x14ac:dyDescent="0.55000000000000004">
      <c r="A5068"/>
    </row>
    <row r="5069" spans="1:1" x14ac:dyDescent="0.55000000000000004">
      <c r="A5069"/>
    </row>
    <row r="5070" spans="1:1" x14ac:dyDescent="0.55000000000000004">
      <c r="A5070"/>
    </row>
    <row r="5071" spans="1:1" x14ac:dyDescent="0.55000000000000004">
      <c r="A5071"/>
    </row>
    <row r="5072" spans="1:1" x14ac:dyDescent="0.55000000000000004">
      <c r="A5072"/>
    </row>
    <row r="5073" spans="1:1" x14ac:dyDescent="0.55000000000000004">
      <c r="A5073"/>
    </row>
    <row r="5074" spans="1:1" x14ac:dyDescent="0.55000000000000004">
      <c r="A5074"/>
    </row>
    <row r="5075" spans="1:1" x14ac:dyDescent="0.55000000000000004">
      <c r="A5075"/>
    </row>
    <row r="5076" spans="1:1" x14ac:dyDescent="0.55000000000000004">
      <c r="A5076"/>
    </row>
    <row r="5077" spans="1:1" x14ac:dyDescent="0.55000000000000004">
      <c r="A5077"/>
    </row>
    <row r="5078" spans="1:1" x14ac:dyDescent="0.55000000000000004">
      <c r="A5078"/>
    </row>
    <row r="5079" spans="1:1" x14ac:dyDescent="0.55000000000000004">
      <c r="A5079"/>
    </row>
    <row r="5080" spans="1:1" x14ac:dyDescent="0.55000000000000004">
      <c r="A5080"/>
    </row>
    <row r="5081" spans="1:1" x14ac:dyDescent="0.55000000000000004">
      <c r="A5081"/>
    </row>
    <row r="5082" spans="1:1" x14ac:dyDescent="0.55000000000000004">
      <c r="A5082"/>
    </row>
    <row r="5083" spans="1:1" x14ac:dyDescent="0.55000000000000004">
      <c r="A5083"/>
    </row>
    <row r="5084" spans="1:1" x14ac:dyDescent="0.55000000000000004">
      <c r="A5084"/>
    </row>
    <row r="5085" spans="1:1" x14ac:dyDescent="0.55000000000000004">
      <c r="A5085"/>
    </row>
    <row r="5086" spans="1:1" x14ac:dyDescent="0.55000000000000004">
      <c r="A5086"/>
    </row>
    <row r="5087" spans="1:1" x14ac:dyDescent="0.55000000000000004">
      <c r="A5087"/>
    </row>
    <row r="5088" spans="1:1" x14ac:dyDescent="0.55000000000000004">
      <c r="A5088"/>
    </row>
    <row r="5089" spans="1:1" x14ac:dyDescent="0.55000000000000004">
      <c r="A5089"/>
    </row>
    <row r="5090" spans="1:1" x14ac:dyDescent="0.55000000000000004">
      <c r="A5090"/>
    </row>
    <row r="5091" spans="1:1" x14ac:dyDescent="0.55000000000000004">
      <c r="A5091"/>
    </row>
    <row r="5092" spans="1:1" x14ac:dyDescent="0.55000000000000004">
      <c r="A5092"/>
    </row>
    <row r="5093" spans="1:1" x14ac:dyDescent="0.55000000000000004">
      <c r="A5093"/>
    </row>
    <row r="5094" spans="1:1" x14ac:dyDescent="0.55000000000000004">
      <c r="A5094"/>
    </row>
    <row r="5095" spans="1:1" x14ac:dyDescent="0.55000000000000004">
      <c r="A5095"/>
    </row>
    <row r="5096" spans="1:1" x14ac:dyDescent="0.55000000000000004">
      <c r="A5096"/>
    </row>
    <row r="5097" spans="1:1" x14ac:dyDescent="0.55000000000000004">
      <c r="A5097"/>
    </row>
    <row r="5098" spans="1:1" x14ac:dyDescent="0.55000000000000004">
      <c r="A5098"/>
    </row>
    <row r="5099" spans="1:1" x14ac:dyDescent="0.55000000000000004">
      <c r="A5099"/>
    </row>
    <row r="5100" spans="1:1" x14ac:dyDescent="0.55000000000000004">
      <c r="A5100"/>
    </row>
    <row r="5101" spans="1:1" x14ac:dyDescent="0.55000000000000004">
      <c r="A5101"/>
    </row>
    <row r="5102" spans="1:1" x14ac:dyDescent="0.55000000000000004">
      <c r="A5102"/>
    </row>
    <row r="5103" spans="1:1" x14ac:dyDescent="0.55000000000000004">
      <c r="A5103"/>
    </row>
    <row r="5104" spans="1:1" x14ac:dyDescent="0.55000000000000004">
      <c r="A5104"/>
    </row>
    <row r="5105" spans="1:1" x14ac:dyDescent="0.55000000000000004">
      <c r="A5105"/>
    </row>
    <row r="5106" spans="1:1" x14ac:dyDescent="0.55000000000000004">
      <c r="A5106"/>
    </row>
    <row r="5107" spans="1:1" x14ac:dyDescent="0.55000000000000004">
      <c r="A5107"/>
    </row>
    <row r="5108" spans="1:1" x14ac:dyDescent="0.55000000000000004">
      <c r="A5108"/>
    </row>
    <row r="5109" spans="1:1" x14ac:dyDescent="0.55000000000000004">
      <c r="A5109"/>
    </row>
    <row r="5110" spans="1:1" x14ac:dyDescent="0.55000000000000004">
      <c r="A5110"/>
    </row>
    <row r="5111" spans="1:1" x14ac:dyDescent="0.55000000000000004">
      <c r="A5111"/>
    </row>
    <row r="5112" spans="1:1" x14ac:dyDescent="0.55000000000000004">
      <c r="A5112"/>
    </row>
    <row r="5113" spans="1:1" x14ac:dyDescent="0.55000000000000004">
      <c r="A5113"/>
    </row>
    <row r="5114" spans="1:1" x14ac:dyDescent="0.55000000000000004">
      <c r="A5114"/>
    </row>
    <row r="5115" spans="1:1" x14ac:dyDescent="0.55000000000000004">
      <c r="A5115"/>
    </row>
    <row r="5116" spans="1:1" x14ac:dyDescent="0.55000000000000004">
      <c r="A5116"/>
    </row>
    <row r="5117" spans="1:1" x14ac:dyDescent="0.55000000000000004">
      <c r="A5117"/>
    </row>
    <row r="5118" spans="1:1" x14ac:dyDescent="0.55000000000000004">
      <c r="A5118"/>
    </row>
    <row r="5119" spans="1:1" x14ac:dyDescent="0.55000000000000004">
      <c r="A5119"/>
    </row>
    <row r="5120" spans="1:1" x14ac:dyDescent="0.55000000000000004">
      <c r="A5120"/>
    </row>
    <row r="5121" spans="1:1" x14ac:dyDescent="0.55000000000000004">
      <c r="A5121"/>
    </row>
    <row r="5122" spans="1:1" x14ac:dyDescent="0.55000000000000004">
      <c r="A5122"/>
    </row>
    <row r="5123" spans="1:1" x14ac:dyDescent="0.55000000000000004">
      <c r="A5123"/>
    </row>
    <row r="5124" spans="1:1" x14ac:dyDescent="0.55000000000000004">
      <c r="A5124"/>
    </row>
    <row r="5125" spans="1:1" x14ac:dyDescent="0.55000000000000004">
      <c r="A5125"/>
    </row>
    <row r="5126" spans="1:1" x14ac:dyDescent="0.55000000000000004">
      <c r="A5126"/>
    </row>
    <row r="5127" spans="1:1" x14ac:dyDescent="0.55000000000000004">
      <c r="A5127"/>
    </row>
    <row r="5128" spans="1:1" x14ac:dyDescent="0.55000000000000004">
      <c r="A5128"/>
    </row>
    <row r="5129" spans="1:1" x14ac:dyDescent="0.55000000000000004">
      <c r="A5129"/>
    </row>
    <row r="5130" spans="1:1" x14ac:dyDescent="0.55000000000000004">
      <c r="A5130"/>
    </row>
    <row r="5131" spans="1:1" x14ac:dyDescent="0.55000000000000004">
      <c r="A5131"/>
    </row>
    <row r="5132" spans="1:1" x14ac:dyDescent="0.55000000000000004">
      <c r="A5132"/>
    </row>
    <row r="5133" spans="1:1" x14ac:dyDescent="0.55000000000000004">
      <c r="A5133"/>
    </row>
    <row r="5134" spans="1:1" x14ac:dyDescent="0.55000000000000004">
      <c r="A5134"/>
    </row>
    <row r="5135" spans="1:1" x14ac:dyDescent="0.55000000000000004">
      <c r="A5135"/>
    </row>
    <row r="5136" spans="1:1" x14ac:dyDescent="0.55000000000000004">
      <c r="A5136"/>
    </row>
    <row r="5137" spans="1:1" x14ac:dyDescent="0.55000000000000004">
      <c r="A5137"/>
    </row>
    <row r="5138" spans="1:1" x14ac:dyDescent="0.55000000000000004">
      <c r="A5138"/>
    </row>
    <row r="5139" spans="1:1" x14ac:dyDescent="0.55000000000000004">
      <c r="A5139"/>
    </row>
    <row r="5140" spans="1:1" x14ac:dyDescent="0.55000000000000004">
      <c r="A5140"/>
    </row>
    <row r="5141" spans="1:1" x14ac:dyDescent="0.55000000000000004">
      <c r="A5141"/>
    </row>
    <row r="5142" spans="1:1" x14ac:dyDescent="0.55000000000000004">
      <c r="A5142"/>
    </row>
    <row r="5143" spans="1:1" x14ac:dyDescent="0.55000000000000004">
      <c r="A5143"/>
    </row>
    <row r="5144" spans="1:1" x14ac:dyDescent="0.55000000000000004">
      <c r="A5144"/>
    </row>
    <row r="5145" spans="1:1" x14ac:dyDescent="0.55000000000000004">
      <c r="A5145"/>
    </row>
    <row r="5146" spans="1:1" x14ac:dyDescent="0.55000000000000004">
      <c r="A5146"/>
    </row>
    <row r="5147" spans="1:1" x14ac:dyDescent="0.55000000000000004">
      <c r="A5147"/>
    </row>
    <row r="5148" spans="1:1" x14ac:dyDescent="0.55000000000000004">
      <c r="A5148"/>
    </row>
    <row r="5149" spans="1:1" x14ac:dyDescent="0.55000000000000004">
      <c r="A5149"/>
    </row>
    <row r="5150" spans="1:1" x14ac:dyDescent="0.55000000000000004">
      <c r="A5150"/>
    </row>
    <row r="5151" spans="1:1" x14ac:dyDescent="0.55000000000000004">
      <c r="A5151"/>
    </row>
    <row r="5152" spans="1:1" x14ac:dyDescent="0.55000000000000004">
      <c r="A5152"/>
    </row>
    <row r="5153" spans="1:1" x14ac:dyDescent="0.55000000000000004">
      <c r="A5153"/>
    </row>
    <row r="5154" spans="1:1" x14ac:dyDescent="0.55000000000000004">
      <c r="A5154"/>
    </row>
    <row r="5155" spans="1:1" x14ac:dyDescent="0.55000000000000004">
      <c r="A5155"/>
    </row>
    <row r="5156" spans="1:1" x14ac:dyDescent="0.55000000000000004">
      <c r="A5156"/>
    </row>
    <row r="5157" spans="1:1" x14ac:dyDescent="0.55000000000000004">
      <c r="A5157"/>
    </row>
    <row r="5158" spans="1:1" x14ac:dyDescent="0.55000000000000004">
      <c r="A5158"/>
    </row>
    <row r="5159" spans="1:1" x14ac:dyDescent="0.55000000000000004">
      <c r="A5159"/>
    </row>
    <row r="5160" spans="1:1" x14ac:dyDescent="0.55000000000000004">
      <c r="A5160"/>
    </row>
    <row r="5161" spans="1:1" x14ac:dyDescent="0.55000000000000004">
      <c r="A5161"/>
    </row>
    <row r="5162" spans="1:1" x14ac:dyDescent="0.55000000000000004">
      <c r="A5162"/>
    </row>
    <row r="5163" spans="1:1" x14ac:dyDescent="0.55000000000000004">
      <c r="A5163"/>
    </row>
    <row r="5164" spans="1:1" x14ac:dyDescent="0.55000000000000004">
      <c r="A5164"/>
    </row>
    <row r="5165" spans="1:1" x14ac:dyDescent="0.55000000000000004">
      <c r="A5165"/>
    </row>
    <row r="5166" spans="1:1" x14ac:dyDescent="0.55000000000000004">
      <c r="A5166"/>
    </row>
    <row r="5167" spans="1:1" x14ac:dyDescent="0.55000000000000004">
      <c r="A5167"/>
    </row>
    <row r="5168" spans="1:1" x14ac:dyDescent="0.55000000000000004">
      <c r="A5168"/>
    </row>
    <row r="5169" spans="1:1" x14ac:dyDescent="0.55000000000000004">
      <c r="A5169"/>
    </row>
    <row r="5170" spans="1:1" x14ac:dyDescent="0.55000000000000004">
      <c r="A5170"/>
    </row>
    <row r="5171" spans="1:1" x14ac:dyDescent="0.55000000000000004">
      <c r="A5171"/>
    </row>
    <row r="5172" spans="1:1" x14ac:dyDescent="0.55000000000000004">
      <c r="A5172"/>
    </row>
    <row r="5173" spans="1:1" x14ac:dyDescent="0.55000000000000004">
      <c r="A5173"/>
    </row>
    <row r="5174" spans="1:1" x14ac:dyDescent="0.55000000000000004">
      <c r="A5174"/>
    </row>
    <row r="5175" spans="1:1" x14ac:dyDescent="0.55000000000000004">
      <c r="A5175"/>
    </row>
    <row r="5176" spans="1:1" x14ac:dyDescent="0.55000000000000004">
      <c r="A5176"/>
    </row>
    <row r="5177" spans="1:1" x14ac:dyDescent="0.55000000000000004">
      <c r="A5177"/>
    </row>
    <row r="5178" spans="1:1" x14ac:dyDescent="0.55000000000000004">
      <c r="A5178"/>
    </row>
    <row r="5179" spans="1:1" x14ac:dyDescent="0.55000000000000004">
      <c r="A5179"/>
    </row>
    <row r="5180" spans="1:1" x14ac:dyDescent="0.55000000000000004">
      <c r="A5180"/>
    </row>
    <row r="5181" spans="1:1" x14ac:dyDescent="0.55000000000000004">
      <c r="A5181"/>
    </row>
    <row r="5182" spans="1:1" x14ac:dyDescent="0.55000000000000004">
      <c r="A5182"/>
    </row>
    <row r="5183" spans="1:1" x14ac:dyDescent="0.55000000000000004">
      <c r="A5183"/>
    </row>
    <row r="5184" spans="1:1" x14ac:dyDescent="0.55000000000000004">
      <c r="A5184"/>
    </row>
    <row r="5185" spans="1:1" x14ac:dyDescent="0.55000000000000004">
      <c r="A5185"/>
    </row>
    <row r="5186" spans="1:1" x14ac:dyDescent="0.55000000000000004">
      <c r="A5186"/>
    </row>
    <row r="5187" spans="1:1" x14ac:dyDescent="0.55000000000000004">
      <c r="A5187"/>
    </row>
    <row r="5188" spans="1:1" x14ac:dyDescent="0.55000000000000004">
      <c r="A5188"/>
    </row>
    <row r="5189" spans="1:1" x14ac:dyDescent="0.55000000000000004">
      <c r="A5189"/>
    </row>
    <row r="5190" spans="1:1" x14ac:dyDescent="0.55000000000000004">
      <c r="A5190"/>
    </row>
    <row r="5191" spans="1:1" x14ac:dyDescent="0.55000000000000004">
      <c r="A5191"/>
    </row>
    <row r="5192" spans="1:1" x14ac:dyDescent="0.55000000000000004">
      <c r="A5192"/>
    </row>
    <row r="5193" spans="1:1" x14ac:dyDescent="0.55000000000000004">
      <c r="A5193"/>
    </row>
    <row r="5194" spans="1:1" x14ac:dyDescent="0.55000000000000004">
      <c r="A5194"/>
    </row>
    <row r="5195" spans="1:1" x14ac:dyDescent="0.55000000000000004">
      <c r="A5195"/>
    </row>
    <row r="5196" spans="1:1" x14ac:dyDescent="0.55000000000000004">
      <c r="A5196"/>
    </row>
    <row r="5197" spans="1:1" x14ac:dyDescent="0.55000000000000004">
      <c r="A5197"/>
    </row>
    <row r="5198" spans="1:1" x14ac:dyDescent="0.55000000000000004">
      <c r="A5198"/>
    </row>
    <row r="5199" spans="1:1" x14ac:dyDescent="0.55000000000000004">
      <c r="A5199"/>
    </row>
    <row r="5200" spans="1:1" x14ac:dyDescent="0.55000000000000004">
      <c r="A5200"/>
    </row>
    <row r="5201" spans="1:1" x14ac:dyDescent="0.55000000000000004">
      <c r="A5201"/>
    </row>
    <row r="5202" spans="1:1" x14ac:dyDescent="0.55000000000000004">
      <c r="A5202"/>
    </row>
    <row r="5203" spans="1:1" x14ac:dyDescent="0.55000000000000004">
      <c r="A5203"/>
    </row>
    <row r="5204" spans="1:1" x14ac:dyDescent="0.55000000000000004">
      <c r="A5204"/>
    </row>
    <row r="5205" spans="1:1" x14ac:dyDescent="0.55000000000000004">
      <c r="A5205"/>
    </row>
    <row r="5206" spans="1:1" x14ac:dyDescent="0.55000000000000004">
      <c r="A5206"/>
    </row>
    <row r="5207" spans="1:1" x14ac:dyDescent="0.55000000000000004">
      <c r="A5207"/>
    </row>
    <row r="5208" spans="1:1" x14ac:dyDescent="0.55000000000000004">
      <c r="A5208"/>
    </row>
    <row r="5209" spans="1:1" x14ac:dyDescent="0.55000000000000004">
      <c r="A5209"/>
    </row>
    <row r="5210" spans="1:1" x14ac:dyDescent="0.55000000000000004">
      <c r="A5210"/>
    </row>
    <row r="5211" spans="1:1" x14ac:dyDescent="0.55000000000000004">
      <c r="A5211"/>
    </row>
    <row r="5212" spans="1:1" x14ac:dyDescent="0.55000000000000004">
      <c r="A5212"/>
    </row>
    <row r="5213" spans="1:1" x14ac:dyDescent="0.55000000000000004">
      <c r="A5213"/>
    </row>
    <row r="5214" spans="1:1" x14ac:dyDescent="0.55000000000000004">
      <c r="A5214"/>
    </row>
    <row r="5215" spans="1:1" x14ac:dyDescent="0.55000000000000004">
      <c r="A5215"/>
    </row>
    <row r="5216" spans="1:1" x14ac:dyDescent="0.55000000000000004">
      <c r="A5216"/>
    </row>
    <row r="5217" spans="1:1" x14ac:dyDescent="0.55000000000000004">
      <c r="A5217"/>
    </row>
    <row r="5218" spans="1:1" x14ac:dyDescent="0.55000000000000004">
      <c r="A5218"/>
    </row>
    <row r="5219" spans="1:1" x14ac:dyDescent="0.55000000000000004">
      <c r="A5219"/>
    </row>
    <row r="5220" spans="1:1" x14ac:dyDescent="0.55000000000000004">
      <c r="A5220"/>
    </row>
    <row r="5221" spans="1:1" x14ac:dyDescent="0.55000000000000004">
      <c r="A5221"/>
    </row>
    <row r="5222" spans="1:1" x14ac:dyDescent="0.55000000000000004">
      <c r="A5222"/>
    </row>
    <row r="5223" spans="1:1" x14ac:dyDescent="0.55000000000000004">
      <c r="A5223"/>
    </row>
    <row r="5224" spans="1:1" x14ac:dyDescent="0.55000000000000004">
      <c r="A5224"/>
    </row>
    <row r="5225" spans="1:1" x14ac:dyDescent="0.55000000000000004">
      <c r="A5225"/>
    </row>
    <row r="5226" spans="1:1" x14ac:dyDescent="0.55000000000000004">
      <c r="A5226"/>
    </row>
    <row r="5227" spans="1:1" x14ac:dyDescent="0.55000000000000004">
      <c r="A5227"/>
    </row>
    <row r="5228" spans="1:1" x14ac:dyDescent="0.55000000000000004">
      <c r="A5228"/>
    </row>
    <row r="5229" spans="1:1" x14ac:dyDescent="0.55000000000000004">
      <c r="A5229"/>
    </row>
    <row r="5230" spans="1:1" x14ac:dyDescent="0.55000000000000004">
      <c r="A5230"/>
    </row>
    <row r="5231" spans="1:1" x14ac:dyDescent="0.55000000000000004">
      <c r="A5231"/>
    </row>
    <row r="5232" spans="1:1" x14ac:dyDescent="0.55000000000000004">
      <c r="A5232"/>
    </row>
    <row r="5233" spans="1:1" x14ac:dyDescent="0.55000000000000004">
      <c r="A5233"/>
    </row>
    <row r="5234" spans="1:1" x14ac:dyDescent="0.55000000000000004">
      <c r="A5234"/>
    </row>
    <row r="5235" spans="1:1" x14ac:dyDescent="0.55000000000000004">
      <c r="A5235"/>
    </row>
    <row r="5236" spans="1:1" x14ac:dyDescent="0.55000000000000004">
      <c r="A5236"/>
    </row>
    <row r="5237" spans="1:1" x14ac:dyDescent="0.55000000000000004">
      <c r="A5237"/>
    </row>
    <row r="5238" spans="1:1" x14ac:dyDescent="0.55000000000000004">
      <c r="A5238"/>
    </row>
    <row r="5239" spans="1:1" x14ac:dyDescent="0.55000000000000004">
      <c r="A5239"/>
    </row>
    <row r="5240" spans="1:1" x14ac:dyDescent="0.55000000000000004">
      <c r="A5240"/>
    </row>
    <row r="5241" spans="1:1" x14ac:dyDescent="0.55000000000000004">
      <c r="A5241"/>
    </row>
    <row r="5242" spans="1:1" x14ac:dyDescent="0.55000000000000004">
      <c r="A5242"/>
    </row>
    <row r="5243" spans="1:1" x14ac:dyDescent="0.55000000000000004">
      <c r="A5243"/>
    </row>
    <row r="5244" spans="1:1" x14ac:dyDescent="0.55000000000000004">
      <c r="A5244"/>
    </row>
    <row r="5245" spans="1:1" x14ac:dyDescent="0.55000000000000004">
      <c r="A5245"/>
    </row>
    <row r="5246" spans="1:1" x14ac:dyDescent="0.55000000000000004">
      <c r="A5246"/>
    </row>
    <row r="5247" spans="1:1" x14ac:dyDescent="0.55000000000000004">
      <c r="A5247"/>
    </row>
    <row r="5248" spans="1:1" x14ac:dyDescent="0.55000000000000004">
      <c r="A5248"/>
    </row>
    <row r="5249" spans="1:1" x14ac:dyDescent="0.55000000000000004">
      <c r="A5249"/>
    </row>
    <row r="5250" spans="1:1" x14ac:dyDescent="0.55000000000000004">
      <c r="A5250"/>
    </row>
    <row r="5251" spans="1:1" x14ac:dyDescent="0.55000000000000004">
      <c r="A5251"/>
    </row>
    <row r="5252" spans="1:1" x14ac:dyDescent="0.55000000000000004">
      <c r="A5252"/>
    </row>
    <row r="5253" spans="1:1" x14ac:dyDescent="0.55000000000000004">
      <c r="A5253"/>
    </row>
    <row r="5254" spans="1:1" x14ac:dyDescent="0.55000000000000004">
      <c r="A5254"/>
    </row>
    <row r="5255" spans="1:1" x14ac:dyDescent="0.55000000000000004">
      <c r="A5255"/>
    </row>
    <row r="5256" spans="1:1" x14ac:dyDescent="0.55000000000000004">
      <c r="A5256"/>
    </row>
    <row r="5257" spans="1:1" x14ac:dyDescent="0.55000000000000004">
      <c r="A5257"/>
    </row>
    <row r="5258" spans="1:1" x14ac:dyDescent="0.55000000000000004">
      <c r="A5258"/>
    </row>
    <row r="5259" spans="1:1" x14ac:dyDescent="0.55000000000000004">
      <c r="A5259"/>
    </row>
    <row r="5260" spans="1:1" x14ac:dyDescent="0.55000000000000004">
      <c r="A5260"/>
    </row>
    <row r="5261" spans="1:1" x14ac:dyDescent="0.55000000000000004">
      <c r="A5261"/>
    </row>
    <row r="5262" spans="1:1" x14ac:dyDescent="0.55000000000000004">
      <c r="A5262"/>
    </row>
    <row r="5263" spans="1:1" x14ac:dyDescent="0.55000000000000004">
      <c r="A5263"/>
    </row>
    <row r="5264" spans="1:1" x14ac:dyDescent="0.55000000000000004">
      <c r="A5264"/>
    </row>
    <row r="5265" spans="1:1" x14ac:dyDescent="0.55000000000000004">
      <c r="A5265"/>
    </row>
    <row r="5266" spans="1:1" x14ac:dyDescent="0.55000000000000004">
      <c r="A5266"/>
    </row>
    <row r="5267" spans="1:1" x14ac:dyDescent="0.55000000000000004">
      <c r="A5267"/>
    </row>
    <row r="5268" spans="1:1" x14ac:dyDescent="0.55000000000000004">
      <c r="A5268"/>
    </row>
    <row r="5269" spans="1:1" x14ac:dyDescent="0.55000000000000004">
      <c r="A5269"/>
    </row>
    <row r="5270" spans="1:1" x14ac:dyDescent="0.55000000000000004">
      <c r="A5270"/>
    </row>
    <row r="5271" spans="1:1" x14ac:dyDescent="0.55000000000000004">
      <c r="A5271"/>
    </row>
    <row r="5272" spans="1:1" x14ac:dyDescent="0.55000000000000004">
      <c r="A5272"/>
    </row>
    <row r="5273" spans="1:1" x14ac:dyDescent="0.55000000000000004">
      <c r="A5273"/>
    </row>
    <row r="5274" spans="1:1" x14ac:dyDescent="0.55000000000000004">
      <c r="A5274"/>
    </row>
    <row r="5275" spans="1:1" x14ac:dyDescent="0.55000000000000004">
      <c r="A5275"/>
    </row>
    <row r="5276" spans="1:1" x14ac:dyDescent="0.55000000000000004">
      <c r="A5276"/>
    </row>
    <row r="5277" spans="1:1" x14ac:dyDescent="0.55000000000000004">
      <c r="A5277"/>
    </row>
    <row r="5278" spans="1:1" x14ac:dyDescent="0.55000000000000004">
      <c r="A5278"/>
    </row>
    <row r="5279" spans="1:1" x14ac:dyDescent="0.55000000000000004">
      <c r="A5279"/>
    </row>
    <row r="5280" spans="1:1" x14ac:dyDescent="0.55000000000000004">
      <c r="A5280"/>
    </row>
    <row r="5281" spans="1:1" x14ac:dyDescent="0.55000000000000004">
      <c r="A5281"/>
    </row>
    <row r="5282" spans="1:1" x14ac:dyDescent="0.55000000000000004">
      <c r="A5282"/>
    </row>
    <row r="5283" spans="1:1" x14ac:dyDescent="0.55000000000000004">
      <c r="A5283"/>
    </row>
    <row r="5284" spans="1:1" x14ac:dyDescent="0.55000000000000004">
      <c r="A5284"/>
    </row>
    <row r="5285" spans="1:1" x14ac:dyDescent="0.55000000000000004">
      <c r="A5285"/>
    </row>
    <row r="5286" spans="1:1" x14ac:dyDescent="0.55000000000000004">
      <c r="A5286"/>
    </row>
    <row r="5287" spans="1:1" x14ac:dyDescent="0.55000000000000004">
      <c r="A5287"/>
    </row>
    <row r="5288" spans="1:1" x14ac:dyDescent="0.55000000000000004">
      <c r="A5288"/>
    </row>
    <row r="5289" spans="1:1" x14ac:dyDescent="0.55000000000000004">
      <c r="A5289"/>
    </row>
    <row r="5290" spans="1:1" x14ac:dyDescent="0.55000000000000004">
      <c r="A5290"/>
    </row>
    <row r="5291" spans="1:1" x14ac:dyDescent="0.55000000000000004">
      <c r="A5291"/>
    </row>
    <row r="5292" spans="1:1" x14ac:dyDescent="0.55000000000000004">
      <c r="A5292"/>
    </row>
    <row r="5293" spans="1:1" x14ac:dyDescent="0.55000000000000004">
      <c r="A5293"/>
    </row>
    <row r="5294" spans="1:1" x14ac:dyDescent="0.55000000000000004">
      <c r="A5294"/>
    </row>
    <row r="5295" spans="1:1" x14ac:dyDescent="0.55000000000000004">
      <c r="A5295"/>
    </row>
    <row r="5296" spans="1:1" x14ac:dyDescent="0.55000000000000004">
      <c r="A5296"/>
    </row>
    <row r="5297" spans="1:1" x14ac:dyDescent="0.55000000000000004">
      <c r="A5297"/>
    </row>
    <row r="5298" spans="1:1" x14ac:dyDescent="0.55000000000000004">
      <c r="A5298"/>
    </row>
    <row r="5299" spans="1:1" x14ac:dyDescent="0.55000000000000004">
      <c r="A5299"/>
    </row>
    <row r="5300" spans="1:1" x14ac:dyDescent="0.55000000000000004">
      <c r="A5300"/>
    </row>
    <row r="5301" spans="1:1" x14ac:dyDescent="0.55000000000000004">
      <c r="A5301"/>
    </row>
    <row r="5302" spans="1:1" x14ac:dyDescent="0.55000000000000004">
      <c r="A5302"/>
    </row>
    <row r="5303" spans="1:1" x14ac:dyDescent="0.55000000000000004">
      <c r="A5303"/>
    </row>
    <row r="5304" spans="1:1" x14ac:dyDescent="0.55000000000000004">
      <c r="A5304"/>
    </row>
    <row r="5305" spans="1:1" x14ac:dyDescent="0.55000000000000004">
      <c r="A5305"/>
    </row>
    <row r="5306" spans="1:1" x14ac:dyDescent="0.55000000000000004">
      <c r="A5306"/>
    </row>
    <row r="5307" spans="1:1" x14ac:dyDescent="0.55000000000000004">
      <c r="A5307"/>
    </row>
    <row r="5308" spans="1:1" x14ac:dyDescent="0.55000000000000004">
      <c r="A5308"/>
    </row>
    <row r="5309" spans="1:1" x14ac:dyDescent="0.55000000000000004">
      <c r="A5309"/>
    </row>
    <row r="5310" spans="1:1" x14ac:dyDescent="0.55000000000000004">
      <c r="A5310"/>
    </row>
    <row r="5311" spans="1:1" x14ac:dyDescent="0.55000000000000004">
      <c r="A5311"/>
    </row>
    <row r="5312" spans="1:1" x14ac:dyDescent="0.55000000000000004">
      <c r="A5312"/>
    </row>
    <row r="5313" spans="1:1" x14ac:dyDescent="0.55000000000000004">
      <c r="A5313"/>
    </row>
    <row r="5314" spans="1:1" x14ac:dyDescent="0.55000000000000004">
      <c r="A5314"/>
    </row>
    <row r="5315" spans="1:1" x14ac:dyDescent="0.55000000000000004">
      <c r="A5315"/>
    </row>
    <row r="5316" spans="1:1" x14ac:dyDescent="0.55000000000000004">
      <c r="A5316"/>
    </row>
    <row r="5317" spans="1:1" x14ac:dyDescent="0.55000000000000004">
      <c r="A5317"/>
    </row>
    <row r="5318" spans="1:1" x14ac:dyDescent="0.55000000000000004">
      <c r="A5318"/>
    </row>
    <row r="5319" spans="1:1" x14ac:dyDescent="0.55000000000000004">
      <c r="A5319"/>
    </row>
    <row r="5320" spans="1:1" x14ac:dyDescent="0.55000000000000004">
      <c r="A5320"/>
    </row>
    <row r="5321" spans="1:1" x14ac:dyDescent="0.55000000000000004">
      <c r="A5321"/>
    </row>
    <row r="5322" spans="1:1" x14ac:dyDescent="0.55000000000000004">
      <c r="A5322"/>
    </row>
    <row r="5323" spans="1:1" x14ac:dyDescent="0.55000000000000004">
      <c r="A5323"/>
    </row>
    <row r="5324" spans="1:1" x14ac:dyDescent="0.55000000000000004">
      <c r="A5324"/>
    </row>
    <row r="5325" spans="1:1" x14ac:dyDescent="0.55000000000000004">
      <c r="A5325"/>
    </row>
    <row r="5326" spans="1:1" x14ac:dyDescent="0.55000000000000004">
      <c r="A5326"/>
    </row>
    <row r="5327" spans="1:1" x14ac:dyDescent="0.55000000000000004">
      <c r="A5327"/>
    </row>
    <row r="5328" spans="1:1" x14ac:dyDescent="0.55000000000000004">
      <c r="A5328"/>
    </row>
    <row r="5329" spans="1:1" x14ac:dyDescent="0.55000000000000004">
      <c r="A5329"/>
    </row>
    <row r="5330" spans="1:1" x14ac:dyDescent="0.55000000000000004">
      <c r="A5330"/>
    </row>
    <row r="5331" spans="1:1" x14ac:dyDescent="0.55000000000000004">
      <c r="A5331"/>
    </row>
    <row r="5332" spans="1:1" x14ac:dyDescent="0.55000000000000004">
      <c r="A5332"/>
    </row>
    <row r="5333" spans="1:1" x14ac:dyDescent="0.55000000000000004">
      <c r="A5333"/>
    </row>
    <row r="5334" spans="1:1" x14ac:dyDescent="0.55000000000000004">
      <c r="A5334"/>
    </row>
    <row r="5335" spans="1:1" x14ac:dyDescent="0.55000000000000004">
      <c r="A5335"/>
    </row>
    <row r="5336" spans="1:1" x14ac:dyDescent="0.55000000000000004">
      <c r="A5336"/>
    </row>
    <row r="5337" spans="1:1" x14ac:dyDescent="0.55000000000000004">
      <c r="A5337"/>
    </row>
    <row r="5338" spans="1:1" x14ac:dyDescent="0.55000000000000004">
      <c r="A5338"/>
    </row>
    <row r="5339" spans="1:1" x14ac:dyDescent="0.55000000000000004">
      <c r="A5339"/>
    </row>
    <row r="5340" spans="1:1" x14ac:dyDescent="0.55000000000000004">
      <c r="A5340"/>
    </row>
    <row r="5341" spans="1:1" x14ac:dyDescent="0.55000000000000004">
      <c r="A5341"/>
    </row>
    <row r="5342" spans="1:1" x14ac:dyDescent="0.55000000000000004">
      <c r="A5342"/>
    </row>
    <row r="5343" spans="1:1" x14ac:dyDescent="0.55000000000000004">
      <c r="A5343"/>
    </row>
    <row r="5344" spans="1:1" x14ac:dyDescent="0.55000000000000004">
      <c r="A5344"/>
    </row>
    <row r="5345" spans="1:1" x14ac:dyDescent="0.55000000000000004">
      <c r="A5345"/>
    </row>
    <row r="5346" spans="1:1" x14ac:dyDescent="0.55000000000000004">
      <c r="A5346"/>
    </row>
    <row r="5347" spans="1:1" x14ac:dyDescent="0.55000000000000004">
      <c r="A5347"/>
    </row>
    <row r="5348" spans="1:1" x14ac:dyDescent="0.55000000000000004">
      <c r="A5348"/>
    </row>
    <row r="5349" spans="1:1" x14ac:dyDescent="0.55000000000000004">
      <c r="A5349"/>
    </row>
    <row r="5350" spans="1:1" x14ac:dyDescent="0.55000000000000004">
      <c r="A5350"/>
    </row>
    <row r="5351" spans="1:1" x14ac:dyDescent="0.55000000000000004">
      <c r="A5351"/>
    </row>
    <row r="5352" spans="1:1" x14ac:dyDescent="0.55000000000000004">
      <c r="A5352"/>
    </row>
    <row r="5353" spans="1:1" x14ac:dyDescent="0.55000000000000004">
      <c r="A5353"/>
    </row>
    <row r="5354" spans="1:1" x14ac:dyDescent="0.55000000000000004">
      <c r="A5354"/>
    </row>
    <row r="5355" spans="1:1" x14ac:dyDescent="0.55000000000000004">
      <c r="A5355"/>
    </row>
    <row r="5356" spans="1:1" x14ac:dyDescent="0.55000000000000004">
      <c r="A5356"/>
    </row>
    <row r="5357" spans="1:1" x14ac:dyDescent="0.55000000000000004">
      <c r="A5357"/>
    </row>
    <row r="5358" spans="1:1" x14ac:dyDescent="0.55000000000000004">
      <c r="A5358"/>
    </row>
    <row r="5359" spans="1:1" x14ac:dyDescent="0.55000000000000004">
      <c r="A5359"/>
    </row>
    <row r="5360" spans="1:1" x14ac:dyDescent="0.55000000000000004">
      <c r="A5360"/>
    </row>
    <row r="5361" spans="1:1" x14ac:dyDescent="0.55000000000000004">
      <c r="A5361"/>
    </row>
    <row r="5362" spans="1:1" x14ac:dyDescent="0.55000000000000004">
      <c r="A5362"/>
    </row>
    <row r="5363" spans="1:1" x14ac:dyDescent="0.55000000000000004">
      <c r="A5363"/>
    </row>
    <row r="5364" spans="1:1" x14ac:dyDescent="0.55000000000000004">
      <c r="A5364"/>
    </row>
    <row r="5365" spans="1:1" x14ac:dyDescent="0.55000000000000004">
      <c r="A5365"/>
    </row>
    <row r="5366" spans="1:1" x14ac:dyDescent="0.55000000000000004">
      <c r="A5366"/>
    </row>
    <row r="5367" spans="1:1" x14ac:dyDescent="0.55000000000000004">
      <c r="A5367"/>
    </row>
    <row r="5368" spans="1:1" x14ac:dyDescent="0.55000000000000004">
      <c r="A5368"/>
    </row>
    <row r="5369" spans="1:1" x14ac:dyDescent="0.55000000000000004">
      <c r="A5369"/>
    </row>
    <row r="5370" spans="1:1" x14ac:dyDescent="0.55000000000000004">
      <c r="A5370"/>
    </row>
    <row r="5371" spans="1:1" x14ac:dyDescent="0.55000000000000004">
      <c r="A5371"/>
    </row>
    <row r="5372" spans="1:1" x14ac:dyDescent="0.55000000000000004">
      <c r="A5372"/>
    </row>
    <row r="5373" spans="1:1" x14ac:dyDescent="0.55000000000000004">
      <c r="A5373"/>
    </row>
    <row r="5374" spans="1:1" x14ac:dyDescent="0.55000000000000004">
      <c r="A5374"/>
    </row>
    <row r="5375" spans="1:1" x14ac:dyDescent="0.55000000000000004">
      <c r="A5375"/>
    </row>
    <row r="5376" spans="1:1" x14ac:dyDescent="0.55000000000000004">
      <c r="A5376"/>
    </row>
    <row r="5377" spans="1:1" x14ac:dyDescent="0.55000000000000004">
      <c r="A5377"/>
    </row>
    <row r="5378" spans="1:1" x14ac:dyDescent="0.55000000000000004">
      <c r="A5378"/>
    </row>
    <row r="5379" spans="1:1" x14ac:dyDescent="0.55000000000000004">
      <c r="A5379"/>
    </row>
    <row r="5380" spans="1:1" x14ac:dyDescent="0.55000000000000004">
      <c r="A5380"/>
    </row>
    <row r="5381" spans="1:1" x14ac:dyDescent="0.55000000000000004">
      <c r="A5381"/>
    </row>
    <row r="5382" spans="1:1" x14ac:dyDescent="0.55000000000000004">
      <c r="A5382"/>
    </row>
    <row r="5383" spans="1:1" x14ac:dyDescent="0.55000000000000004">
      <c r="A5383"/>
    </row>
    <row r="5384" spans="1:1" x14ac:dyDescent="0.55000000000000004">
      <c r="A5384"/>
    </row>
    <row r="5385" spans="1:1" x14ac:dyDescent="0.55000000000000004">
      <c r="A5385"/>
    </row>
    <row r="5386" spans="1:1" x14ac:dyDescent="0.55000000000000004">
      <c r="A5386"/>
    </row>
    <row r="5387" spans="1:1" x14ac:dyDescent="0.55000000000000004">
      <c r="A5387"/>
    </row>
    <row r="5388" spans="1:1" x14ac:dyDescent="0.55000000000000004">
      <c r="A5388"/>
    </row>
    <row r="5389" spans="1:1" x14ac:dyDescent="0.55000000000000004">
      <c r="A5389"/>
    </row>
    <row r="5390" spans="1:1" x14ac:dyDescent="0.55000000000000004">
      <c r="A5390"/>
    </row>
    <row r="5391" spans="1:1" x14ac:dyDescent="0.55000000000000004">
      <c r="A5391"/>
    </row>
    <row r="5392" spans="1:1" x14ac:dyDescent="0.55000000000000004">
      <c r="A5392"/>
    </row>
    <row r="5393" spans="1:1" x14ac:dyDescent="0.55000000000000004">
      <c r="A5393"/>
    </row>
    <row r="5394" spans="1:1" x14ac:dyDescent="0.55000000000000004">
      <c r="A5394"/>
    </row>
    <row r="5395" spans="1:1" x14ac:dyDescent="0.55000000000000004">
      <c r="A5395"/>
    </row>
    <row r="5396" spans="1:1" x14ac:dyDescent="0.55000000000000004">
      <c r="A5396"/>
    </row>
    <row r="5397" spans="1:1" x14ac:dyDescent="0.55000000000000004">
      <c r="A5397"/>
    </row>
    <row r="5398" spans="1:1" x14ac:dyDescent="0.55000000000000004">
      <c r="A5398"/>
    </row>
    <row r="5399" spans="1:1" x14ac:dyDescent="0.55000000000000004">
      <c r="A5399"/>
    </row>
    <row r="5400" spans="1:1" x14ac:dyDescent="0.55000000000000004">
      <c r="A5400"/>
    </row>
    <row r="5401" spans="1:1" x14ac:dyDescent="0.55000000000000004">
      <c r="A5401"/>
    </row>
    <row r="5402" spans="1:1" x14ac:dyDescent="0.55000000000000004">
      <c r="A5402"/>
    </row>
    <row r="5403" spans="1:1" x14ac:dyDescent="0.55000000000000004">
      <c r="A5403"/>
    </row>
    <row r="5404" spans="1:1" x14ac:dyDescent="0.55000000000000004">
      <c r="A5404"/>
    </row>
    <row r="5405" spans="1:1" x14ac:dyDescent="0.55000000000000004">
      <c r="A5405"/>
    </row>
    <row r="5406" spans="1:1" x14ac:dyDescent="0.55000000000000004">
      <c r="A5406"/>
    </row>
    <row r="5407" spans="1:1" x14ac:dyDescent="0.55000000000000004">
      <c r="A5407"/>
    </row>
    <row r="5408" spans="1:1" x14ac:dyDescent="0.55000000000000004">
      <c r="A5408"/>
    </row>
    <row r="5409" spans="1:1" x14ac:dyDescent="0.55000000000000004">
      <c r="A5409"/>
    </row>
    <row r="5410" spans="1:1" x14ac:dyDescent="0.55000000000000004">
      <c r="A5410"/>
    </row>
    <row r="5411" spans="1:1" x14ac:dyDescent="0.55000000000000004">
      <c r="A5411"/>
    </row>
    <row r="5412" spans="1:1" x14ac:dyDescent="0.55000000000000004">
      <c r="A5412"/>
    </row>
    <row r="5413" spans="1:1" x14ac:dyDescent="0.55000000000000004">
      <c r="A5413"/>
    </row>
    <row r="5414" spans="1:1" x14ac:dyDescent="0.55000000000000004">
      <c r="A5414"/>
    </row>
    <row r="5415" spans="1:1" x14ac:dyDescent="0.55000000000000004">
      <c r="A5415"/>
    </row>
    <row r="5416" spans="1:1" x14ac:dyDescent="0.55000000000000004">
      <c r="A5416"/>
    </row>
    <row r="5417" spans="1:1" x14ac:dyDescent="0.55000000000000004">
      <c r="A5417"/>
    </row>
    <row r="5418" spans="1:1" x14ac:dyDescent="0.55000000000000004">
      <c r="A5418"/>
    </row>
    <row r="5419" spans="1:1" x14ac:dyDescent="0.55000000000000004">
      <c r="A5419"/>
    </row>
    <row r="5420" spans="1:1" x14ac:dyDescent="0.55000000000000004">
      <c r="A5420"/>
    </row>
    <row r="5421" spans="1:1" x14ac:dyDescent="0.55000000000000004">
      <c r="A5421"/>
    </row>
    <row r="5422" spans="1:1" x14ac:dyDescent="0.55000000000000004">
      <c r="A5422"/>
    </row>
    <row r="5423" spans="1:1" x14ac:dyDescent="0.55000000000000004">
      <c r="A5423"/>
    </row>
    <row r="5424" spans="1:1" x14ac:dyDescent="0.55000000000000004">
      <c r="A5424"/>
    </row>
    <row r="5425" spans="1:1" x14ac:dyDescent="0.55000000000000004">
      <c r="A5425"/>
    </row>
    <row r="5426" spans="1:1" x14ac:dyDescent="0.55000000000000004">
      <c r="A5426"/>
    </row>
    <row r="5427" spans="1:1" x14ac:dyDescent="0.55000000000000004">
      <c r="A5427"/>
    </row>
    <row r="5428" spans="1:1" x14ac:dyDescent="0.55000000000000004">
      <c r="A5428"/>
    </row>
    <row r="5429" spans="1:1" x14ac:dyDescent="0.55000000000000004">
      <c r="A5429"/>
    </row>
    <row r="5430" spans="1:1" x14ac:dyDescent="0.55000000000000004">
      <c r="A5430"/>
    </row>
    <row r="5431" spans="1:1" x14ac:dyDescent="0.55000000000000004">
      <c r="A5431"/>
    </row>
    <row r="5432" spans="1:1" x14ac:dyDescent="0.55000000000000004">
      <c r="A5432"/>
    </row>
    <row r="5433" spans="1:1" x14ac:dyDescent="0.55000000000000004">
      <c r="A5433"/>
    </row>
    <row r="5434" spans="1:1" x14ac:dyDescent="0.55000000000000004">
      <c r="A5434"/>
    </row>
    <row r="5435" spans="1:1" x14ac:dyDescent="0.55000000000000004">
      <c r="A5435"/>
    </row>
    <row r="5436" spans="1:1" x14ac:dyDescent="0.55000000000000004">
      <c r="A5436"/>
    </row>
    <row r="5437" spans="1:1" x14ac:dyDescent="0.55000000000000004">
      <c r="A5437"/>
    </row>
    <row r="5438" spans="1:1" x14ac:dyDescent="0.55000000000000004">
      <c r="A5438"/>
    </row>
    <row r="5439" spans="1:1" x14ac:dyDescent="0.55000000000000004">
      <c r="A5439"/>
    </row>
    <row r="5440" spans="1:1" x14ac:dyDescent="0.55000000000000004">
      <c r="A5440"/>
    </row>
    <row r="5441" spans="1:1" x14ac:dyDescent="0.55000000000000004">
      <c r="A5441"/>
    </row>
    <row r="5442" spans="1:1" x14ac:dyDescent="0.55000000000000004">
      <c r="A5442"/>
    </row>
    <row r="5443" spans="1:1" x14ac:dyDescent="0.55000000000000004">
      <c r="A5443"/>
    </row>
    <row r="5444" spans="1:1" x14ac:dyDescent="0.55000000000000004">
      <c r="A5444"/>
    </row>
    <row r="5445" spans="1:1" x14ac:dyDescent="0.55000000000000004">
      <c r="A5445"/>
    </row>
    <row r="5446" spans="1:1" x14ac:dyDescent="0.55000000000000004">
      <c r="A5446"/>
    </row>
    <row r="5447" spans="1:1" x14ac:dyDescent="0.55000000000000004">
      <c r="A5447"/>
    </row>
    <row r="5448" spans="1:1" x14ac:dyDescent="0.55000000000000004">
      <c r="A5448"/>
    </row>
    <row r="5449" spans="1:1" x14ac:dyDescent="0.55000000000000004">
      <c r="A5449"/>
    </row>
    <row r="5450" spans="1:1" x14ac:dyDescent="0.55000000000000004">
      <c r="A5450"/>
    </row>
    <row r="5451" spans="1:1" x14ac:dyDescent="0.55000000000000004">
      <c r="A5451"/>
    </row>
    <row r="5452" spans="1:1" x14ac:dyDescent="0.55000000000000004">
      <c r="A5452"/>
    </row>
    <row r="5453" spans="1:1" x14ac:dyDescent="0.55000000000000004">
      <c r="A5453"/>
    </row>
    <row r="5454" spans="1:1" x14ac:dyDescent="0.55000000000000004">
      <c r="A5454"/>
    </row>
    <row r="5455" spans="1:1" x14ac:dyDescent="0.55000000000000004">
      <c r="A5455"/>
    </row>
    <row r="5456" spans="1:1" x14ac:dyDescent="0.55000000000000004">
      <c r="A5456"/>
    </row>
    <row r="5457" spans="1:1" x14ac:dyDescent="0.55000000000000004">
      <c r="A5457"/>
    </row>
    <row r="5458" spans="1:1" x14ac:dyDescent="0.55000000000000004">
      <c r="A5458"/>
    </row>
    <row r="5459" spans="1:1" x14ac:dyDescent="0.55000000000000004">
      <c r="A5459"/>
    </row>
    <row r="5460" spans="1:1" x14ac:dyDescent="0.55000000000000004">
      <c r="A5460"/>
    </row>
    <row r="5461" spans="1:1" x14ac:dyDescent="0.55000000000000004">
      <c r="A5461"/>
    </row>
    <row r="5462" spans="1:1" x14ac:dyDescent="0.55000000000000004">
      <c r="A5462"/>
    </row>
    <row r="5463" spans="1:1" x14ac:dyDescent="0.55000000000000004">
      <c r="A5463"/>
    </row>
    <row r="5464" spans="1:1" x14ac:dyDescent="0.55000000000000004">
      <c r="A5464"/>
    </row>
    <row r="5465" spans="1:1" x14ac:dyDescent="0.55000000000000004">
      <c r="A5465"/>
    </row>
    <row r="5466" spans="1:1" x14ac:dyDescent="0.55000000000000004">
      <c r="A5466"/>
    </row>
    <row r="5467" spans="1:1" x14ac:dyDescent="0.55000000000000004">
      <c r="A5467"/>
    </row>
    <row r="5468" spans="1:1" x14ac:dyDescent="0.55000000000000004">
      <c r="A5468"/>
    </row>
    <row r="5469" spans="1:1" x14ac:dyDescent="0.55000000000000004">
      <c r="A5469"/>
    </row>
    <row r="5470" spans="1:1" x14ac:dyDescent="0.55000000000000004">
      <c r="A5470"/>
    </row>
    <row r="5471" spans="1:1" x14ac:dyDescent="0.55000000000000004">
      <c r="A5471"/>
    </row>
    <row r="5472" spans="1:1" x14ac:dyDescent="0.55000000000000004">
      <c r="A5472"/>
    </row>
    <row r="5473" spans="1:1" x14ac:dyDescent="0.55000000000000004">
      <c r="A5473"/>
    </row>
    <row r="5474" spans="1:1" x14ac:dyDescent="0.55000000000000004">
      <c r="A5474"/>
    </row>
    <row r="5475" spans="1:1" x14ac:dyDescent="0.55000000000000004">
      <c r="A5475"/>
    </row>
    <row r="5476" spans="1:1" x14ac:dyDescent="0.55000000000000004">
      <c r="A5476"/>
    </row>
    <row r="5477" spans="1:1" x14ac:dyDescent="0.55000000000000004">
      <c r="A5477"/>
    </row>
    <row r="5478" spans="1:1" x14ac:dyDescent="0.55000000000000004">
      <c r="A5478"/>
    </row>
    <row r="5479" spans="1:1" x14ac:dyDescent="0.55000000000000004">
      <c r="A5479"/>
    </row>
    <row r="5480" spans="1:1" x14ac:dyDescent="0.55000000000000004">
      <c r="A5480"/>
    </row>
    <row r="5481" spans="1:1" x14ac:dyDescent="0.55000000000000004">
      <c r="A5481"/>
    </row>
    <row r="5482" spans="1:1" x14ac:dyDescent="0.55000000000000004">
      <c r="A5482"/>
    </row>
    <row r="5483" spans="1:1" x14ac:dyDescent="0.55000000000000004">
      <c r="A5483"/>
    </row>
    <row r="5484" spans="1:1" x14ac:dyDescent="0.55000000000000004">
      <c r="A5484"/>
    </row>
    <row r="5485" spans="1:1" x14ac:dyDescent="0.55000000000000004">
      <c r="A5485"/>
    </row>
    <row r="5486" spans="1:1" x14ac:dyDescent="0.55000000000000004">
      <c r="A5486"/>
    </row>
    <row r="5487" spans="1:1" x14ac:dyDescent="0.55000000000000004">
      <c r="A5487"/>
    </row>
    <row r="5488" spans="1:1" x14ac:dyDescent="0.55000000000000004">
      <c r="A5488"/>
    </row>
    <row r="5489" spans="1:1" x14ac:dyDescent="0.55000000000000004">
      <c r="A5489"/>
    </row>
    <row r="5490" spans="1:1" x14ac:dyDescent="0.55000000000000004">
      <c r="A5490"/>
    </row>
    <row r="5491" spans="1:1" x14ac:dyDescent="0.55000000000000004">
      <c r="A5491"/>
    </row>
    <row r="5492" spans="1:1" x14ac:dyDescent="0.55000000000000004">
      <c r="A5492"/>
    </row>
    <row r="5493" spans="1:1" x14ac:dyDescent="0.55000000000000004">
      <c r="A5493"/>
    </row>
    <row r="5494" spans="1:1" x14ac:dyDescent="0.55000000000000004">
      <c r="A5494"/>
    </row>
    <row r="5495" spans="1:1" x14ac:dyDescent="0.55000000000000004">
      <c r="A5495"/>
    </row>
    <row r="5496" spans="1:1" x14ac:dyDescent="0.55000000000000004">
      <c r="A5496"/>
    </row>
    <row r="5497" spans="1:1" x14ac:dyDescent="0.55000000000000004">
      <c r="A5497"/>
    </row>
    <row r="5498" spans="1:1" x14ac:dyDescent="0.55000000000000004">
      <c r="A5498"/>
    </row>
    <row r="5499" spans="1:1" x14ac:dyDescent="0.55000000000000004">
      <c r="A5499"/>
    </row>
    <row r="5500" spans="1:1" x14ac:dyDescent="0.55000000000000004">
      <c r="A5500"/>
    </row>
    <row r="5501" spans="1:1" x14ac:dyDescent="0.55000000000000004">
      <c r="A5501"/>
    </row>
    <row r="5502" spans="1:1" x14ac:dyDescent="0.55000000000000004">
      <c r="A5502"/>
    </row>
    <row r="5503" spans="1:1" x14ac:dyDescent="0.55000000000000004">
      <c r="A5503"/>
    </row>
    <row r="5504" spans="1:1" x14ac:dyDescent="0.55000000000000004">
      <c r="A5504"/>
    </row>
    <row r="5505" spans="1:1" x14ac:dyDescent="0.55000000000000004">
      <c r="A5505"/>
    </row>
    <row r="5506" spans="1:1" x14ac:dyDescent="0.55000000000000004">
      <c r="A5506"/>
    </row>
    <row r="5507" spans="1:1" x14ac:dyDescent="0.55000000000000004">
      <c r="A5507"/>
    </row>
    <row r="5508" spans="1:1" x14ac:dyDescent="0.55000000000000004">
      <c r="A5508"/>
    </row>
    <row r="5509" spans="1:1" x14ac:dyDescent="0.55000000000000004">
      <c r="A5509"/>
    </row>
    <row r="5510" spans="1:1" x14ac:dyDescent="0.55000000000000004">
      <c r="A5510"/>
    </row>
    <row r="5511" spans="1:1" x14ac:dyDescent="0.55000000000000004">
      <c r="A5511"/>
    </row>
    <row r="5512" spans="1:1" x14ac:dyDescent="0.55000000000000004">
      <c r="A5512"/>
    </row>
    <row r="5513" spans="1:1" x14ac:dyDescent="0.55000000000000004">
      <c r="A5513"/>
    </row>
    <row r="5514" spans="1:1" x14ac:dyDescent="0.55000000000000004">
      <c r="A5514"/>
    </row>
    <row r="5515" spans="1:1" x14ac:dyDescent="0.55000000000000004">
      <c r="A5515"/>
    </row>
    <row r="5516" spans="1:1" x14ac:dyDescent="0.55000000000000004">
      <c r="A5516"/>
    </row>
    <row r="5517" spans="1:1" x14ac:dyDescent="0.55000000000000004">
      <c r="A5517"/>
    </row>
    <row r="5518" spans="1:1" x14ac:dyDescent="0.55000000000000004">
      <c r="A5518"/>
    </row>
    <row r="5519" spans="1:1" x14ac:dyDescent="0.55000000000000004">
      <c r="A5519"/>
    </row>
    <row r="5520" spans="1:1" x14ac:dyDescent="0.55000000000000004">
      <c r="A5520"/>
    </row>
    <row r="5521" spans="1:1" x14ac:dyDescent="0.55000000000000004">
      <c r="A5521"/>
    </row>
    <row r="5522" spans="1:1" x14ac:dyDescent="0.55000000000000004">
      <c r="A5522"/>
    </row>
    <row r="5523" spans="1:1" x14ac:dyDescent="0.55000000000000004">
      <c r="A5523"/>
    </row>
    <row r="5524" spans="1:1" x14ac:dyDescent="0.55000000000000004">
      <c r="A5524"/>
    </row>
    <row r="5525" spans="1:1" x14ac:dyDescent="0.55000000000000004">
      <c r="A5525"/>
    </row>
    <row r="5526" spans="1:1" x14ac:dyDescent="0.55000000000000004">
      <c r="A5526"/>
    </row>
    <row r="5527" spans="1:1" x14ac:dyDescent="0.55000000000000004">
      <c r="A5527"/>
    </row>
    <row r="5528" spans="1:1" x14ac:dyDescent="0.55000000000000004">
      <c r="A5528"/>
    </row>
    <row r="5529" spans="1:1" x14ac:dyDescent="0.55000000000000004">
      <c r="A5529"/>
    </row>
    <row r="5530" spans="1:1" x14ac:dyDescent="0.55000000000000004">
      <c r="A5530"/>
    </row>
    <row r="5531" spans="1:1" x14ac:dyDescent="0.55000000000000004">
      <c r="A5531"/>
    </row>
    <row r="5532" spans="1:1" x14ac:dyDescent="0.55000000000000004">
      <c r="A5532"/>
    </row>
    <row r="5533" spans="1:1" x14ac:dyDescent="0.55000000000000004">
      <c r="A5533"/>
    </row>
    <row r="5534" spans="1:1" x14ac:dyDescent="0.55000000000000004">
      <c r="A5534"/>
    </row>
    <row r="5535" spans="1:1" x14ac:dyDescent="0.55000000000000004">
      <c r="A5535"/>
    </row>
    <row r="5536" spans="1:1" x14ac:dyDescent="0.55000000000000004">
      <c r="A5536"/>
    </row>
    <row r="5537" spans="1:1" x14ac:dyDescent="0.55000000000000004">
      <c r="A5537"/>
    </row>
    <row r="5538" spans="1:1" x14ac:dyDescent="0.55000000000000004">
      <c r="A5538"/>
    </row>
    <row r="5539" spans="1:1" x14ac:dyDescent="0.55000000000000004">
      <c r="A5539"/>
    </row>
    <row r="5540" spans="1:1" x14ac:dyDescent="0.55000000000000004">
      <c r="A5540"/>
    </row>
    <row r="5541" spans="1:1" x14ac:dyDescent="0.55000000000000004">
      <c r="A5541"/>
    </row>
    <row r="5542" spans="1:1" x14ac:dyDescent="0.55000000000000004">
      <c r="A5542"/>
    </row>
    <row r="5543" spans="1:1" x14ac:dyDescent="0.55000000000000004">
      <c r="A5543"/>
    </row>
    <row r="5544" spans="1:1" x14ac:dyDescent="0.55000000000000004">
      <c r="A5544"/>
    </row>
    <row r="5545" spans="1:1" x14ac:dyDescent="0.55000000000000004">
      <c r="A5545"/>
    </row>
    <row r="5546" spans="1:1" x14ac:dyDescent="0.55000000000000004">
      <c r="A5546"/>
    </row>
    <row r="5547" spans="1:1" x14ac:dyDescent="0.55000000000000004">
      <c r="A5547"/>
    </row>
    <row r="5548" spans="1:1" x14ac:dyDescent="0.55000000000000004">
      <c r="A5548"/>
    </row>
    <row r="5549" spans="1:1" x14ac:dyDescent="0.55000000000000004">
      <c r="A5549"/>
    </row>
    <row r="5550" spans="1:1" x14ac:dyDescent="0.55000000000000004">
      <c r="A5550"/>
    </row>
    <row r="5551" spans="1:1" x14ac:dyDescent="0.55000000000000004">
      <c r="A5551"/>
    </row>
    <row r="5552" spans="1:1" x14ac:dyDescent="0.55000000000000004">
      <c r="A5552"/>
    </row>
    <row r="5553" spans="1:1" x14ac:dyDescent="0.55000000000000004">
      <c r="A5553"/>
    </row>
    <row r="5554" spans="1:1" x14ac:dyDescent="0.55000000000000004">
      <c r="A5554"/>
    </row>
    <row r="5555" spans="1:1" x14ac:dyDescent="0.55000000000000004">
      <c r="A5555"/>
    </row>
    <row r="5556" spans="1:1" x14ac:dyDescent="0.55000000000000004">
      <c r="A5556"/>
    </row>
    <row r="5557" spans="1:1" x14ac:dyDescent="0.55000000000000004">
      <c r="A5557"/>
    </row>
    <row r="5558" spans="1:1" x14ac:dyDescent="0.55000000000000004">
      <c r="A5558"/>
    </row>
    <row r="5559" spans="1:1" x14ac:dyDescent="0.55000000000000004">
      <c r="A5559"/>
    </row>
    <row r="5560" spans="1:1" x14ac:dyDescent="0.55000000000000004">
      <c r="A5560"/>
    </row>
    <row r="5561" spans="1:1" x14ac:dyDescent="0.55000000000000004">
      <c r="A5561"/>
    </row>
    <row r="5562" spans="1:1" x14ac:dyDescent="0.55000000000000004">
      <c r="A5562"/>
    </row>
    <row r="5563" spans="1:1" x14ac:dyDescent="0.55000000000000004">
      <c r="A5563"/>
    </row>
    <row r="5564" spans="1:1" x14ac:dyDescent="0.55000000000000004">
      <c r="A5564"/>
    </row>
    <row r="5565" spans="1:1" x14ac:dyDescent="0.55000000000000004">
      <c r="A5565"/>
    </row>
    <row r="5566" spans="1:1" x14ac:dyDescent="0.55000000000000004">
      <c r="A5566"/>
    </row>
    <row r="5567" spans="1:1" x14ac:dyDescent="0.55000000000000004">
      <c r="A5567"/>
    </row>
    <row r="5568" spans="1:1" x14ac:dyDescent="0.55000000000000004">
      <c r="A5568"/>
    </row>
    <row r="5569" spans="1:1" x14ac:dyDescent="0.55000000000000004">
      <c r="A5569"/>
    </row>
    <row r="5570" spans="1:1" x14ac:dyDescent="0.55000000000000004">
      <c r="A5570"/>
    </row>
    <row r="5571" spans="1:1" x14ac:dyDescent="0.55000000000000004">
      <c r="A5571"/>
    </row>
    <row r="5572" spans="1:1" x14ac:dyDescent="0.55000000000000004">
      <c r="A5572"/>
    </row>
    <row r="5573" spans="1:1" x14ac:dyDescent="0.55000000000000004">
      <c r="A5573"/>
    </row>
    <row r="5574" spans="1:1" x14ac:dyDescent="0.55000000000000004">
      <c r="A5574"/>
    </row>
    <row r="5575" spans="1:1" x14ac:dyDescent="0.55000000000000004">
      <c r="A5575"/>
    </row>
    <row r="5576" spans="1:1" x14ac:dyDescent="0.55000000000000004">
      <c r="A5576"/>
    </row>
    <row r="5577" spans="1:1" x14ac:dyDescent="0.55000000000000004">
      <c r="A5577"/>
    </row>
    <row r="5578" spans="1:1" x14ac:dyDescent="0.55000000000000004">
      <c r="A5578"/>
    </row>
    <row r="5579" spans="1:1" x14ac:dyDescent="0.55000000000000004">
      <c r="A5579"/>
    </row>
    <row r="5580" spans="1:1" x14ac:dyDescent="0.55000000000000004">
      <c r="A5580"/>
    </row>
    <row r="5581" spans="1:1" x14ac:dyDescent="0.55000000000000004">
      <c r="A5581"/>
    </row>
    <row r="5582" spans="1:1" x14ac:dyDescent="0.55000000000000004">
      <c r="A5582"/>
    </row>
    <row r="5583" spans="1:1" x14ac:dyDescent="0.55000000000000004">
      <c r="A5583"/>
    </row>
    <row r="5584" spans="1:1" x14ac:dyDescent="0.55000000000000004">
      <c r="A5584"/>
    </row>
    <row r="5585" spans="1:1" x14ac:dyDescent="0.55000000000000004">
      <c r="A5585"/>
    </row>
    <row r="5586" spans="1:1" x14ac:dyDescent="0.55000000000000004">
      <c r="A5586"/>
    </row>
    <row r="5587" spans="1:1" x14ac:dyDescent="0.55000000000000004">
      <c r="A5587"/>
    </row>
    <row r="5588" spans="1:1" x14ac:dyDescent="0.55000000000000004">
      <c r="A5588"/>
    </row>
    <row r="5589" spans="1:1" x14ac:dyDescent="0.55000000000000004">
      <c r="A5589"/>
    </row>
    <row r="5590" spans="1:1" x14ac:dyDescent="0.55000000000000004">
      <c r="A5590"/>
    </row>
    <row r="5591" spans="1:1" x14ac:dyDescent="0.55000000000000004">
      <c r="A5591"/>
    </row>
    <row r="5592" spans="1:1" x14ac:dyDescent="0.55000000000000004">
      <c r="A5592"/>
    </row>
    <row r="5593" spans="1:1" x14ac:dyDescent="0.55000000000000004">
      <c r="A5593"/>
    </row>
    <row r="5594" spans="1:1" x14ac:dyDescent="0.55000000000000004">
      <c r="A5594"/>
    </row>
    <row r="5595" spans="1:1" x14ac:dyDescent="0.55000000000000004">
      <c r="A5595"/>
    </row>
    <row r="5596" spans="1:1" x14ac:dyDescent="0.55000000000000004">
      <c r="A5596"/>
    </row>
    <row r="5597" spans="1:1" x14ac:dyDescent="0.55000000000000004">
      <c r="A5597"/>
    </row>
    <row r="5598" spans="1:1" x14ac:dyDescent="0.55000000000000004">
      <c r="A5598"/>
    </row>
    <row r="5599" spans="1:1" x14ac:dyDescent="0.55000000000000004">
      <c r="A5599"/>
    </row>
    <row r="5600" spans="1:1" x14ac:dyDescent="0.55000000000000004">
      <c r="A5600"/>
    </row>
    <row r="5601" spans="1:1" x14ac:dyDescent="0.55000000000000004">
      <c r="A5601"/>
    </row>
    <row r="5602" spans="1:1" x14ac:dyDescent="0.55000000000000004">
      <c r="A5602"/>
    </row>
    <row r="5603" spans="1:1" x14ac:dyDescent="0.55000000000000004">
      <c r="A5603"/>
    </row>
    <row r="5604" spans="1:1" x14ac:dyDescent="0.55000000000000004">
      <c r="A5604"/>
    </row>
    <row r="5605" spans="1:1" x14ac:dyDescent="0.55000000000000004">
      <c r="A5605"/>
    </row>
    <row r="5606" spans="1:1" x14ac:dyDescent="0.55000000000000004">
      <c r="A5606"/>
    </row>
    <row r="5607" spans="1:1" x14ac:dyDescent="0.55000000000000004">
      <c r="A5607"/>
    </row>
    <row r="5608" spans="1:1" x14ac:dyDescent="0.55000000000000004">
      <c r="A5608"/>
    </row>
    <row r="5609" spans="1:1" x14ac:dyDescent="0.55000000000000004">
      <c r="A5609"/>
    </row>
    <row r="5610" spans="1:1" x14ac:dyDescent="0.55000000000000004">
      <c r="A5610"/>
    </row>
    <row r="5611" spans="1:1" x14ac:dyDescent="0.55000000000000004">
      <c r="A5611"/>
    </row>
    <row r="5612" spans="1:1" x14ac:dyDescent="0.55000000000000004">
      <c r="A5612"/>
    </row>
    <row r="5613" spans="1:1" x14ac:dyDescent="0.55000000000000004">
      <c r="A5613"/>
    </row>
    <row r="5614" spans="1:1" x14ac:dyDescent="0.55000000000000004">
      <c r="A5614"/>
    </row>
    <row r="5615" spans="1:1" x14ac:dyDescent="0.55000000000000004">
      <c r="A5615"/>
    </row>
    <row r="5616" spans="1:1" x14ac:dyDescent="0.55000000000000004">
      <c r="A5616"/>
    </row>
    <row r="5617" spans="1:1" x14ac:dyDescent="0.55000000000000004">
      <c r="A5617"/>
    </row>
    <row r="5618" spans="1:1" x14ac:dyDescent="0.55000000000000004">
      <c r="A5618"/>
    </row>
    <row r="5619" spans="1:1" x14ac:dyDescent="0.55000000000000004">
      <c r="A5619"/>
    </row>
    <row r="5620" spans="1:1" x14ac:dyDescent="0.55000000000000004">
      <c r="A5620"/>
    </row>
    <row r="5621" spans="1:1" x14ac:dyDescent="0.55000000000000004">
      <c r="A5621"/>
    </row>
    <row r="5622" spans="1:1" x14ac:dyDescent="0.55000000000000004">
      <c r="A5622"/>
    </row>
    <row r="5623" spans="1:1" x14ac:dyDescent="0.55000000000000004">
      <c r="A5623"/>
    </row>
    <row r="5624" spans="1:1" x14ac:dyDescent="0.55000000000000004">
      <c r="A5624"/>
    </row>
    <row r="5625" spans="1:1" x14ac:dyDescent="0.55000000000000004">
      <c r="A5625"/>
    </row>
    <row r="5626" spans="1:1" x14ac:dyDescent="0.55000000000000004">
      <c r="A5626"/>
    </row>
    <row r="5627" spans="1:1" x14ac:dyDescent="0.55000000000000004">
      <c r="A5627"/>
    </row>
    <row r="5628" spans="1:1" x14ac:dyDescent="0.55000000000000004">
      <c r="A5628"/>
    </row>
    <row r="5629" spans="1:1" x14ac:dyDescent="0.55000000000000004">
      <c r="A5629"/>
    </row>
    <row r="5630" spans="1:1" x14ac:dyDescent="0.55000000000000004">
      <c r="A5630"/>
    </row>
    <row r="5631" spans="1:1" x14ac:dyDescent="0.55000000000000004">
      <c r="A5631"/>
    </row>
    <row r="5632" spans="1:1" x14ac:dyDescent="0.55000000000000004">
      <c r="A5632"/>
    </row>
    <row r="5633" spans="1:1" x14ac:dyDescent="0.55000000000000004">
      <c r="A5633"/>
    </row>
    <row r="5634" spans="1:1" x14ac:dyDescent="0.55000000000000004">
      <c r="A5634"/>
    </row>
    <row r="5635" spans="1:1" x14ac:dyDescent="0.55000000000000004">
      <c r="A5635"/>
    </row>
    <row r="5636" spans="1:1" x14ac:dyDescent="0.55000000000000004">
      <c r="A5636"/>
    </row>
    <row r="5637" spans="1:1" x14ac:dyDescent="0.55000000000000004">
      <c r="A5637"/>
    </row>
    <row r="5638" spans="1:1" x14ac:dyDescent="0.55000000000000004">
      <c r="A5638"/>
    </row>
    <row r="5639" spans="1:1" x14ac:dyDescent="0.55000000000000004">
      <c r="A5639"/>
    </row>
    <row r="5640" spans="1:1" x14ac:dyDescent="0.55000000000000004">
      <c r="A5640"/>
    </row>
    <row r="5641" spans="1:1" x14ac:dyDescent="0.55000000000000004">
      <c r="A5641"/>
    </row>
    <row r="5642" spans="1:1" x14ac:dyDescent="0.55000000000000004">
      <c r="A5642"/>
    </row>
    <row r="5643" spans="1:1" x14ac:dyDescent="0.55000000000000004">
      <c r="A5643"/>
    </row>
    <row r="5644" spans="1:1" x14ac:dyDescent="0.55000000000000004">
      <c r="A5644"/>
    </row>
    <row r="5645" spans="1:1" x14ac:dyDescent="0.55000000000000004">
      <c r="A5645"/>
    </row>
    <row r="5646" spans="1:1" x14ac:dyDescent="0.55000000000000004">
      <c r="A5646"/>
    </row>
    <row r="5647" spans="1:1" x14ac:dyDescent="0.55000000000000004">
      <c r="A5647"/>
    </row>
    <row r="5648" spans="1:1" x14ac:dyDescent="0.55000000000000004">
      <c r="A5648"/>
    </row>
    <row r="5649" spans="1:1" x14ac:dyDescent="0.55000000000000004">
      <c r="A5649"/>
    </row>
    <row r="5650" spans="1:1" x14ac:dyDescent="0.55000000000000004">
      <c r="A5650"/>
    </row>
    <row r="5651" spans="1:1" x14ac:dyDescent="0.55000000000000004">
      <c r="A5651"/>
    </row>
    <row r="5652" spans="1:1" x14ac:dyDescent="0.55000000000000004">
      <c r="A5652"/>
    </row>
    <row r="5653" spans="1:1" x14ac:dyDescent="0.55000000000000004">
      <c r="A5653"/>
    </row>
    <row r="5654" spans="1:1" x14ac:dyDescent="0.55000000000000004">
      <c r="A5654"/>
    </row>
    <row r="5655" spans="1:1" x14ac:dyDescent="0.55000000000000004">
      <c r="A5655"/>
    </row>
    <row r="5656" spans="1:1" x14ac:dyDescent="0.55000000000000004">
      <c r="A5656"/>
    </row>
    <row r="5657" spans="1:1" x14ac:dyDescent="0.55000000000000004">
      <c r="A5657"/>
    </row>
    <row r="5658" spans="1:1" x14ac:dyDescent="0.55000000000000004">
      <c r="A5658"/>
    </row>
    <row r="5659" spans="1:1" x14ac:dyDescent="0.55000000000000004">
      <c r="A5659"/>
    </row>
    <row r="5660" spans="1:1" x14ac:dyDescent="0.55000000000000004">
      <c r="A5660"/>
    </row>
    <row r="5661" spans="1:1" x14ac:dyDescent="0.55000000000000004">
      <c r="A5661"/>
    </row>
    <row r="5662" spans="1:1" x14ac:dyDescent="0.55000000000000004">
      <c r="A5662"/>
    </row>
    <row r="5663" spans="1:1" x14ac:dyDescent="0.55000000000000004">
      <c r="A5663"/>
    </row>
    <row r="5664" spans="1:1" x14ac:dyDescent="0.55000000000000004">
      <c r="A5664"/>
    </row>
    <row r="5665" spans="1:1" x14ac:dyDescent="0.55000000000000004">
      <c r="A5665"/>
    </row>
    <row r="5666" spans="1:1" x14ac:dyDescent="0.55000000000000004">
      <c r="A5666"/>
    </row>
    <row r="5667" spans="1:1" x14ac:dyDescent="0.55000000000000004">
      <c r="A5667"/>
    </row>
    <row r="5668" spans="1:1" x14ac:dyDescent="0.55000000000000004">
      <c r="A5668"/>
    </row>
    <row r="5669" spans="1:1" x14ac:dyDescent="0.55000000000000004">
      <c r="A5669"/>
    </row>
    <row r="5670" spans="1:1" x14ac:dyDescent="0.55000000000000004">
      <c r="A5670"/>
    </row>
    <row r="5671" spans="1:1" x14ac:dyDescent="0.55000000000000004">
      <c r="A5671"/>
    </row>
    <row r="5672" spans="1:1" x14ac:dyDescent="0.55000000000000004">
      <c r="A5672"/>
    </row>
    <row r="5673" spans="1:1" x14ac:dyDescent="0.55000000000000004">
      <c r="A5673"/>
    </row>
    <row r="5674" spans="1:1" x14ac:dyDescent="0.55000000000000004">
      <c r="A5674"/>
    </row>
    <row r="5675" spans="1:1" x14ac:dyDescent="0.55000000000000004">
      <c r="A5675"/>
    </row>
    <row r="5676" spans="1:1" x14ac:dyDescent="0.55000000000000004">
      <c r="A5676"/>
    </row>
    <row r="5677" spans="1:1" x14ac:dyDescent="0.55000000000000004">
      <c r="A5677"/>
    </row>
    <row r="5678" spans="1:1" x14ac:dyDescent="0.55000000000000004">
      <c r="A5678"/>
    </row>
    <row r="5679" spans="1:1" x14ac:dyDescent="0.55000000000000004">
      <c r="A5679"/>
    </row>
    <row r="5680" spans="1:1" x14ac:dyDescent="0.55000000000000004">
      <c r="A5680"/>
    </row>
    <row r="5681" spans="1:1" x14ac:dyDescent="0.55000000000000004">
      <c r="A5681"/>
    </row>
    <row r="5682" spans="1:1" x14ac:dyDescent="0.55000000000000004">
      <c r="A5682"/>
    </row>
    <row r="5683" spans="1:1" x14ac:dyDescent="0.55000000000000004">
      <c r="A5683"/>
    </row>
    <row r="5684" spans="1:1" x14ac:dyDescent="0.55000000000000004">
      <c r="A5684"/>
    </row>
    <row r="5685" spans="1:1" x14ac:dyDescent="0.55000000000000004">
      <c r="A5685"/>
    </row>
    <row r="5686" spans="1:1" x14ac:dyDescent="0.55000000000000004">
      <c r="A5686"/>
    </row>
    <row r="5687" spans="1:1" x14ac:dyDescent="0.55000000000000004">
      <c r="A5687"/>
    </row>
    <row r="5688" spans="1:1" x14ac:dyDescent="0.55000000000000004">
      <c r="A5688"/>
    </row>
    <row r="5689" spans="1:1" x14ac:dyDescent="0.55000000000000004">
      <c r="A5689"/>
    </row>
    <row r="5690" spans="1:1" x14ac:dyDescent="0.55000000000000004">
      <c r="A5690"/>
    </row>
    <row r="5691" spans="1:1" x14ac:dyDescent="0.55000000000000004">
      <c r="A5691"/>
    </row>
    <row r="5692" spans="1:1" x14ac:dyDescent="0.55000000000000004">
      <c r="A5692"/>
    </row>
    <row r="5693" spans="1:1" x14ac:dyDescent="0.55000000000000004">
      <c r="A5693"/>
    </row>
    <row r="5694" spans="1:1" x14ac:dyDescent="0.55000000000000004">
      <c r="A5694"/>
    </row>
    <row r="5695" spans="1:1" x14ac:dyDescent="0.55000000000000004">
      <c r="A5695"/>
    </row>
    <row r="5696" spans="1:1" x14ac:dyDescent="0.55000000000000004">
      <c r="A5696"/>
    </row>
    <row r="5697" spans="1:1" x14ac:dyDescent="0.55000000000000004">
      <c r="A5697"/>
    </row>
    <row r="5698" spans="1:1" x14ac:dyDescent="0.55000000000000004">
      <c r="A5698"/>
    </row>
    <row r="5699" spans="1:1" x14ac:dyDescent="0.55000000000000004">
      <c r="A5699"/>
    </row>
    <row r="5700" spans="1:1" x14ac:dyDescent="0.55000000000000004">
      <c r="A5700"/>
    </row>
    <row r="5701" spans="1:1" x14ac:dyDescent="0.55000000000000004">
      <c r="A5701"/>
    </row>
    <row r="5702" spans="1:1" x14ac:dyDescent="0.55000000000000004">
      <c r="A5702"/>
    </row>
    <row r="5703" spans="1:1" x14ac:dyDescent="0.55000000000000004">
      <c r="A5703"/>
    </row>
    <row r="5704" spans="1:1" x14ac:dyDescent="0.55000000000000004">
      <c r="A5704"/>
    </row>
    <row r="5705" spans="1:1" x14ac:dyDescent="0.55000000000000004">
      <c r="A5705"/>
    </row>
    <row r="5706" spans="1:1" x14ac:dyDescent="0.55000000000000004">
      <c r="A5706"/>
    </row>
    <row r="5707" spans="1:1" x14ac:dyDescent="0.55000000000000004">
      <c r="A5707"/>
    </row>
    <row r="5708" spans="1:1" x14ac:dyDescent="0.55000000000000004">
      <c r="A5708"/>
    </row>
    <row r="5709" spans="1:1" x14ac:dyDescent="0.55000000000000004">
      <c r="A5709"/>
    </row>
    <row r="5710" spans="1:1" x14ac:dyDescent="0.55000000000000004">
      <c r="A5710"/>
    </row>
    <row r="5711" spans="1:1" x14ac:dyDescent="0.55000000000000004">
      <c r="A5711"/>
    </row>
    <row r="5712" spans="1:1" x14ac:dyDescent="0.55000000000000004">
      <c r="A5712"/>
    </row>
    <row r="5713" spans="1:1" x14ac:dyDescent="0.55000000000000004">
      <c r="A5713"/>
    </row>
    <row r="5714" spans="1:1" x14ac:dyDescent="0.55000000000000004">
      <c r="A5714"/>
    </row>
    <row r="5715" spans="1:1" x14ac:dyDescent="0.55000000000000004">
      <c r="A5715"/>
    </row>
    <row r="5716" spans="1:1" x14ac:dyDescent="0.55000000000000004">
      <c r="A5716"/>
    </row>
    <row r="5717" spans="1:1" x14ac:dyDescent="0.55000000000000004">
      <c r="A5717"/>
    </row>
    <row r="5718" spans="1:1" x14ac:dyDescent="0.55000000000000004">
      <c r="A5718"/>
    </row>
    <row r="5719" spans="1:1" x14ac:dyDescent="0.55000000000000004">
      <c r="A5719"/>
    </row>
    <row r="5720" spans="1:1" x14ac:dyDescent="0.55000000000000004">
      <c r="A5720"/>
    </row>
    <row r="5721" spans="1:1" x14ac:dyDescent="0.55000000000000004">
      <c r="A5721"/>
    </row>
    <row r="5722" spans="1:1" x14ac:dyDescent="0.55000000000000004">
      <c r="A5722"/>
    </row>
    <row r="5723" spans="1:1" x14ac:dyDescent="0.55000000000000004">
      <c r="A5723"/>
    </row>
    <row r="5724" spans="1:1" x14ac:dyDescent="0.55000000000000004">
      <c r="A5724"/>
    </row>
    <row r="5725" spans="1:1" x14ac:dyDescent="0.55000000000000004">
      <c r="A5725"/>
    </row>
    <row r="5726" spans="1:1" x14ac:dyDescent="0.55000000000000004">
      <c r="A5726"/>
    </row>
    <row r="5727" spans="1:1" x14ac:dyDescent="0.55000000000000004">
      <c r="A5727"/>
    </row>
    <row r="5728" spans="1:1" x14ac:dyDescent="0.55000000000000004">
      <c r="A5728"/>
    </row>
    <row r="5729" spans="1:1" x14ac:dyDescent="0.55000000000000004">
      <c r="A5729"/>
    </row>
    <row r="5730" spans="1:1" x14ac:dyDescent="0.55000000000000004">
      <c r="A5730"/>
    </row>
    <row r="5731" spans="1:1" x14ac:dyDescent="0.55000000000000004">
      <c r="A5731"/>
    </row>
    <row r="5732" spans="1:1" x14ac:dyDescent="0.55000000000000004">
      <c r="A5732"/>
    </row>
    <row r="5733" spans="1:1" x14ac:dyDescent="0.55000000000000004">
      <c r="A5733"/>
    </row>
    <row r="5734" spans="1:1" x14ac:dyDescent="0.55000000000000004">
      <c r="A5734"/>
    </row>
    <row r="5735" spans="1:1" x14ac:dyDescent="0.55000000000000004">
      <c r="A5735"/>
    </row>
    <row r="5736" spans="1:1" x14ac:dyDescent="0.55000000000000004">
      <c r="A5736"/>
    </row>
    <row r="5737" spans="1:1" x14ac:dyDescent="0.55000000000000004">
      <c r="A5737"/>
    </row>
    <row r="5738" spans="1:1" x14ac:dyDescent="0.55000000000000004">
      <c r="A5738"/>
    </row>
    <row r="5739" spans="1:1" x14ac:dyDescent="0.55000000000000004">
      <c r="A5739"/>
    </row>
    <row r="5740" spans="1:1" x14ac:dyDescent="0.55000000000000004">
      <c r="A5740"/>
    </row>
    <row r="5741" spans="1:1" x14ac:dyDescent="0.55000000000000004">
      <c r="A5741"/>
    </row>
    <row r="5742" spans="1:1" x14ac:dyDescent="0.55000000000000004">
      <c r="A5742"/>
    </row>
    <row r="5743" spans="1:1" x14ac:dyDescent="0.55000000000000004">
      <c r="A5743"/>
    </row>
    <row r="5744" spans="1:1" x14ac:dyDescent="0.55000000000000004">
      <c r="A5744"/>
    </row>
    <row r="5745" spans="1:1" x14ac:dyDescent="0.55000000000000004">
      <c r="A5745"/>
    </row>
    <row r="5746" spans="1:1" x14ac:dyDescent="0.55000000000000004">
      <c r="A5746"/>
    </row>
    <row r="5747" spans="1:1" x14ac:dyDescent="0.55000000000000004">
      <c r="A5747"/>
    </row>
    <row r="5748" spans="1:1" x14ac:dyDescent="0.55000000000000004">
      <c r="A5748"/>
    </row>
    <row r="5749" spans="1:1" x14ac:dyDescent="0.55000000000000004">
      <c r="A5749"/>
    </row>
    <row r="5750" spans="1:1" x14ac:dyDescent="0.55000000000000004">
      <c r="A5750"/>
    </row>
    <row r="5751" spans="1:1" x14ac:dyDescent="0.55000000000000004">
      <c r="A5751"/>
    </row>
    <row r="5752" spans="1:1" x14ac:dyDescent="0.55000000000000004">
      <c r="A5752"/>
    </row>
    <row r="5753" spans="1:1" x14ac:dyDescent="0.55000000000000004">
      <c r="A5753"/>
    </row>
    <row r="5754" spans="1:1" x14ac:dyDescent="0.55000000000000004">
      <c r="A5754"/>
    </row>
    <row r="5755" spans="1:1" x14ac:dyDescent="0.55000000000000004">
      <c r="A5755"/>
    </row>
    <row r="5756" spans="1:1" x14ac:dyDescent="0.55000000000000004">
      <c r="A5756"/>
    </row>
    <row r="5757" spans="1:1" x14ac:dyDescent="0.55000000000000004">
      <c r="A5757"/>
    </row>
    <row r="5758" spans="1:1" x14ac:dyDescent="0.55000000000000004">
      <c r="A5758"/>
    </row>
    <row r="5759" spans="1:1" x14ac:dyDescent="0.55000000000000004">
      <c r="A5759"/>
    </row>
    <row r="5760" spans="1:1" x14ac:dyDescent="0.55000000000000004">
      <c r="A5760"/>
    </row>
    <row r="5761" spans="1:1" x14ac:dyDescent="0.55000000000000004">
      <c r="A5761"/>
    </row>
    <row r="5762" spans="1:1" x14ac:dyDescent="0.55000000000000004">
      <c r="A5762"/>
    </row>
    <row r="5763" spans="1:1" x14ac:dyDescent="0.55000000000000004">
      <c r="A5763"/>
    </row>
    <row r="5764" spans="1:1" x14ac:dyDescent="0.55000000000000004">
      <c r="A5764"/>
    </row>
    <row r="5765" spans="1:1" x14ac:dyDescent="0.55000000000000004">
      <c r="A5765"/>
    </row>
    <row r="5766" spans="1:1" x14ac:dyDescent="0.55000000000000004">
      <c r="A5766"/>
    </row>
    <row r="5767" spans="1:1" x14ac:dyDescent="0.55000000000000004">
      <c r="A5767"/>
    </row>
    <row r="5768" spans="1:1" x14ac:dyDescent="0.55000000000000004">
      <c r="A5768"/>
    </row>
    <row r="5769" spans="1:1" x14ac:dyDescent="0.55000000000000004">
      <c r="A5769"/>
    </row>
    <row r="5770" spans="1:1" x14ac:dyDescent="0.55000000000000004">
      <c r="A5770"/>
    </row>
    <row r="5771" spans="1:1" x14ac:dyDescent="0.55000000000000004">
      <c r="A5771"/>
    </row>
    <row r="5772" spans="1:1" x14ac:dyDescent="0.55000000000000004">
      <c r="A5772"/>
    </row>
    <row r="5773" spans="1:1" x14ac:dyDescent="0.55000000000000004">
      <c r="A5773"/>
    </row>
    <row r="5774" spans="1:1" x14ac:dyDescent="0.55000000000000004">
      <c r="A5774"/>
    </row>
    <row r="5775" spans="1:1" x14ac:dyDescent="0.55000000000000004">
      <c r="A5775"/>
    </row>
    <row r="5776" spans="1:1" x14ac:dyDescent="0.55000000000000004">
      <c r="A5776"/>
    </row>
    <row r="5777" spans="1:1" x14ac:dyDescent="0.55000000000000004">
      <c r="A5777"/>
    </row>
    <row r="5778" spans="1:1" x14ac:dyDescent="0.55000000000000004">
      <c r="A5778"/>
    </row>
    <row r="5779" spans="1:1" x14ac:dyDescent="0.55000000000000004">
      <c r="A5779"/>
    </row>
    <row r="5780" spans="1:1" x14ac:dyDescent="0.55000000000000004">
      <c r="A5780"/>
    </row>
    <row r="5781" spans="1:1" x14ac:dyDescent="0.55000000000000004">
      <c r="A5781"/>
    </row>
    <row r="5782" spans="1:1" x14ac:dyDescent="0.55000000000000004">
      <c r="A5782"/>
    </row>
    <row r="5783" spans="1:1" x14ac:dyDescent="0.55000000000000004">
      <c r="A5783"/>
    </row>
    <row r="5784" spans="1:1" x14ac:dyDescent="0.55000000000000004">
      <c r="A5784"/>
    </row>
    <row r="5785" spans="1:1" x14ac:dyDescent="0.55000000000000004">
      <c r="A5785"/>
    </row>
    <row r="5786" spans="1:1" x14ac:dyDescent="0.55000000000000004">
      <c r="A5786"/>
    </row>
    <row r="5787" spans="1:1" x14ac:dyDescent="0.55000000000000004">
      <c r="A5787"/>
    </row>
    <row r="5788" spans="1:1" x14ac:dyDescent="0.55000000000000004">
      <c r="A5788"/>
    </row>
    <row r="5789" spans="1:1" x14ac:dyDescent="0.55000000000000004">
      <c r="A5789"/>
    </row>
    <row r="5790" spans="1:1" x14ac:dyDescent="0.55000000000000004">
      <c r="A5790"/>
    </row>
    <row r="5791" spans="1:1" x14ac:dyDescent="0.55000000000000004">
      <c r="A5791"/>
    </row>
    <row r="5792" spans="1:1" x14ac:dyDescent="0.55000000000000004">
      <c r="A5792"/>
    </row>
    <row r="5793" spans="1:1" x14ac:dyDescent="0.55000000000000004">
      <c r="A5793"/>
    </row>
    <row r="5794" spans="1:1" x14ac:dyDescent="0.55000000000000004">
      <c r="A5794"/>
    </row>
    <row r="5795" spans="1:1" x14ac:dyDescent="0.55000000000000004">
      <c r="A5795"/>
    </row>
    <row r="5796" spans="1:1" x14ac:dyDescent="0.55000000000000004">
      <c r="A5796"/>
    </row>
    <row r="5797" spans="1:1" x14ac:dyDescent="0.55000000000000004">
      <c r="A5797"/>
    </row>
    <row r="5798" spans="1:1" x14ac:dyDescent="0.55000000000000004">
      <c r="A5798"/>
    </row>
    <row r="5799" spans="1:1" x14ac:dyDescent="0.55000000000000004">
      <c r="A5799"/>
    </row>
    <row r="5800" spans="1:1" x14ac:dyDescent="0.55000000000000004">
      <c r="A5800"/>
    </row>
    <row r="5801" spans="1:1" x14ac:dyDescent="0.55000000000000004">
      <c r="A5801"/>
    </row>
    <row r="5802" spans="1:1" x14ac:dyDescent="0.55000000000000004">
      <c r="A5802"/>
    </row>
    <row r="5803" spans="1:1" x14ac:dyDescent="0.55000000000000004">
      <c r="A5803"/>
    </row>
    <row r="5804" spans="1:1" x14ac:dyDescent="0.55000000000000004">
      <c r="A5804"/>
    </row>
    <row r="5805" spans="1:1" x14ac:dyDescent="0.55000000000000004">
      <c r="A5805"/>
    </row>
    <row r="5806" spans="1:1" x14ac:dyDescent="0.55000000000000004">
      <c r="A5806"/>
    </row>
    <row r="5807" spans="1:1" x14ac:dyDescent="0.55000000000000004">
      <c r="A5807"/>
    </row>
    <row r="5808" spans="1:1" x14ac:dyDescent="0.55000000000000004">
      <c r="A5808"/>
    </row>
    <row r="5809" spans="1:1" x14ac:dyDescent="0.55000000000000004">
      <c r="A5809"/>
    </row>
    <row r="5810" spans="1:1" x14ac:dyDescent="0.55000000000000004">
      <c r="A5810"/>
    </row>
    <row r="5811" spans="1:1" x14ac:dyDescent="0.55000000000000004">
      <c r="A5811"/>
    </row>
    <row r="5812" spans="1:1" x14ac:dyDescent="0.55000000000000004">
      <c r="A5812"/>
    </row>
    <row r="5813" spans="1:1" x14ac:dyDescent="0.55000000000000004">
      <c r="A5813"/>
    </row>
    <row r="5814" spans="1:1" x14ac:dyDescent="0.55000000000000004">
      <c r="A5814"/>
    </row>
    <row r="5815" spans="1:1" x14ac:dyDescent="0.55000000000000004">
      <c r="A5815"/>
    </row>
    <row r="5816" spans="1:1" x14ac:dyDescent="0.55000000000000004">
      <c r="A5816"/>
    </row>
    <row r="5817" spans="1:1" x14ac:dyDescent="0.55000000000000004">
      <c r="A5817"/>
    </row>
    <row r="5818" spans="1:1" x14ac:dyDescent="0.55000000000000004">
      <c r="A5818"/>
    </row>
    <row r="5819" spans="1:1" x14ac:dyDescent="0.55000000000000004">
      <c r="A5819"/>
    </row>
    <row r="5820" spans="1:1" x14ac:dyDescent="0.55000000000000004">
      <c r="A5820"/>
    </row>
    <row r="5821" spans="1:1" x14ac:dyDescent="0.55000000000000004">
      <c r="A5821"/>
    </row>
    <row r="5822" spans="1:1" x14ac:dyDescent="0.55000000000000004">
      <c r="A5822"/>
    </row>
    <row r="5823" spans="1:1" x14ac:dyDescent="0.55000000000000004">
      <c r="A5823"/>
    </row>
    <row r="5824" spans="1:1" x14ac:dyDescent="0.55000000000000004">
      <c r="A5824"/>
    </row>
    <row r="5825" spans="1:1" x14ac:dyDescent="0.55000000000000004">
      <c r="A5825"/>
    </row>
    <row r="5826" spans="1:1" x14ac:dyDescent="0.55000000000000004">
      <c r="A5826"/>
    </row>
    <row r="5827" spans="1:1" x14ac:dyDescent="0.55000000000000004">
      <c r="A5827"/>
    </row>
    <row r="5828" spans="1:1" x14ac:dyDescent="0.55000000000000004">
      <c r="A5828"/>
    </row>
    <row r="5829" spans="1:1" x14ac:dyDescent="0.55000000000000004">
      <c r="A5829"/>
    </row>
    <row r="5830" spans="1:1" x14ac:dyDescent="0.55000000000000004">
      <c r="A5830"/>
    </row>
    <row r="5831" spans="1:1" x14ac:dyDescent="0.55000000000000004">
      <c r="A5831"/>
    </row>
    <row r="5832" spans="1:1" x14ac:dyDescent="0.55000000000000004">
      <c r="A5832"/>
    </row>
    <row r="5833" spans="1:1" x14ac:dyDescent="0.55000000000000004">
      <c r="A5833"/>
    </row>
    <row r="5834" spans="1:1" x14ac:dyDescent="0.55000000000000004">
      <c r="A5834"/>
    </row>
    <row r="5835" spans="1:1" x14ac:dyDescent="0.55000000000000004">
      <c r="A5835"/>
    </row>
    <row r="5836" spans="1:1" x14ac:dyDescent="0.55000000000000004">
      <c r="A5836"/>
    </row>
    <row r="5837" spans="1:1" x14ac:dyDescent="0.55000000000000004">
      <c r="A5837"/>
    </row>
    <row r="5838" spans="1:1" x14ac:dyDescent="0.55000000000000004">
      <c r="A5838"/>
    </row>
    <row r="5839" spans="1:1" x14ac:dyDescent="0.55000000000000004">
      <c r="A5839"/>
    </row>
    <row r="5840" spans="1:1" x14ac:dyDescent="0.55000000000000004">
      <c r="A5840"/>
    </row>
    <row r="5841" spans="1:1" x14ac:dyDescent="0.55000000000000004">
      <c r="A5841"/>
    </row>
    <row r="5842" spans="1:1" x14ac:dyDescent="0.55000000000000004">
      <c r="A5842"/>
    </row>
    <row r="5843" spans="1:1" x14ac:dyDescent="0.55000000000000004">
      <c r="A5843"/>
    </row>
    <row r="5844" spans="1:1" x14ac:dyDescent="0.55000000000000004">
      <c r="A5844"/>
    </row>
    <row r="5845" spans="1:1" x14ac:dyDescent="0.55000000000000004">
      <c r="A5845"/>
    </row>
    <row r="5846" spans="1:1" x14ac:dyDescent="0.55000000000000004">
      <c r="A5846"/>
    </row>
    <row r="5847" spans="1:1" x14ac:dyDescent="0.55000000000000004">
      <c r="A5847"/>
    </row>
    <row r="5848" spans="1:1" x14ac:dyDescent="0.55000000000000004">
      <c r="A5848"/>
    </row>
    <row r="5849" spans="1:1" x14ac:dyDescent="0.55000000000000004">
      <c r="A5849"/>
    </row>
    <row r="5850" spans="1:1" x14ac:dyDescent="0.55000000000000004">
      <c r="A5850"/>
    </row>
    <row r="5851" spans="1:1" x14ac:dyDescent="0.55000000000000004">
      <c r="A5851"/>
    </row>
    <row r="5852" spans="1:1" x14ac:dyDescent="0.55000000000000004">
      <c r="A5852"/>
    </row>
    <row r="5853" spans="1:1" x14ac:dyDescent="0.55000000000000004">
      <c r="A5853"/>
    </row>
    <row r="5854" spans="1:1" x14ac:dyDescent="0.55000000000000004">
      <c r="A5854"/>
    </row>
    <row r="5855" spans="1:1" x14ac:dyDescent="0.55000000000000004">
      <c r="A5855"/>
    </row>
    <row r="5856" spans="1:1" x14ac:dyDescent="0.55000000000000004">
      <c r="A5856"/>
    </row>
    <row r="5857" spans="1:1" x14ac:dyDescent="0.55000000000000004">
      <c r="A5857"/>
    </row>
    <row r="5858" spans="1:1" x14ac:dyDescent="0.55000000000000004">
      <c r="A5858"/>
    </row>
    <row r="5859" spans="1:1" x14ac:dyDescent="0.55000000000000004">
      <c r="A5859"/>
    </row>
    <row r="5860" spans="1:1" x14ac:dyDescent="0.55000000000000004">
      <c r="A5860"/>
    </row>
    <row r="5861" spans="1:1" x14ac:dyDescent="0.55000000000000004">
      <c r="A5861"/>
    </row>
    <row r="5862" spans="1:1" x14ac:dyDescent="0.55000000000000004">
      <c r="A5862"/>
    </row>
    <row r="5863" spans="1:1" x14ac:dyDescent="0.55000000000000004">
      <c r="A5863"/>
    </row>
    <row r="5864" spans="1:1" x14ac:dyDescent="0.55000000000000004">
      <c r="A5864"/>
    </row>
    <row r="5865" spans="1:1" x14ac:dyDescent="0.55000000000000004">
      <c r="A5865"/>
    </row>
    <row r="5866" spans="1:1" x14ac:dyDescent="0.55000000000000004">
      <c r="A5866"/>
    </row>
    <row r="5867" spans="1:1" x14ac:dyDescent="0.55000000000000004">
      <c r="A5867"/>
    </row>
    <row r="5868" spans="1:1" x14ac:dyDescent="0.55000000000000004">
      <c r="A5868"/>
    </row>
    <row r="5869" spans="1:1" x14ac:dyDescent="0.55000000000000004">
      <c r="A5869"/>
    </row>
    <row r="5870" spans="1:1" x14ac:dyDescent="0.55000000000000004">
      <c r="A5870"/>
    </row>
    <row r="5871" spans="1:1" x14ac:dyDescent="0.55000000000000004">
      <c r="A5871"/>
    </row>
    <row r="5872" spans="1:1" x14ac:dyDescent="0.55000000000000004">
      <c r="A5872"/>
    </row>
    <row r="5873" spans="1:1" x14ac:dyDescent="0.55000000000000004">
      <c r="A5873"/>
    </row>
    <row r="5874" spans="1:1" x14ac:dyDescent="0.55000000000000004">
      <c r="A5874"/>
    </row>
    <row r="5875" spans="1:1" x14ac:dyDescent="0.55000000000000004">
      <c r="A5875"/>
    </row>
    <row r="5876" spans="1:1" x14ac:dyDescent="0.55000000000000004">
      <c r="A5876"/>
    </row>
    <row r="5877" spans="1:1" x14ac:dyDescent="0.55000000000000004">
      <c r="A5877"/>
    </row>
    <row r="5878" spans="1:1" x14ac:dyDescent="0.55000000000000004">
      <c r="A5878"/>
    </row>
    <row r="5879" spans="1:1" x14ac:dyDescent="0.55000000000000004">
      <c r="A5879"/>
    </row>
    <row r="5880" spans="1:1" x14ac:dyDescent="0.55000000000000004">
      <c r="A5880"/>
    </row>
    <row r="5881" spans="1:1" x14ac:dyDescent="0.55000000000000004">
      <c r="A5881"/>
    </row>
    <row r="5882" spans="1:1" x14ac:dyDescent="0.55000000000000004">
      <c r="A5882"/>
    </row>
    <row r="5883" spans="1:1" x14ac:dyDescent="0.55000000000000004">
      <c r="A5883"/>
    </row>
    <row r="5884" spans="1:1" x14ac:dyDescent="0.55000000000000004">
      <c r="A5884"/>
    </row>
    <row r="5885" spans="1:1" x14ac:dyDescent="0.55000000000000004">
      <c r="A5885"/>
    </row>
    <row r="5886" spans="1:1" x14ac:dyDescent="0.55000000000000004">
      <c r="A5886"/>
    </row>
    <row r="5887" spans="1:1" x14ac:dyDescent="0.55000000000000004">
      <c r="A5887"/>
    </row>
    <row r="5888" spans="1:1" x14ac:dyDescent="0.55000000000000004">
      <c r="A5888"/>
    </row>
    <row r="5889" spans="1:1" x14ac:dyDescent="0.55000000000000004">
      <c r="A5889"/>
    </row>
    <row r="5890" spans="1:1" x14ac:dyDescent="0.55000000000000004">
      <c r="A5890"/>
    </row>
    <row r="5891" spans="1:1" x14ac:dyDescent="0.55000000000000004">
      <c r="A5891"/>
    </row>
    <row r="5892" spans="1:1" x14ac:dyDescent="0.55000000000000004">
      <c r="A5892"/>
    </row>
    <row r="5893" spans="1:1" x14ac:dyDescent="0.55000000000000004">
      <c r="A5893"/>
    </row>
    <row r="5894" spans="1:1" x14ac:dyDescent="0.55000000000000004">
      <c r="A5894"/>
    </row>
    <row r="5895" spans="1:1" x14ac:dyDescent="0.55000000000000004">
      <c r="A5895"/>
    </row>
    <row r="5896" spans="1:1" x14ac:dyDescent="0.55000000000000004">
      <c r="A5896"/>
    </row>
    <row r="5897" spans="1:1" x14ac:dyDescent="0.55000000000000004">
      <c r="A5897"/>
    </row>
    <row r="5898" spans="1:1" x14ac:dyDescent="0.55000000000000004">
      <c r="A5898"/>
    </row>
    <row r="5899" spans="1:1" x14ac:dyDescent="0.55000000000000004">
      <c r="A5899"/>
    </row>
    <row r="5900" spans="1:1" x14ac:dyDescent="0.55000000000000004">
      <c r="A5900"/>
    </row>
    <row r="5901" spans="1:1" x14ac:dyDescent="0.55000000000000004">
      <c r="A5901"/>
    </row>
    <row r="5902" spans="1:1" x14ac:dyDescent="0.55000000000000004">
      <c r="A5902"/>
    </row>
    <row r="5903" spans="1:1" x14ac:dyDescent="0.55000000000000004">
      <c r="A5903"/>
    </row>
    <row r="5904" spans="1:1" x14ac:dyDescent="0.55000000000000004">
      <c r="A5904"/>
    </row>
    <row r="5905" spans="1:1" x14ac:dyDescent="0.55000000000000004">
      <c r="A5905"/>
    </row>
    <row r="5906" spans="1:1" x14ac:dyDescent="0.55000000000000004">
      <c r="A5906"/>
    </row>
    <row r="5907" spans="1:1" x14ac:dyDescent="0.55000000000000004">
      <c r="A5907"/>
    </row>
    <row r="5908" spans="1:1" x14ac:dyDescent="0.55000000000000004">
      <c r="A5908"/>
    </row>
    <row r="5909" spans="1:1" x14ac:dyDescent="0.55000000000000004">
      <c r="A5909"/>
    </row>
    <row r="5910" spans="1:1" x14ac:dyDescent="0.55000000000000004">
      <c r="A5910"/>
    </row>
    <row r="5911" spans="1:1" x14ac:dyDescent="0.55000000000000004">
      <c r="A5911"/>
    </row>
    <row r="5912" spans="1:1" x14ac:dyDescent="0.55000000000000004">
      <c r="A5912"/>
    </row>
    <row r="5913" spans="1:1" x14ac:dyDescent="0.55000000000000004">
      <c r="A5913"/>
    </row>
    <row r="5914" spans="1:1" x14ac:dyDescent="0.55000000000000004">
      <c r="A5914"/>
    </row>
    <row r="5915" spans="1:1" x14ac:dyDescent="0.55000000000000004">
      <c r="A5915"/>
    </row>
    <row r="5916" spans="1:1" x14ac:dyDescent="0.55000000000000004">
      <c r="A5916"/>
    </row>
    <row r="5917" spans="1:1" x14ac:dyDescent="0.55000000000000004">
      <c r="A5917"/>
    </row>
    <row r="5918" spans="1:1" x14ac:dyDescent="0.55000000000000004">
      <c r="A5918"/>
    </row>
    <row r="5919" spans="1:1" x14ac:dyDescent="0.55000000000000004">
      <c r="A5919"/>
    </row>
    <row r="5920" spans="1:1" x14ac:dyDescent="0.55000000000000004">
      <c r="A5920"/>
    </row>
    <row r="5921" spans="1:1" x14ac:dyDescent="0.55000000000000004">
      <c r="A5921"/>
    </row>
    <row r="5922" spans="1:1" x14ac:dyDescent="0.55000000000000004">
      <c r="A5922"/>
    </row>
    <row r="5923" spans="1:1" x14ac:dyDescent="0.55000000000000004">
      <c r="A5923"/>
    </row>
    <row r="5924" spans="1:1" x14ac:dyDescent="0.55000000000000004">
      <c r="A5924"/>
    </row>
    <row r="5925" spans="1:1" x14ac:dyDescent="0.55000000000000004">
      <c r="A5925"/>
    </row>
    <row r="5926" spans="1:1" x14ac:dyDescent="0.55000000000000004">
      <c r="A5926"/>
    </row>
    <row r="5927" spans="1:1" x14ac:dyDescent="0.55000000000000004">
      <c r="A5927"/>
    </row>
    <row r="5928" spans="1:1" x14ac:dyDescent="0.55000000000000004">
      <c r="A5928"/>
    </row>
    <row r="5929" spans="1:1" x14ac:dyDescent="0.55000000000000004">
      <c r="A5929"/>
    </row>
    <row r="5930" spans="1:1" x14ac:dyDescent="0.55000000000000004">
      <c r="A5930"/>
    </row>
    <row r="5931" spans="1:1" x14ac:dyDescent="0.55000000000000004">
      <c r="A5931"/>
    </row>
    <row r="5932" spans="1:1" x14ac:dyDescent="0.55000000000000004">
      <c r="A5932"/>
    </row>
    <row r="5933" spans="1:1" x14ac:dyDescent="0.55000000000000004">
      <c r="A5933"/>
    </row>
    <row r="5934" spans="1:1" x14ac:dyDescent="0.55000000000000004">
      <c r="A5934"/>
    </row>
    <row r="5935" spans="1:1" x14ac:dyDescent="0.55000000000000004">
      <c r="A5935"/>
    </row>
    <row r="5936" spans="1:1" x14ac:dyDescent="0.55000000000000004">
      <c r="A5936"/>
    </row>
    <row r="5937" spans="1:1" x14ac:dyDescent="0.55000000000000004">
      <c r="A5937"/>
    </row>
    <row r="5938" spans="1:1" x14ac:dyDescent="0.55000000000000004">
      <c r="A5938"/>
    </row>
    <row r="5939" spans="1:1" x14ac:dyDescent="0.55000000000000004">
      <c r="A5939"/>
    </row>
    <row r="5940" spans="1:1" x14ac:dyDescent="0.55000000000000004">
      <c r="A5940"/>
    </row>
    <row r="5941" spans="1:1" x14ac:dyDescent="0.55000000000000004">
      <c r="A5941"/>
    </row>
    <row r="5942" spans="1:1" x14ac:dyDescent="0.55000000000000004">
      <c r="A5942"/>
    </row>
    <row r="5943" spans="1:1" x14ac:dyDescent="0.55000000000000004">
      <c r="A5943"/>
    </row>
    <row r="5944" spans="1:1" x14ac:dyDescent="0.55000000000000004">
      <c r="A5944"/>
    </row>
    <row r="5945" spans="1:1" x14ac:dyDescent="0.55000000000000004">
      <c r="A5945"/>
    </row>
    <row r="5946" spans="1:1" x14ac:dyDescent="0.55000000000000004">
      <c r="A5946"/>
    </row>
    <row r="5947" spans="1:1" x14ac:dyDescent="0.55000000000000004">
      <c r="A5947"/>
    </row>
    <row r="5948" spans="1:1" x14ac:dyDescent="0.55000000000000004">
      <c r="A5948"/>
    </row>
    <row r="5949" spans="1:1" x14ac:dyDescent="0.55000000000000004">
      <c r="A5949"/>
    </row>
    <row r="5950" spans="1:1" x14ac:dyDescent="0.55000000000000004">
      <c r="A5950"/>
    </row>
    <row r="5951" spans="1:1" x14ac:dyDescent="0.55000000000000004">
      <c r="A5951"/>
    </row>
    <row r="5952" spans="1:1" x14ac:dyDescent="0.55000000000000004">
      <c r="A5952"/>
    </row>
    <row r="5953" spans="1:1" x14ac:dyDescent="0.55000000000000004">
      <c r="A5953"/>
    </row>
    <row r="5954" spans="1:1" x14ac:dyDescent="0.55000000000000004">
      <c r="A5954"/>
    </row>
    <row r="5955" spans="1:1" x14ac:dyDescent="0.55000000000000004">
      <c r="A5955"/>
    </row>
    <row r="5956" spans="1:1" x14ac:dyDescent="0.55000000000000004">
      <c r="A5956"/>
    </row>
    <row r="5957" spans="1:1" x14ac:dyDescent="0.55000000000000004">
      <c r="A5957"/>
    </row>
    <row r="5958" spans="1:1" x14ac:dyDescent="0.55000000000000004">
      <c r="A5958"/>
    </row>
    <row r="5959" spans="1:1" x14ac:dyDescent="0.55000000000000004">
      <c r="A5959"/>
    </row>
    <row r="5960" spans="1:1" x14ac:dyDescent="0.55000000000000004">
      <c r="A5960"/>
    </row>
    <row r="5961" spans="1:1" x14ac:dyDescent="0.55000000000000004">
      <c r="A5961"/>
    </row>
    <row r="5962" spans="1:1" x14ac:dyDescent="0.55000000000000004">
      <c r="A5962"/>
    </row>
    <row r="5963" spans="1:1" x14ac:dyDescent="0.55000000000000004">
      <c r="A5963"/>
    </row>
    <row r="5964" spans="1:1" x14ac:dyDescent="0.55000000000000004">
      <c r="A5964"/>
    </row>
    <row r="5965" spans="1:1" x14ac:dyDescent="0.55000000000000004">
      <c r="A5965"/>
    </row>
    <row r="5966" spans="1:1" x14ac:dyDescent="0.55000000000000004">
      <c r="A5966"/>
    </row>
    <row r="5967" spans="1:1" x14ac:dyDescent="0.55000000000000004">
      <c r="A5967"/>
    </row>
    <row r="5968" spans="1:1" x14ac:dyDescent="0.55000000000000004">
      <c r="A5968"/>
    </row>
    <row r="5969" spans="1:1" x14ac:dyDescent="0.55000000000000004">
      <c r="A5969"/>
    </row>
    <row r="5970" spans="1:1" x14ac:dyDescent="0.55000000000000004">
      <c r="A5970"/>
    </row>
    <row r="5971" spans="1:1" x14ac:dyDescent="0.55000000000000004">
      <c r="A5971"/>
    </row>
    <row r="5972" spans="1:1" x14ac:dyDescent="0.55000000000000004">
      <c r="A5972"/>
    </row>
    <row r="5973" spans="1:1" x14ac:dyDescent="0.55000000000000004">
      <c r="A5973"/>
    </row>
    <row r="5974" spans="1:1" x14ac:dyDescent="0.55000000000000004">
      <c r="A5974"/>
    </row>
    <row r="5975" spans="1:1" x14ac:dyDescent="0.55000000000000004">
      <c r="A5975"/>
    </row>
    <row r="5976" spans="1:1" x14ac:dyDescent="0.55000000000000004">
      <c r="A5976"/>
    </row>
    <row r="5977" spans="1:1" x14ac:dyDescent="0.55000000000000004">
      <c r="A5977"/>
    </row>
    <row r="5978" spans="1:1" x14ac:dyDescent="0.55000000000000004">
      <c r="A5978"/>
    </row>
    <row r="5979" spans="1:1" x14ac:dyDescent="0.55000000000000004">
      <c r="A5979"/>
    </row>
    <row r="5980" spans="1:1" x14ac:dyDescent="0.55000000000000004">
      <c r="A5980"/>
    </row>
    <row r="5981" spans="1:1" x14ac:dyDescent="0.55000000000000004">
      <c r="A5981"/>
    </row>
    <row r="5982" spans="1:1" x14ac:dyDescent="0.55000000000000004">
      <c r="A5982"/>
    </row>
    <row r="5983" spans="1:1" x14ac:dyDescent="0.55000000000000004">
      <c r="A5983"/>
    </row>
    <row r="5984" spans="1:1" x14ac:dyDescent="0.55000000000000004">
      <c r="A5984"/>
    </row>
    <row r="5985" spans="1:1" x14ac:dyDescent="0.55000000000000004">
      <c r="A5985"/>
    </row>
    <row r="5986" spans="1:1" x14ac:dyDescent="0.55000000000000004">
      <c r="A5986"/>
    </row>
    <row r="5987" spans="1:1" x14ac:dyDescent="0.55000000000000004">
      <c r="A5987"/>
    </row>
    <row r="5988" spans="1:1" x14ac:dyDescent="0.55000000000000004">
      <c r="A5988"/>
    </row>
    <row r="5989" spans="1:1" x14ac:dyDescent="0.55000000000000004">
      <c r="A5989"/>
    </row>
    <row r="5990" spans="1:1" x14ac:dyDescent="0.55000000000000004">
      <c r="A5990"/>
    </row>
    <row r="5991" spans="1:1" x14ac:dyDescent="0.55000000000000004">
      <c r="A5991"/>
    </row>
    <row r="5992" spans="1:1" x14ac:dyDescent="0.55000000000000004">
      <c r="A5992"/>
    </row>
    <row r="5993" spans="1:1" x14ac:dyDescent="0.55000000000000004">
      <c r="A5993"/>
    </row>
    <row r="5994" spans="1:1" x14ac:dyDescent="0.55000000000000004">
      <c r="A5994"/>
    </row>
    <row r="5995" spans="1:1" x14ac:dyDescent="0.55000000000000004">
      <c r="A5995"/>
    </row>
    <row r="5996" spans="1:1" x14ac:dyDescent="0.55000000000000004">
      <c r="A5996"/>
    </row>
    <row r="5997" spans="1:1" x14ac:dyDescent="0.55000000000000004">
      <c r="A5997"/>
    </row>
    <row r="5998" spans="1:1" x14ac:dyDescent="0.55000000000000004">
      <c r="A5998"/>
    </row>
    <row r="5999" spans="1:1" x14ac:dyDescent="0.55000000000000004">
      <c r="A5999"/>
    </row>
    <row r="6000" spans="1:1" x14ac:dyDescent="0.55000000000000004">
      <c r="A6000"/>
    </row>
    <row r="6001" spans="1:1" x14ac:dyDescent="0.55000000000000004">
      <c r="A6001"/>
    </row>
    <row r="6002" spans="1:1" x14ac:dyDescent="0.55000000000000004">
      <c r="A6002"/>
    </row>
    <row r="6003" spans="1:1" x14ac:dyDescent="0.55000000000000004">
      <c r="A6003"/>
    </row>
    <row r="6004" spans="1:1" x14ac:dyDescent="0.55000000000000004">
      <c r="A6004"/>
    </row>
    <row r="6005" spans="1:1" x14ac:dyDescent="0.55000000000000004">
      <c r="A6005"/>
    </row>
    <row r="6006" spans="1:1" x14ac:dyDescent="0.55000000000000004">
      <c r="A6006"/>
    </row>
    <row r="6007" spans="1:1" x14ac:dyDescent="0.55000000000000004">
      <c r="A6007"/>
    </row>
    <row r="6008" spans="1:1" x14ac:dyDescent="0.55000000000000004">
      <c r="A6008"/>
    </row>
    <row r="6009" spans="1:1" x14ac:dyDescent="0.55000000000000004">
      <c r="A6009"/>
    </row>
    <row r="6010" spans="1:1" x14ac:dyDescent="0.55000000000000004">
      <c r="A6010"/>
    </row>
    <row r="6011" spans="1:1" x14ac:dyDescent="0.55000000000000004">
      <c r="A6011"/>
    </row>
    <row r="6012" spans="1:1" x14ac:dyDescent="0.55000000000000004">
      <c r="A6012"/>
    </row>
    <row r="6013" spans="1:1" x14ac:dyDescent="0.55000000000000004">
      <c r="A6013"/>
    </row>
    <row r="6014" spans="1:1" x14ac:dyDescent="0.55000000000000004">
      <c r="A6014"/>
    </row>
    <row r="6015" spans="1:1" x14ac:dyDescent="0.55000000000000004">
      <c r="A6015"/>
    </row>
    <row r="6016" spans="1:1" x14ac:dyDescent="0.55000000000000004">
      <c r="A6016"/>
    </row>
    <row r="6017" spans="1:1" x14ac:dyDescent="0.55000000000000004">
      <c r="A6017"/>
    </row>
    <row r="6018" spans="1:1" x14ac:dyDescent="0.55000000000000004">
      <c r="A6018"/>
    </row>
    <row r="6019" spans="1:1" x14ac:dyDescent="0.55000000000000004">
      <c r="A6019"/>
    </row>
    <row r="6020" spans="1:1" x14ac:dyDescent="0.55000000000000004">
      <c r="A6020"/>
    </row>
    <row r="6021" spans="1:1" x14ac:dyDescent="0.55000000000000004">
      <c r="A6021"/>
    </row>
    <row r="6022" spans="1:1" x14ac:dyDescent="0.55000000000000004">
      <c r="A6022"/>
    </row>
    <row r="6023" spans="1:1" x14ac:dyDescent="0.55000000000000004">
      <c r="A6023"/>
    </row>
    <row r="6024" spans="1:1" x14ac:dyDescent="0.55000000000000004">
      <c r="A6024"/>
    </row>
    <row r="6025" spans="1:1" x14ac:dyDescent="0.55000000000000004">
      <c r="A6025"/>
    </row>
    <row r="6026" spans="1:1" x14ac:dyDescent="0.55000000000000004">
      <c r="A6026"/>
    </row>
    <row r="6027" spans="1:1" x14ac:dyDescent="0.55000000000000004">
      <c r="A6027"/>
    </row>
    <row r="6028" spans="1:1" x14ac:dyDescent="0.55000000000000004">
      <c r="A6028"/>
    </row>
    <row r="6029" spans="1:1" x14ac:dyDescent="0.55000000000000004">
      <c r="A6029"/>
    </row>
    <row r="6030" spans="1:1" x14ac:dyDescent="0.55000000000000004">
      <c r="A6030"/>
    </row>
    <row r="6031" spans="1:1" x14ac:dyDescent="0.55000000000000004">
      <c r="A6031"/>
    </row>
    <row r="6032" spans="1:1" x14ac:dyDescent="0.55000000000000004">
      <c r="A6032"/>
    </row>
    <row r="6033" spans="1:1" x14ac:dyDescent="0.55000000000000004">
      <c r="A6033"/>
    </row>
    <row r="6034" spans="1:1" x14ac:dyDescent="0.55000000000000004">
      <c r="A6034"/>
    </row>
    <row r="6035" spans="1:1" x14ac:dyDescent="0.55000000000000004">
      <c r="A6035"/>
    </row>
    <row r="6036" spans="1:1" x14ac:dyDescent="0.55000000000000004">
      <c r="A6036"/>
    </row>
    <row r="6037" spans="1:1" x14ac:dyDescent="0.55000000000000004">
      <c r="A6037"/>
    </row>
    <row r="6038" spans="1:1" x14ac:dyDescent="0.55000000000000004">
      <c r="A6038"/>
    </row>
    <row r="6039" spans="1:1" x14ac:dyDescent="0.55000000000000004">
      <c r="A6039"/>
    </row>
    <row r="6040" spans="1:1" x14ac:dyDescent="0.55000000000000004">
      <c r="A6040"/>
    </row>
    <row r="6041" spans="1:1" x14ac:dyDescent="0.55000000000000004">
      <c r="A6041"/>
    </row>
    <row r="6042" spans="1:1" x14ac:dyDescent="0.55000000000000004">
      <c r="A6042"/>
    </row>
    <row r="6043" spans="1:1" x14ac:dyDescent="0.55000000000000004">
      <c r="A6043"/>
    </row>
    <row r="6044" spans="1:1" x14ac:dyDescent="0.55000000000000004">
      <c r="A6044"/>
    </row>
    <row r="6045" spans="1:1" x14ac:dyDescent="0.55000000000000004">
      <c r="A6045"/>
    </row>
    <row r="6046" spans="1:1" x14ac:dyDescent="0.55000000000000004">
      <c r="A6046"/>
    </row>
    <row r="6047" spans="1:1" x14ac:dyDescent="0.55000000000000004">
      <c r="A6047"/>
    </row>
    <row r="6048" spans="1:1" x14ac:dyDescent="0.55000000000000004">
      <c r="A6048"/>
    </row>
    <row r="6049" spans="1:1" x14ac:dyDescent="0.55000000000000004">
      <c r="A6049"/>
    </row>
    <row r="6050" spans="1:1" x14ac:dyDescent="0.55000000000000004">
      <c r="A6050"/>
    </row>
    <row r="6051" spans="1:1" x14ac:dyDescent="0.55000000000000004">
      <c r="A6051"/>
    </row>
    <row r="6052" spans="1:1" x14ac:dyDescent="0.55000000000000004">
      <c r="A6052"/>
    </row>
    <row r="6053" spans="1:1" x14ac:dyDescent="0.55000000000000004">
      <c r="A6053"/>
    </row>
    <row r="6054" spans="1:1" x14ac:dyDescent="0.55000000000000004">
      <c r="A6054"/>
    </row>
    <row r="6055" spans="1:1" x14ac:dyDescent="0.55000000000000004">
      <c r="A6055"/>
    </row>
    <row r="6056" spans="1:1" x14ac:dyDescent="0.55000000000000004">
      <c r="A6056"/>
    </row>
    <row r="6057" spans="1:1" x14ac:dyDescent="0.55000000000000004">
      <c r="A6057"/>
    </row>
    <row r="6058" spans="1:1" x14ac:dyDescent="0.55000000000000004">
      <c r="A6058"/>
    </row>
    <row r="6059" spans="1:1" x14ac:dyDescent="0.55000000000000004">
      <c r="A6059"/>
    </row>
    <row r="6060" spans="1:1" x14ac:dyDescent="0.55000000000000004">
      <c r="A6060"/>
    </row>
    <row r="6061" spans="1:1" x14ac:dyDescent="0.55000000000000004">
      <c r="A6061"/>
    </row>
    <row r="6062" spans="1:1" x14ac:dyDescent="0.55000000000000004">
      <c r="A6062"/>
    </row>
    <row r="6063" spans="1:1" x14ac:dyDescent="0.55000000000000004">
      <c r="A6063"/>
    </row>
    <row r="6064" spans="1:1" x14ac:dyDescent="0.55000000000000004">
      <c r="A6064"/>
    </row>
    <row r="6065" spans="1:1" x14ac:dyDescent="0.55000000000000004">
      <c r="A6065"/>
    </row>
    <row r="6066" spans="1:1" x14ac:dyDescent="0.55000000000000004">
      <c r="A6066"/>
    </row>
    <row r="6067" spans="1:1" x14ac:dyDescent="0.55000000000000004">
      <c r="A6067"/>
    </row>
    <row r="6068" spans="1:1" x14ac:dyDescent="0.55000000000000004">
      <c r="A6068"/>
    </row>
    <row r="6069" spans="1:1" x14ac:dyDescent="0.55000000000000004">
      <c r="A6069"/>
    </row>
    <row r="6070" spans="1:1" x14ac:dyDescent="0.55000000000000004">
      <c r="A6070"/>
    </row>
    <row r="6071" spans="1:1" x14ac:dyDescent="0.55000000000000004">
      <c r="A6071"/>
    </row>
    <row r="6072" spans="1:1" x14ac:dyDescent="0.55000000000000004">
      <c r="A6072"/>
    </row>
    <row r="6073" spans="1:1" x14ac:dyDescent="0.55000000000000004">
      <c r="A6073"/>
    </row>
    <row r="6074" spans="1:1" x14ac:dyDescent="0.55000000000000004">
      <c r="A6074"/>
    </row>
    <row r="6075" spans="1:1" x14ac:dyDescent="0.55000000000000004">
      <c r="A6075"/>
    </row>
    <row r="6076" spans="1:1" x14ac:dyDescent="0.55000000000000004">
      <c r="A6076"/>
    </row>
    <row r="6077" spans="1:1" x14ac:dyDescent="0.55000000000000004">
      <c r="A6077"/>
    </row>
    <row r="6078" spans="1:1" x14ac:dyDescent="0.55000000000000004">
      <c r="A6078"/>
    </row>
    <row r="6079" spans="1:1" x14ac:dyDescent="0.55000000000000004">
      <c r="A6079"/>
    </row>
    <row r="6080" spans="1:1" x14ac:dyDescent="0.55000000000000004">
      <c r="A6080"/>
    </row>
    <row r="6081" spans="1:1" x14ac:dyDescent="0.55000000000000004">
      <c r="A6081"/>
    </row>
    <row r="6082" spans="1:1" x14ac:dyDescent="0.55000000000000004">
      <c r="A6082"/>
    </row>
    <row r="6083" spans="1:1" x14ac:dyDescent="0.55000000000000004">
      <c r="A6083"/>
    </row>
    <row r="6084" spans="1:1" x14ac:dyDescent="0.55000000000000004">
      <c r="A6084"/>
    </row>
    <row r="6085" spans="1:1" x14ac:dyDescent="0.55000000000000004">
      <c r="A6085"/>
    </row>
    <row r="6086" spans="1:1" x14ac:dyDescent="0.55000000000000004">
      <c r="A6086"/>
    </row>
    <row r="6087" spans="1:1" x14ac:dyDescent="0.55000000000000004">
      <c r="A6087"/>
    </row>
    <row r="6088" spans="1:1" x14ac:dyDescent="0.55000000000000004">
      <c r="A6088"/>
    </row>
    <row r="6089" spans="1:1" x14ac:dyDescent="0.55000000000000004">
      <c r="A6089"/>
    </row>
    <row r="6090" spans="1:1" x14ac:dyDescent="0.55000000000000004">
      <c r="A6090"/>
    </row>
    <row r="6091" spans="1:1" x14ac:dyDescent="0.55000000000000004">
      <c r="A6091"/>
    </row>
    <row r="6092" spans="1:1" x14ac:dyDescent="0.55000000000000004">
      <c r="A6092"/>
    </row>
    <row r="6093" spans="1:1" x14ac:dyDescent="0.55000000000000004">
      <c r="A6093"/>
    </row>
    <row r="6094" spans="1:1" x14ac:dyDescent="0.55000000000000004">
      <c r="A6094"/>
    </row>
    <row r="6095" spans="1:1" x14ac:dyDescent="0.55000000000000004">
      <c r="A6095"/>
    </row>
    <row r="6096" spans="1:1" x14ac:dyDescent="0.55000000000000004">
      <c r="A6096"/>
    </row>
    <row r="6097" spans="1:1" x14ac:dyDescent="0.55000000000000004">
      <c r="A6097"/>
    </row>
    <row r="6098" spans="1:1" x14ac:dyDescent="0.55000000000000004">
      <c r="A6098"/>
    </row>
    <row r="6099" spans="1:1" x14ac:dyDescent="0.55000000000000004">
      <c r="A6099"/>
    </row>
    <row r="6100" spans="1:1" x14ac:dyDescent="0.55000000000000004">
      <c r="A6100"/>
    </row>
    <row r="6101" spans="1:1" x14ac:dyDescent="0.55000000000000004">
      <c r="A6101"/>
    </row>
    <row r="6102" spans="1:1" x14ac:dyDescent="0.55000000000000004">
      <c r="A6102"/>
    </row>
    <row r="6103" spans="1:1" x14ac:dyDescent="0.55000000000000004">
      <c r="A6103"/>
    </row>
    <row r="6104" spans="1:1" x14ac:dyDescent="0.55000000000000004">
      <c r="A6104"/>
    </row>
    <row r="6105" spans="1:1" x14ac:dyDescent="0.55000000000000004">
      <c r="A6105"/>
    </row>
    <row r="6106" spans="1:1" x14ac:dyDescent="0.55000000000000004">
      <c r="A6106"/>
    </row>
    <row r="6107" spans="1:1" x14ac:dyDescent="0.55000000000000004">
      <c r="A6107"/>
    </row>
    <row r="6108" spans="1:1" x14ac:dyDescent="0.55000000000000004">
      <c r="A6108"/>
    </row>
    <row r="6109" spans="1:1" x14ac:dyDescent="0.55000000000000004">
      <c r="A6109"/>
    </row>
    <row r="6110" spans="1:1" x14ac:dyDescent="0.55000000000000004">
      <c r="A6110"/>
    </row>
    <row r="6111" spans="1:1" x14ac:dyDescent="0.55000000000000004">
      <c r="A6111"/>
    </row>
    <row r="6112" spans="1:1" x14ac:dyDescent="0.55000000000000004">
      <c r="A6112"/>
    </row>
    <row r="6113" spans="1:1" x14ac:dyDescent="0.55000000000000004">
      <c r="A6113"/>
    </row>
    <row r="6114" spans="1:1" x14ac:dyDescent="0.55000000000000004">
      <c r="A6114"/>
    </row>
    <row r="6115" spans="1:1" x14ac:dyDescent="0.55000000000000004">
      <c r="A6115"/>
    </row>
    <row r="6116" spans="1:1" x14ac:dyDescent="0.55000000000000004">
      <c r="A6116"/>
    </row>
    <row r="6117" spans="1:1" x14ac:dyDescent="0.55000000000000004">
      <c r="A6117"/>
    </row>
    <row r="6118" spans="1:1" x14ac:dyDescent="0.55000000000000004">
      <c r="A6118"/>
    </row>
    <row r="6119" spans="1:1" x14ac:dyDescent="0.55000000000000004">
      <c r="A6119"/>
    </row>
    <row r="6120" spans="1:1" x14ac:dyDescent="0.55000000000000004">
      <c r="A6120"/>
    </row>
    <row r="6121" spans="1:1" x14ac:dyDescent="0.55000000000000004">
      <c r="A6121"/>
    </row>
    <row r="6122" spans="1:1" x14ac:dyDescent="0.55000000000000004">
      <c r="A6122"/>
    </row>
    <row r="6123" spans="1:1" x14ac:dyDescent="0.55000000000000004">
      <c r="A6123"/>
    </row>
    <row r="6124" spans="1:1" x14ac:dyDescent="0.55000000000000004">
      <c r="A6124"/>
    </row>
    <row r="6125" spans="1:1" x14ac:dyDescent="0.55000000000000004">
      <c r="A6125"/>
    </row>
    <row r="6126" spans="1:1" x14ac:dyDescent="0.55000000000000004">
      <c r="A6126"/>
    </row>
    <row r="6127" spans="1:1" x14ac:dyDescent="0.55000000000000004">
      <c r="A6127"/>
    </row>
    <row r="6128" spans="1:1" x14ac:dyDescent="0.55000000000000004">
      <c r="A6128"/>
    </row>
    <row r="6129" spans="1:1" x14ac:dyDescent="0.55000000000000004">
      <c r="A6129"/>
    </row>
    <row r="6130" spans="1:1" x14ac:dyDescent="0.55000000000000004">
      <c r="A6130"/>
    </row>
    <row r="6131" spans="1:1" x14ac:dyDescent="0.55000000000000004">
      <c r="A6131"/>
    </row>
    <row r="6132" spans="1:1" x14ac:dyDescent="0.55000000000000004">
      <c r="A6132"/>
    </row>
    <row r="6133" spans="1:1" x14ac:dyDescent="0.55000000000000004">
      <c r="A6133"/>
    </row>
    <row r="6134" spans="1:1" x14ac:dyDescent="0.55000000000000004">
      <c r="A6134"/>
    </row>
    <row r="6135" spans="1:1" x14ac:dyDescent="0.55000000000000004">
      <c r="A6135"/>
    </row>
    <row r="6136" spans="1:1" x14ac:dyDescent="0.55000000000000004">
      <c r="A6136"/>
    </row>
    <row r="6137" spans="1:1" x14ac:dyDescent="0.55000000000000004">
      <c r="A6137"/>
    </row>
    <row r="6138" spans="1:1" x14ac:dyDescent="0.55000000000000004">
      <c r="A6138"/>
    </row>
    <row r="6139" spans="1:1" x14ac:dyDescent="0.55000000000000004">
      <c r="A6139"/>
    </row>
    <row r="6140" spans="1:1" x14ac:dyDescent="0.55000000000000004">
      <c r="A6140"/>
    </row>
    <row r="6141" spans="1:1" x14ac:dyDescent="0.55000000000000004">
      <c r="A6141"/>
    </row>
    <row r="6142" spans="1:1" x14ac:dyDescent="0.55000000000000004">
      <c r="A6142"/>
    </row>
    <row r="6143" spans="1:1" x14ac:dyDescent="0.55000000000000004">
      <c r="A6143"/>
    </row>
    <row r="6144" spans="1:1" x14ac:dyDescent="0.55000000000000004">
      <c r="A6144"/>
    </row>
    <row r="6145" spans="1:1" x14ac:dyDescent="0.55000000000000004">
      <c r="A6145"/>
    </row>
    <row r="6146" spans="1:1" x14ac:dyDescent="0.55000000000000004">
      <c r="A6146"/>
    </row>
    <row r="6147" spans="1:1" x14ac:dyDescent="0.55000000000000004">
      <c r="A6147"/>
    </row>
    <row r="6148" spans="1:1" x14ac:dyDescent="0.55000000000000004">
      <c r="A6148"/>
    </row>
    <row r="6149" spans="1:1" x14ac:dyDescent="0.55000000000000004">
      <c r="A6149"/>
    </row>
    <row r="6150" spans="1:1" x14ac:dyDescent="0.55000000000000004">
      <c r="A6150"/>
    </row>
    <row r="6151" spans="1:1" x14ac:dyDescent="0.55000000000000004">
      <c r="A6151"/>
    </row>
    <row r="6152" spans="1:1" x14ac:dyDescent="0.55000000000000004">
      <c r="A6152"/>
    </row>
    <row r="6153" spans="1:1" x14ac:dyDescent="0.55000000000000004">
      <c r="A6153"/>
    </row>
    <row r="6154" spans="1:1" x14ac:dyDescent="0.55000000000000004">
      <c r="A6154"/>
    </row>
    <row r="6155" spans="1:1" x14ac:dyDescent="0.55000000000000004">
      <c r="A6155"/>
    </row>
    <row r="6156" spans="1:1" x14ac:dyDescent="0.55000000000000004">
      <c r="A6156"/>
    </row>
    <row r="6157" spans="1:1" x14ac:dyDescent="0.55000000000000004">
      <c r="A6157"/>
    </row>
    <row r="6158" spans="1:1" x14ac:dyDescent="0.55000000000000004">
      <c r="A6158"/>
    </row>
    <row r="6159" spans="1:1" x14ac:dyDescent="0.55000000000000004">
      <c r="A6159"/>
    </row>
    <row r="6160" spans="1:1" x14ac:dyDescent="0.55000000000000004">
      <c r="A6160"/>
    </row>
    <row r="6161" spans="1:1" x14ac:dyDescent="0.55000000000000004">
      <c r="A6161"/>
    </row>
    <row r="6162" spans="1:1" x14ac:dyDescent="0.55000000000000004">
      <c r="A6162"/>
    </row>
    <row r="6163" spans="1:1" x14ac:dyDescent="0.55000000000000004">
      <c r="A6163"/>
    </row>
    <row r="6164" spans="1:1" x14ac:dyDescent="0.55000000000000004">
      <c r="A6164"/>
    </row>
    <row r="6165" spans="1:1" x14ac:dyDescent="0.55000000000000004">
      <c r="A6165"/>
    </row>
    <row r="6166" spans="1:1" x14ac:dyDescent="0.55000000000000004">
      <c r="A6166"/>
    </row>
    <row r="6167" spans="1:1" x14ac:dyDescent="0.55000000000000004">
      <c r="A6167"/>
    </row>
    <row r="6168" spans="1:1" x14ac:dyDescent="0.55000000000000004">
      <c r="A6168"/>
    </row>
    <row r="6169" spans="1:1" x14ac:dyDescent="0.55000000000000004">
      <c r="A6169"/>
    </row>
    <row r="6170" spans="1:1" x14ac:dyDescent="0.55000000000000004">
      <c r="A6170"/>
    </row>
    <row r="6171" spans="1:1" x14ac:dyDescent="0.55000000000000004">
      <c r="A6171"/>
    </row>
    <row r="6172" spans="1:1" x14ac:dyDescent="0.55000000000000004">
      <c r="A6172"/>
    </row>
    <row r="6173" spans="1:1" x14ac:dyDescent="0.55000000000000004">
      <c r="A6173"/>
    </row>
    <row r="6174" spans="1:1" x14ac:dyDescent="0.55000000000000004">
      <c r="A6174"/>
    </row>
    <row r="6175" spans="1:1" x14ac:dyDescent="0.55000000000000004">
      <c r="A6175"/>
    </row>
    <row r="6176" spans="1:1" x14ac:dyDescent="0.55000000000000004">
      <c r="A6176"/>
    </row>
    <row r="6177" spans="1:1" x14ac:dyDescent="0.55000000000000004">
      <c r="A6177"/>
    </row>
    <row r="6178" spans="1:1" x14ac:dyDescent="0.55000000000000004">
      <c r="A6178"/>
    </row>
    <row r="6179" spans="1:1" x14ac:dyDescent="0.55000000000000004">
      <c r="A6179"/>
    </row>
    <row r="6180" spans="1:1" x14ac:dyDescent="0.55000000000000004">
      <c r="A6180"/>
    </row>
    <row r="6181" spans="1:1" x14ac:dyDescent="0.55000000000000004">
      <c r="A6181"/>
    </row>
    <row r="6182" spans="1:1" x14ac:dyDescent="0.55000000000000004">
      <c r="A6182"/>
    </row>
    <row r="6183" spans="1:1" x14ac:dyDescent="0.55000000000000004">
      <c r="A6183"/>
    </row>
    <row r="6184" spans="1:1" x14ac:dyDescent="0.55000000000000004">
      <c r="A6184"/>
    </row>
    <row r="6185" spans="1:1" x14ac:dyDescent="0.55000000000000004">
      <c r="A6185"/>
    </row>
    <row r="6186" spans="1:1" x14ac:dyDescent="0.55000000000000004">
      <c r="A6186"/>
    </row>
    <row r="6187" spans="1:1" x14ac:dyDescent="0.55000000000000004">
      <c r="A6187"/>
    </row>
    <row r="6188" spans="1:1" x14ac:dyDescent="0.55000000000000004">
      <c r="A6188"/>
    </row>
    <row r="6189" spans="1:1" x14ac:dyDescent="0.55000000000000004">
      <c r="A6189"/>
    </row>
    <row r="6190" spans="1:1" x14ac:dyDescent="0.55000000000000004">
      <c r="A6190"/>
    </row>
    <row r="6191" spans="1:1" x14ac:dyDescent="0.55000000000000004">
      <c r="A6191"/>
    </row>
    <row r="6192" spans="1:1" x14ac:dyDescent="0.55000000000000004">
      <c r="A6192"/>
    </row>
    <row r="6193" spans="1:1" x14ac:dyDescent="0.55000000000000004">
      <c r="A6193"/>
    </row>
    <row r="6194" spans="1:1" x14ac:dyDescent="0.55000000000000004">
      <c r="A6194"/>
    </row>
    <row r="6195" spans="1:1" x14ac:dyDescent="0.55000000000000004">
      <c r="A6195"/>
    </row>
    <row r="6196" spans="1:1" x14ac:dyDescent="0.55000000000000004">
      <c r="A6196"/>
    </row>
    <row r="6197" spans="1:1" x14ac:dyDescent="0.55000000000000004">
      <c r="A6197"/>
    </row>
    <row r="6198" spans="1:1" x14ac:dyDescent="0.55000000000000004">
      <c r="A6198"/>
    </row>
    <row r="6199" spans="1:1" x14ac:dyDescent="0.55000000000000004">
      <c r="A6199"/>
    </row>
    <row r="6200" spans="1:1" x14ac:dyDescent="0.55000000000000004">
      <c r="A6200"/>
    </row>
    <row r="6201" spans="1:1" x14ac:dyDescent="0.55000000000000004">
      <c r="A6201"/>
    </row>
    <row r="6202" spans="1:1" x14ac:dyDescent="0.55000000000000004">
      <c r="A6202"/>
    </row>
    <row r="6203" spans="1:1" x14ac:dyDescent="0.55000000000000004">
      <c r="A6203"/>
    </row>
    <row r="6204" spans="1:1" x14ac:dyDescent="0.55000000000000004">
      <c r="A6204"/>
    </row>
    <row r="6205" spans="1:1" x14ac:dyDescent="0.55000000000000004">
      <c r="A6205"/>
    </row>
    <row r="6206" spans="1:1" x14ac:dyDescent="0.55000000000000004">
      <c r="A6206"/>
    </row>
    <row r="6207" spans="1:1" x14ac:dyDescent="0.55000000000000004">
      <c r="A6207"/>
    </row>
    <row r="6208" spans="1:1" x14ac:dyDescent="0.55000000000000004">
      <c r="A6208"/>
    </row>
    <row r="6209" spans="1:1" x14ac:dyDescent="0.55000000000000004">
      <c r="A6209"/>
    </row>
    <row r="6210" spans="1:1" x14ac:dyDescent="0.55000000000000004">
      <c r="A6210"/>
    </row>
    <row r="6211" spans="1:1" x14ac:dyDescent="0.55000000000000004">
      <c r="A6211"/>
    </row>
    <row r="6212" spans="1:1" x14ac:dyDescent="0.55000000000000004">
      <c r="A6212"/>
    </row>
    <row r="6213" spans="1:1" x14ac:dyDescent="0.55000000000000004">
      <c r="A6213"/>
    </row>
    <row r="6214" spans="1:1" x14ac:dyDescent="0.55000000000000004">
      <c r="A6214"/>
    </row>
    <row r="6215" spans="1:1" x14ac:dyDescent="0.55000000000000004">
      <c r="A6215"/>
    </row>
    <row r="6216" spans="1:1" x14ac:dyDescent="0.55000000000000004">
      <c r="A6216"/>
    </row>
    <row r="6217" spans="1:1" x14ac:dyDescent="0.55000000000000004">
      <c r="A6217"/>
    </row>
    <row r="6218" spans="1:1" x14ac:dyDescent="0.55000000000000004">
      <c r="A6218"/>
    </row>
    <row r="6219" spans="1:1" x14ac:dyDescent="0.55000000000000004">
      <c r="A6219"/>
    </row>
    <row r="6220" spans="1:1" x14ac:dyDescent="0.55000000000000004">
      <c r="A6220"/>
    </row>
    <row r="6221" spans="1:1" x14ac:dyDescent="0.55000000000000004">
      <c r="A6221"/>
    </row>
    <row r="6222" spans="1:1" x14ac:dyDescent="0.55000000000000004">
      <c r="A6222"/>
    </row>
    <row r="6223" spans="1:1" x14ac:dyDescent="0.55000000000000004">
      <c r="A6223"/>
    </row>
    <row r="6224" spans="1:1" x14ac:dyDescent="0.55000000000000004">
      <c r="A6224"/>
    </row>
    <row r="6225" spans="1:1" x14ac:dyDescent="0.55000000000000004">
      <c r="A6225"/>
    </row>
    <row r="6226" spans="1:1" x14ac:dyDescent="0.55000000000000004">
      <c r="A6226"/>
    </row>
    <row r="6227" spans="1:1" x14ac:dyDescent="0.55000000000000004">
      <c r="A6227"/>
    </row>
    <row r="6228" spans="1:1" x14ac:dyDescent="0.55000000000000004">
      <c r="A6228"/>
    </row>
    <row r="6229" spans="1:1" x14ac:dyDescent="0.55000000000000004">
      <c r="A6229"/>
    </row>
    <row r="6230" spans="1:1" x14ac:dyDescent="0.55000000000000004">
      <c r="A6230"/>
    </row>
    <row r="6231" spans="1:1" x14ac:dyDescent="0.55000000000000004">
      <c r="A6231"/>
    </row>
    <row r="6232" spans="1:1" x14ac:dyDescent="0.55000000000000004">
      <c r="A6232"/>
    </row>
    <row r="6233" spans="1:1" x14ac:dyDescent="0.55000000000000004">
      <c r="A6233"/>
    </row>
    <row r="6234" spans="1:1" x14ac:dyDescent="0.55000000000000004">
      <c r="A6234"/>
    </row>
    <row r="6235" spans="1:1" x14ac:dyDescent="0.55000000000000004">
      <c r="A6235"/>
    </row>
    <row r="6236" spans="1:1" x14ac:dyDescent="0.55000000000000004">
      <c r="A6236"/>
    </row>
    <row r="6237" spans="1:1" x14ac:dyDescent="0.55000000000000004">
      <c r="A6237"/>
    </row>
    <row r="6238" spans="1:1" x14ac:dyDescent="0.55000000000000004">
      <c r="A6238"/>
    </row>
    <row r="6239" spans="1:1" x14ac:dyDescent="0.55000000000000004">
      <c r="A6239"/>
    </row>
    <row r="6240" spans="1:1" x14ac:dyDescent="0.55000000000000004">
      <c r="A6240"/>
    </row>
    <row r="6241" spans="1:1" x14ac:dyDescent="0.55000000000000004">
      <c r="A6241"/>
    </row>
    <row r="6242" spans="1:1" x14ac:dyDescent="0.55000000000000004">
      <c r="A6242"/>
    </row>
    <row r="6243" spans="1:1" x14ac:dyDescent="0.55000000000000004">
      <c r="A6243"/>
    </row>
    <row r="6244" spans="1:1" x14ac:dyDescent="0.55000000000000004">
      <c r="A6244"/>
    </row>
    <row r="6245" spans="1:1" x14ac:dyDescent="0.55000000000000004">
      <c r="A6245"/>
    </row>
    <row r="6246" spans="1:1" x14ac:dyDescent="0.55000000000000004">
      <c r="A6246"/>
    </row>
    <row r="6247" spans="1:1" x14ac:dyDescent="0.55000000000000004">
      <c r="A6247"/>
    </row>
    <row r="6248" spans="1:1" x14ac:dyDescent="0.55000000000000004">
      <c r="A6248"/>
    </row>
    <row r="6249" spans="1:1" x14ac:dyDescent="0.55000000000000004">
      <c r="A6249"/>
    </row>
    <row r="6250" spans="1:1" x14ac:dyDescent="0.55000000000000004">
      <c r="A6250"/>
    </row>
    <row r="6251" spans="1:1" x14ac:dyDescent="0.55000000000000004">
      <c r="A6251"/>
    </row>
    <row r="6252" spans="1:1" x14ac:dyDescent="0.55000000000000004">
      <c r="A6252"/>
    </row>
    <row r="6253" spans="1:1" x14ac:dyDescent="0.55000000000000004">
      <c r="A6253"/>
    </row>
    <row r="6254" spans="1:1" x14ac:dyDescent="0.55000000000000004">
      <c r="A6254"/>
    </row>
    <row r="6255" spans="1:1" x14ac:dyDescent="0.55000000000000004">
      <c r="A6255"/>
    </row>
    <row r="6256" spans="1:1" x14ac:dyDescent="0.55000000000000004">
      <c r="A6256"/>
    </row>
    <row r="6257" spans="1:1" x14ac:dyDescent="0.55000000000000004">
      <c r="A6257"/>
    </row>
    <row r="6258" spans="1:1" x14ac:dyDescent="0.55000000000000004">
      <c r="A6258"/>
    </row>
    <row r="6259" spans="1:1" x14ac:dyDescent="0.55000000000000004">
      <c r="A6259"/>
    </row>
    <row r="6260" spans="1:1" x14ac:dyDescent="0.55000000000000004">
      <c r="A6260"/>
    </row>
    <row r="6261" spans="1:1" x14ac:dyDescent="0.55000000000000004">
      <c r="A6261"/>
    </row>
    <row r="6262" spans="1:1" x14ac:dyDescent="0.55000000000000004">
      <c r="A6262"/>
    </row>
    <row r="6263" spans="1:1" x14ac:dyDescent="0.55000000000000004">
      <c r="A6263"/>
    </row>
    <row r="6264" spans="1:1" x14ac:dyDescent="0.55000000000000004">
      <c r="A6264"/>
    </row>
    <row r="6265" spans="1:1" x14ac:dyDescent="0.55000000000000004">
      <c r="A6265"/>
    </row>
    <row r="6266" spans="1:1" x14ac:dyDescent="0.55000000000000004">
      <c r="A6266"/>
    </row>
    <row r="6267" spans="1:1" x14ac:dyDescent="0.55000000000000004">
      <c r="A6267"/>
    </row>
    <row r="6268" spans="1:1" x14ac:dyDescent="0.55000000000000004">
      <c r="A6268"/>
    </row>
    <row r="6269" spans="1:1" x14ac:dyDescent="0.55000000000000004">
      <c r="A6269"/>
    </row>
    <row r="6270" spans="1:1" x14ac:dyDescent="0.55000000000000004">
      <c r="A6270"/>
    </row>
    <row r="6271" spans="1:1" x14ac:dyDescent="0.55000000000000004">
      <c r="A6271"/>
    </row>
    <row r="6272" spans="1:1" x14ac:dyDescent="0.55000000000000004">
      <c r="A6272"/>
    </row>
    <row r="6273" spans="1:1" x14ac:dyDescent="0.55000000000000004">
      <c r="A6273"/>
    </row>
    <row r="6274" spans="1:1" x14ac:dyDescent="0.55000000000000004">
      <c r="A6274"/>
    </row>
    <row r="6275" spans="1:1" x14ac:dyDescent="0.55000000000000004">
      <c r="A6275"/>
    </row>
    <row r="6276" spans="1:1" x14ac:dyDescent="0.55000000000000004">
      <c r="A6276"/>
    </row>
    <row r="6277" spans="1:1" x14ac:dyDescent="0.55000000000000004">
      <c r="A6277"/>
    </row>
    <row r="6278" spans="1:1" x14ac:dyDescent="0.55000000000000004">
      <c r="A6278"/>
    </row>
    <row r="6279" spans="1:1" x14ac:dyDescent="0.55000000000000004">
      <c r="A6279"/>
    </row>
    <row r="6280" spans="1:1" x14ac:dyDescent="0.55000000000000004">
      <c r="A6280"/>
    </row>
    <row r="6281" spans="1:1" x14ac:dyDescent="0.55000000000000004">
      <c r="A6281"/>
    </row>
    <row r="6282" spans="1:1" x14ac:dyDescent="0.55000000000000004">
      <c r="A6282"/>
    </row>
    <row r="6283" spans="1:1" x14ac:dyDescent="0.55000000000000004">
      <c r="A6283"/>
    </row>
    <row r="6284" spans="1:1" x14ac:dyDescent="0.55000000000000004">
      <c r="A6284"/>
    </row>
    <row r="6285" spans="1:1" x14ac:dyDescent="0.55000000000000004">
      <c r="A6285"/>
    </row>
    <row r="6286" spans="1:1" x14ac:dyDescent="0.55000000000000004">
      <c r="A6286"/>
    </row>
    <row r="6287" spans="1:1" x14ac:dyDescent="0.55000000000000004">
      <c r="A6287"/>
    </row>
    <row r="6288" spans="1:1" x14ac:dyDescent="0.55000000000000004">
      <c r="A6288"/>
    </row>
    <row r="6289" spans="1:1" x14ac:dyDescent="0.55000000000000004">
      <c r="A6289"/>
    </row>
    <row r="6290" spans="1:1" x14ac:dyDescent="0.55000000000000004">
      <c r="A6290"/>
    </row>
    <row r="6291" spans="1:1" x14ac:dyDescent="0.55000000000000004">
      <c r="A6291"/>
    </row>
    <row r="6292" spans="1:1" x14ac:dyDescent="0.55000000000000004">
      <c r="A6292"/>
    </row>
    <row r="6293" spans="1:1" x14ac:dyDescent="0.55000000000000004">
      <c r="A6293"/>
    </row>
    <row r="6294" spans="1:1" x14ac:dyDescent="0.55000000000000004">
      <c r="A6294"/>
    </row>
    <row r="6295" spans="1:1" x14ac:dyDescent="0.55000000000000004">
      <c r="A6295"/>
    </row>
    <row r="6296" spans="1:1" x14ac:dyDescent="0.55000000000000004">
      <c r="A6296"/>
    </row>
    <row r="6297" spans="1:1" x14ac:dyDescent="0.55000000000000004">
      <c r="A6297"/>
    </row>
    <row r="6298" spans="1:1" x14ac:dyDescent="0.55000000000000004">
      <c r="A6298"/>
    </row>
    <row r="6299" spans="1:1" x14ac:dyDescent="0.55000000000000004">
      <c r="A6299"/>
    </row>
    <row r="6300" spans="1:1" x14ac:dyDescent="0.55000000000000004">
      <c r="A6300"/>
    </row>
    <row r="6301" spans="1:1" x14ac:dyDescent="0.55000000000000004">
      <c r="A6301"/>
    </row>
    <row r="6302" spans="1:1" x14ac:dyDescent="0.55000000000000004">
      <c r="A6302"/>
    </row>
    <row r="6303" spans="1:1" x14ac:dyDescent="0.55000000000000004">
      <c r="A6303"/>
    </row>
    <row r="6304" spans="1:1" x14ac:dyDescent="0.55000000000000004">
      <c r="A6304"/>
    </row>
    <row r="6305" spans="1:1" x14ac:dyDescent="0.55000000000000004">
      <c r="A6305"/>
    </row>
    <row r="6306" spans="1:1" x14ac:dyDescent="0.55000000000000004">
      <c r="A6306"/>
    </row>
    <row r="6307" spans="1:1" x14ac:dyDescent="0.55000000000000004">
      <c r="A6307"/>
    </row>
    <row r="6308" spans="1:1" x14ac:dyDescent="0.55000000000000004">
      <c r="A6308"/>
    </row>
    <row r="6309" spans="1:1" x14ac:dyDescent="0.55000000000000004">
      <c r="A6309"/>
    </row>
    <row r="6310" spans="1:1" x14ac:dyDescent="0.55000000000000004">
      <c r="A6310"/>
    </row>
    <row r="6311" spans="1:1" x14ac:dyDescent="0.55000000000000004">
      <c r="A6311"/>
    </row>
    <row r="6312" spans="1:1" x14ac:dyDescent="0.55000000000000004">
      <c r="A6312"/>
    </row>
    <row r="6313" spans="1:1" x14ac:dyDescent="0.55000000000000004">
      <c r="A6313"/>
    </row>
    <row r="6314" spans="1:1" x14ac:dyDescent="0.55000000000000004">
      <c r="A6314"/>
    </row>
    <row r="6315" spans="1:1" x14ac:dyDescent="0.55000000000000004">
      <c r="A6315"/>
    </row>
    <row r="6316" spans="1:1" x14ac:dyDescent="0.55000000000000004">
      <c r="A6316"/>
    </row>
    <row r="6317" spans="1:1" x14ac:dyDescent="0.55000000000000004">
      <c r="A6317"/>
    </row>
    <row r="6318" spans="1:1" x14ac:dyDescent="0.55000000000000004">
      <c r="A6318"/>
    </row>
    <row r="6319" spans="1:1" x14ac:dyDescent="0.55000000000000004">
      <c r="A6319"/>
    </row>
    <row r="6320" spans="1:1" x14ac:dyDescent="0.55000000000000004">
      <c r="A6320"/>
    </row>
    <row r="6321" spans="1:1" x14ac:dyDescent="0.55000000000000004">
      <c r="A6321"/>
    </row>
    <row r="6322" spans="1:1" x14ac:dyDescent="0.55000000000000004">
      <c r="A6322"/>
    </row>
    <row r="6323" spans="1:1" x14ac:dyDescent="0.55000000000000004">
      <c r="A6323"/>
    </row>
    <row r="6324" spans="1:1" x14ac:dyDescent="0.55000000000000004">
      <c r="A6324"/>
    </row>
    <row r="6325" spans="1:1" x14ac:dyDescent="0.55000000000000004">
      <c r="A6325"/>
    </row>
    <row r="6326" spans="1:1" x14ac:dyDescent="0.55000000000000004">
      <c r="A6326"/>
    </row>
    <row r="6327" spans="1:1" x14ac:dyDescent="0.55000000000000004">
      <c r="A6327"/>
    </row>
    <row r="6328" spans="1:1" x14ac:dyDescent="0.55000000000000004">
      <c r="A6328"/>
    </row>
    <row r="6329" spans="1:1" x14ac:dyDescent="0.55000000000000004">
      <c r="A6329"/>
    </row>
    <row r="6330" spans="1:1" x14ac:dyDescent="0.55000000000000004">
      <c r="A6330"/>
    </row>
    <row r="6331" spans="1:1" x14ac:dyDescent="0.55000000000000004">
      <c r="A6331"/>
    </row>
    <row r="6332" spans="1:1" x14ac:dyDescent="0.55000000000000004">
      <c r="A6332"/>
    </row>
    <row r="6333" spans="1:1" x14ac:dyDescent="0.55000000000000004">
      <c r="A6333"/>
    </row>
    <row r="6334" spans="1:1" x14ac:dyDescent="0.55000000000000004">
      <c r="A6334"/>
    </row>
    <row r="6335" spans="1:1" x14ac:dyDescent="0.55000000000000004">
      <c r="A6335"/>
    </row>
    <row r="6336" spans="1:1" x14ac:dyDescent="0.55000000000000004">
      <c r="A6336"/>
    </row>
    <row r="6337" spans="1:1" x14ac:dyDescent="0.55000000000000004">
      <c r="A6337"/>
    </row>
    <row r="6338" spans="1:1" x14ac:dyDescent="0.55000000000000004">
      <c r="A6338"/>
    </row>
    <row r="6339" spans="1:1" x14ac:dyDescent="0.55000000000000004">
      <c r="A6339"/>
    </row>
    <row r="6340" spans="1:1" x14ac:dyDescent="0.55000000000000004">
      <c r="A6340"/>
    </row>
    <row r="6341" spans="1:1" x14ac:dyDescent="0.55000000000000004">
      <c r="A6341"/>
    </row>
    <row r="6342" spans="1:1" x14ac:dyDescent="0.55000000000000004">
      <c r="A6342"/>
    </row>
    <row r="6343" spans="1:1" x14ac:dyDescent="0.55000000000000004">
      <c r="A6343"/>
    </row>
    <row r="6344" spans="1:1" x14ac:dyDescent="0.55000000000000004">
      <c r="A6344"/>
    </row>
    <row r="6345" spans="1:1" x14ac:dyDescent="0.55000000000000004">
      <c r="A6345"/>
    </row>
    <row r="6346" spans="1:1" x14ac:dyDescent="0.55000000000000004">
      <c r="A6346"/>
    </row>
    <row r="6347" spans="1:1" x14ac:dyDescent="0.55000000000000004">
      <c r="A6347"/>
    </row>
    <row r="6348" spans="1:1" x14ac:dyDescent="0.55000000000000004">
      <c r="A6348"/>
    </row>
    <row r="6349" spans="1:1" x14ac:dyDescent="0.55000000000000004">
      <c r="A6349"/>
    </row>
    <row r="6350" spans="1:1" x14ac:dyDescent="0.55000000000000004">
      <c r="A6350"/>
    </row>
    <row r="6351" spans="1:1" x14ac:dyDescent="0.55000000000000004">
      <c r="A6351"/>
    </row>
    <row r="6352" spans="1:1" x14ac:dyDescent="0.55000000000000004">
      <c r="A6352"/>
    </row>
    <row r="6353" spans="1:1" x14ac:dyDescent="0.55000000000000004">
      <c r="A6353"/>
    </row>
    <row r="6354" spans="1:1" x14ac:dyDescent="0.55000000000000004">
      <c r="A6354"/>
    </row>
    <row r="6355" spans="1:1" x14ac:dyDescent="0.55000000000000004">
      <c r="A6355"/>
    </row>
    <row r="6356" spans="1:1" x14ac:dyDescent="0.55000000000000004">
      <c r="A6356"/>
    </row>
    <row r="6357" spans="1:1" x14ac:dyDescent="0.55000000000000004">
      <c r="A6357"/>
    </row>
    <row r="6358" spans="1:1" x14ac:dyDescent="0.55000000000000004">
      <c r="A6358"/>
    </row>
    <row r="6359" spans="1:1" x14ac:dyDescent="0.55000000000000004">
      <c r="A6359"/>
    </row>
    <row r="6360" spans="1:1" x14ac:dyDescent="0.55000000000000004">
      <c r="A6360"/>
    </row>
    <row r="6361" spans="1:1" x14ac:dyDescent="0.55000000000000004">
      <c r="A6361"/>
    </row>
    <row r="6362" spans="1:1" x14ac:dyDescent="0.55000000000000004">
      <c r="A6362"/>
    </row>
    <row r="6363" spans="1:1" x14ac:dyDescent="0.55000000000000004">
      <c r="A6363"/>
    </row>
    <row r="6364" spans="1:1" x14ac:dyDescent="0.55000000000000004">
      <c r="A6364"/>
    </row>
    <row r="6365" spans="1:1" x14ac:dyDescent="0.55000000000000004">
      <c r="A6365"/>
    </row>
    <row r="6366" spans="1:1" x14ac:dyDescent="0.55000000000000004">
      <c r="A6366"/>
    </row>
    <row r="6367" spans="1:1" x14ac:dyDescent="0.55000000000000004">
      <c r="A6367"/>
    </row>
    <row r="6368" spans="1:1" x14ac:dyDescent="0.55000000000000004">
      <c r="A6368"/>
    </row>
    <row r="6369" spans="1:1" x14ac:dyDescent="0.55000000000000004">
      <c r="A6369"/>
    </row>
    <row r="6370" spans="1:1" x14ac:dyDescent="0.55000000000000004">
      <c r="A6370"/>
    </row>
    <row r="6371" spans="1:1" x14ac:dyDescent="0.55000000000000004">
      <c r="A6371"/>
    </row>
    <row r="6372" spans="1:1" x14ac:dyDescent="0.55000000000000004">
      <c r="A6372"/>
    </row>
    <row r="6373" spans="1:1" x14ac:dyDescent="0.55000000000000004">
      <c r="A6373"/>
    </row>
    <row r="6374" spans="1:1" x14ac:dyDescent="0.55000000000000004">
      <c r="A6374"/>
    </row>
    <row r="6375" spans="1:1" x14ac:dyDescent="0.55000000000000004">
      <c r="A6375"/>
    </row>
    <row r="6376" spans="1:1" x14ac:dyDescent="0.55000000000000004">
      <c r="A6376"/>
    </row>
    <row r="6377" spans="1:1" x14ac:dyDescent="0.55000000000000004">
      <c r="A6377"/>
    </row>
    <row r="6378" spans="1:1" x14ac:dyDescent="0.55000000000000004">
      <c r="A6378"/>
    </row>
    <row r="6379" spans="1:1" x14ac:dyDescent="0.55000000000000004">
      <c r="A6379"/>
    </row>
    <row r="6380" spans="1:1" x14ac:dyDescent="0.55000000000000004">
      <c r="A6380"/>
    </row>
    <row r="6381" spans="1:1" x14ac:dyDescent="0.55000000000000004">
      <c r="A6381"/>
    </row>
    <row r="6382" spans="1:1" x14ac:dyDescent="0.55000000000000004">
      <c r="A6382"/>
    </row>
    <row r="6383" spans="1:1" x14ac:dyDescent="0.55000000000000004">
      <c r="A6383"/>
    </row>
    <row r="6384" spans="1:1" x14ac:dyDescent="0.55000000000000004">
      <c r="A6384"/>
    </row>
    <row r="6385" spans="1:1" x14ac:dyDescent="0.55000000000000004">
      <c r="A6385"/>
    </row>
    <row r="6386" spans="1:1" x14ac:dyDescent="0.55000000000000004">
      <c r="A6386"/>
    </row>
    <row r="6387" spans="1:1" x14ac:dyDescent="0.55000000000000004">
      <c r="A6387"/>
    </row>
    <row r="6388" spans="1:1" x14ac:dyDescent="0.55000000000000004">
      <c r="A6388"/>
    </row>
    <row r="6389" spans="1:1" x14ac:dyDescent="0.55000000000000004">
      <c r="A6389"/>
    </row>
    <row r="6390" spans="1:1" x14ac:dyDescent="0.55000000000000004">
      <c r="A6390"/>
    </row>
    <row r="6391" spans="1:1" x14ac:dyDescent="0.55000000000000004">
      <c r="A6391"/>
    </row>
    <row r="6392" spans="1:1" x14ac:dyDescent="0.55000000000000004">
      <c r="A6392"/>
    </row>
    <row r="6393" spans="1:1" x14ac:dyDescent="0.55000000000000004">
      <c r="A6393"/>
    </row>
    <row r="6394" spans="1:1" x14ac:dyDescent="0.55000000000000004">
      <c r="A6394"/>
    </row>
    <row r="6395" spans="1:1" x14ac:dyDescent="0.55000000000000004">
      <c r="A6395"/>
    </row>
    <row r="6396" spans="1:1" x14ac:dyDescent="0.55000000000000004">
      <c r="A6396"/>
    </row>
    <row r="6397" spans="1:1" x14ac:dyDescent="0.55000000000000004">
      <c r="A6397"/>
    </row>
    <row r="6398" spans="1:1" x14ac:dyDescent="0.55000000000000004">
      <c r="A6398"/>
    </row>
    <row r="6399" spans="1:1" x14ac:dyDescent="0.55000000000000004">
      <c r="A6399"/>
    </row>
    <row r="6400" spans="1:1" x14ac:dyDescent="0.55000000000000004">
      <c r="A6400"/>
    </row>
    <row r="6401" spans="1:1" x14ac:dyDescent="0.55000000000000004">
      <c r="A6401"/>
    </row>
    <row r="6402" spans="1:1" x14ac:dyDescent="0.55000000000000004">
      <c r="A6402"/>
    </row>
    <row r="6403" spans="1:1" x14ac:dyDescent="0.55000000000000004">
      <c r="A6403"/>
    </row>
    <row r="6404" spans="1:1" x14ac:dyDescent="0.55000000000000004">
      <c r="A6404"/>
    </row>
    <row r="6405" spans="1:1" x14ac:dyDescent="0.55000000000000004">
      <c r="A6405"/>
    </row>
    <row r="6406" spans="1:1" x14ac:dyDescent="0.55000000000000004">
      <c r="A6406"/>
    </row>
    <row r="6407" spans="1:1" x14ac:dyDescent="0.55000000000000004">
      <c r="A6407"/>
    </row>
    <row r="6408" spans="1:1" x14ac:dyDescent="0.55000000000000004">
      <c r="A6408"/>
    </row>
    <row r="6409" spans="1:1" x14ac:dyDescent="0.55000000000000004">
      <c r="A6409"/>
    </row>
    <row r="6410" spans="1:1" x14ac:dyDescent="0.55000000000000004">
      <c r="A6410"/>
    </row>
    <row r="6411" spans="1:1" x14ac:dyDescent="0.55000000000000004">
      <c r="A6411"/>
    </row>
    <row r="6412" spans="1:1" x14ac:dyDescent="0.55000000000000004">
      <c r="A6412"/>
    </row>
    <row r="6413" spans="1:1" x14ac:dyDescent="0.55000000000000004">
      <c r="A6413"/>
    </row>
    <row r="6414" spans="1:1" x14ac:dyDescent="0.55000000000000004">
      <c r="A6414"/>
    </row>
    <row r="6415" spans="1:1" x14ac:dyDescent="0.55000000000000004">
      <c r="A6415"/>
    </row>
    <row r="6416" spans="1:1" x14ac:dyDescent="0.55000000000000004">
      <c r="A6416"/>
    </row>
    <row r="6417" spans="1:1" x14ac:dyDescent="0.55000000000000004">
      <c r="A6417"/>
    </row>
    <row r="6418" spans="1:1" x14ac:dyDescent="0.55000000000000004">
      <c r="A6418"/>
    </row>
    <row r="6419" spans="1:1" x14ac:dyDescent="0.55000000000000004">
      <c r="A6419"/>
    </row>
    <row r="6420" spans="1:1" x14ac:dyDescent="0.55000000000000004">
      <c r="A6420"/>
    </row>
    <row r="6421" spans="1:1" x14ac:dyDescent="0.55000000000000004">
      <c r="A6421"/>
    </row>
    <row r="6422" spans="1:1" x14ac:dyDescent="0.55000000000000004">
      <c r="A6422"/>
    </row>
    <row r="6423" spans="1:1" x14ac:dyDescent="0.55000000000000004">
      <c r="A6423"/>
    </row>
    <row r="6424" spans="1:1" x14ac:dyDescent="0.55000000000000004">
      <c r="A6424"/>
    </row>
    <row r="6425" spans="1:1" x14ac:dyDescent="0.55000000000000004">
      <c r="A6425"/>
    </row>
    <row r="6426" spans="1:1" x14ac:dyDescent="0.55000000000000004">
      <c r="A6426"/>
    </row>
    <row r="6427" spans="1:1" x14ac:dyDescent="0.55000000000000004">
      <c r="A6427"/>
    </row>
    <row r="6428" spans="1:1" x14ac:dyDescent="0.55000000000000004">
      <c r="A6428"/>
    </row>
    <row r="6429" spans="1:1" x14ac:dyDescent="0.55000000000000004">
      <c r="A6429"/>
    </row>
    <row r="6430" spans="1:1" x14ac:dyDescent="0.55000000000000004">
      <c r="A6430"/>
    </row>
    <row r="6431" spans="1:1" x14ac:dyDescent="0.55000000000000004">
      <c r="A6431"/>
    </row>
    <row r="6432" spans="1:1" x14ac:dyDescent="0.55000000000000004">
      <c r="A6432"/>
    </row>
    <row r="6433" spans="1:1" x14ac:dyDescent="0.55000000000000004">
      <c r="A6433"/>
    </row>
    <row r="6434" spans="1:1" x14ac:dyDescent="0.55000000000000004">
      <c r="A6434"/>
    </row>
    <row r="6435" spans="1:1" x14ac:dyDescent="0.55000000000000004">
      <c r="A6435"/>
    </row>
    <row r="6436" spans="1:1" x14ac:dyDescent="0.55000000000000004">
      <c r="A6436"/>
    </row>
    <row r="6437" spans="1:1" x14ac:dyDescent="0.55000000000000004">
      <c r="A6437"/>
    </row>
    <row r="6438" spans="1:1" x14ac:dyDescent="0.55000000000000004">
      <c r="A6438"/>
    </row>
    <row r="6439" spans="1:1" x14ac:dyDescent="0.55000000000000004">
      <c r="A6439"/>
    </row>
    <row r="6440" spans="1:1" x14ac:dyDescent="0.55000000000000004">
      <c r="A6440"/>
    </row>
    <row r="6441" spans="1:1" x14ac:dyDescent="0.55000000000000004">
      <c r="A6441"/>
    </row>
    <row r="6442" spans="1:1" x14ac:dyDescent="0.55000000000000004">
      <c r="A6442"/>
    </row>
    <row r="6443" spans="1:1" x14ac:dyDescent="0.55000000000000004">
      <c r="A6443"/>
    </row>
    <row r="6444" spans="1:1" x14ac:dyDescent="0.55000000000000004">
      <c r="A6444"/>
    </row>
    <row r="6445" spans="1:1" x14ac:dyDescent="0.55000000000000004">
      <c r="A6445"/>
    </row>
    <row r="6446" spans="1:1" x14ac:dyDescent="0.55000000000000004">
      <c r="A6446"/>
    </row>
    <row r="6447" spans="1:1" x14ac:dyDescent="0.55000000000000004">
      <c r="A6447"/>
    </row>
    <row r="6448" spans="1:1" x14ac:dyDescent="0.55000000000000004">
      <c r="A6448"/>
    </row>
    <row r="6449" spans="1:1" x14ac:dyDescent="0.55000000000000004">
      <c r="A6449"/>
    </row>
    <row r="6450" spans="1:1" x14ac:dyDescent="0.55000000000000004">
      <c r="A6450"/>
    </row>
    <row r="6451" spans="1:1" x14ac:dyDescent="0.55000000000000004">
      <c r="A6451"/>
    </row>
    <row r="6452" spans="1:1" x14ac:dyDescent="0.55000000000000004">
      <c r="A6452"/>
    </row>
    <row r="6453" spans="1:1" x14ac:dyDescent="0.55000000000000004">
      <c r="A6453"/>
    </row>
    <row r="6454" spans="1:1" x14ac:dyDescent="0.55000000000000004">
      <c r="A6454"/>
    </row>
    <row r="6455" spans="1:1" x14ac:dyDescent="0.55000000000000004">
      <c r="A6455"/>
    </row>
    <row r="6456" spans="1:1" x14ac:dyDescent="0.55000000000000004">
      <c r="A6456"/>
    </row>
    <row r="6457" spans="1:1" x14ac:dyDescent="0.55000000000000004">
      <c r="A6457"/>
    </row>
    <row r="6458" spans="1:1" x14ac:dyDescent="0.55000000000000004">
      <c r="A6458"/>
    </row>
    <row r="6459" spans="1:1" x14ac:dyDescent="0.55000000000000004">
      <c r="A6459"/>
    </row>
    <row r="6460" spans="1:1" x14ac:dyDescent="0.55000000000000004">
      <c r="A6460"/>
    </row>
    <row r="6461" spans="1:1" x14ac:dyDescent="0.55000000000000004">
      <c r="A6461"/>
    </row>
    <row r="6462" spans="1:1" x14ac:dyDescent="0.55000000000000004">
      <c r="A6462"/>
    </row>
    <row r="6463" spans="1:1" x14ac:dyDescent="0.55000000000000004">
      <c r="A6463"/>
    </row>
    <row r="6464" spans="1:1" x14ac:dyDescent="0.55000000000000004">
      <c r="A6464"/>
    </row>
    <row r="6465" spans="1:1" x14ac:dyDescent="0.55000000000000004">
      <c r="A6465"/>
    </row>
    <row r="6466" spans="1:1" x14ac:dyDescent="0.55000000000000004">
      <c r="A6466"/>
    </row>
    <row r="6467" spans="1:1" x14ac:dyDescent="0.55000000000000004">
      <c r="A6467"/>
    </row>
    <row r="6468" spans="1:1" x14ac:dyDescent="0.55000000000000004">
      <c r="A6468"/>
    </row>
    <row r="6469" spans="1:1" x14ac:dyDescent="0.55000000000000004">
      <c r="A6469"/>
    </row>
    <row r="6470" spans="1:1" x14ac:dyDescent="0.55000000000000004">
      <c r="A6470"/>
    </row>
    <row r="6471" spans="1:1" x14ac:dyDescent="0.55000000000000004">
      <c r="A6471"/>
    </row>
    <row r="6472" spans="1:1" x14ac:dyDescent="0.55000000000000004">
      <c r="A6472"/>
    </row>
    <row r="6473" spans="1:1" x14ac:dyDescent="0.55000000000000004">
      <c r="A6473"/>
    </row>
    <row r="6474" spans="1:1" x14ac:dyDescent="0.55000000000000004">
      <c r="A6474"/>
    </row>
    <row r="6475" spans="1:1" x14ac:dyDescent="0.55000000000000004">
      <c r="A6475"/>
    </row>
    <row r="6476" spans="1:1" x14ac:dyDescent="0.55000000000000004">
      <c r="A6476"/>
    </row>
    <row r="6477" spans="1:1" x14ac:dyDescent="0.55000000000000004">
      <c r="A6477"/>
    </row>
    <row r="6478" spans="1:1" x14ac:dyDescent="0.55000000000000004">
      <c r="A6478"/>
    </row>
    <row r="6479" spans="1:1" x14ac:dyDescent="0.55000000000000004">
      <c r="A6479"/>
    </row>
    <row r="6480" spans="1:1" x14ac:dyDescent="0.55000000000000004">
      <c r="A6480"/>
    </row>
    <row r="6481" spans="1:1" x14ac:dyDescent="0.55000000000000004">
      <c r="A6481"/>
    </row>
    <row r="6482" spans="1:1" x14ac:dyDescent="0.55000000000000004">
      <c r="A6482"/>
    </row>
    <row r="6483" spans="1:1" x14ac:dyDescent="0.55000000000000004">
      <c r="A6483"/>
    </row>
    <row r="6484" spans="1:1" x14ac:dyDescent="0.55000000000000004">
      <c r="A6484"/>
    </row>
    <row r="6485" spans="1:1" x14ac:dyDescent="0.55000000000000004">
      <c r="A6485"/>
    </row>
    <row r="6486" spans="1:1" x14ac:dyDescent="0.55000000000000004">
      <c r="A6486"/>
    </row>
    <row r="6487" spans="1:1" x14ac:dyDescent="0.55000000000000004">
      <c r="A6487"/>
    </row>
    <row r="6488" spans="1:1" x14ac:dyDescent="0.55000000000000004">
      <c r="A6488"/>
    </row>
    <row r="6489" spans="1:1" x14ac:dyDescent="0.55000000000000004">
      <c r="A6489"/>
    </row>
    <row r="6490" spans="1:1" x14ac:dyDescent="0.55000000000000004">
      <c r="A6490"/>
    </row>
    <row r="6491" spans="1:1" x14ac:dyDescent="0.55000000000000004">
      <c r="A6491"/>
    </row>
    <row r="6492" spans="1:1" x14ac:dyDescent="0.55000000000000004">
      <c r="A6492"/>
    </row>
    <row r="6493" spans="1:1" x14ac:dyDescent="0.55000000000000004">
      <c r="A6493"/>
    </row>
    <row r="6494" spans="1:1" x14ac:dyDescent="0.55000000000000004">
      <c r="A6494"/>
    </row>
    <row r="6495" spans="1:1" x14ac:dyDescent="0.55000000000000004">
      <c r="A6495"/>
    </row>
    <row r="6496" spans="1:1" x14ac:dyDescent="0.55000000000000004">
      <c r="A6496"/>
    </row>
    <row r="6497" spans="1:1" x14ac:dyDescent="0.55000000000000004">
      <c r="A6497"/>
    </row>
    <row r="6498" spans="1:1" x14ac:dyDescent="0.55000000000000004">
      <c r="A6498"/>
    </row>
    <row r="6499" spans="1:1" x14ac:dyDescent="0.55000000000000004">
      <c r="A6499"/>
    </row>
    <row r="6500" spans="1:1" x14ac:dyDescent="0.55000000000000004">
      <c r="A6500"/>
    </row>
    <row r="6501" spans="1:1" x14ac:dyDescent="0.55000000000000004">
      <c r="A6501"/>
    </row>
    <row r="6502" spans="1:1" x14ac:dyDescent="0.55000000000000004">
      <c r="A6502"/>
    </row>
    <row r="6503" spans="1:1" x14ac:dyDescent="0.55000000000000004">
      <c r="A6503"/>
    </row>
    <row r="6504" spans="1:1" x14ac:dyDescent="0.55000000000000004">
      <c r="A6504"/>
    </row>
    <row r="6505" spans="1:1" x14ac:dyDescent="0.55000000000000004">
      <c r="A6505"/>
    </row>
    <row r="6506" spans="1:1" x14ac:dyDescent="0.55000000000000004">
      <c r="A6506"/>
    </row>
    <row r="6507" spans="1:1" x14ac:dyDescent="0.55000000000000004">
      <c r="A6507"/>
    </row>
    <row r="6508" spans="1:1" x14ac:dyDescent="0.55000000000000004">
      <c r="A6508"/>
    </row>
    <row r="6509" spans="1:1" x14ac:dyDescent="0.55000000000000004">
      <c r="A6509"/>
    </row>
    <row r="6510" spans="1:1" x14ac:dyDescent="0.55000000000000004">
      <c r="A6510"/>
    </row>
    <row r="6511" spans="1:1" x14ac:dyDescent="0.55000000000000004">
      <c r="A6511"/>
    </row>
    <row r="6512" spans="1:1" x14ac:dyDescent="0.55000000000000004">
      <c r="A6512"/>
    </row>
    <row r="6513" spans="1:1" x14ac:dyDescent="0.55000000000000004">
      <c r="A6513"/>
    </row>
    <row r="6514" spans="1:1" x14ac:dyDescent="0.55000000000000004">
      <c r="A6514"/>
    </row>
    <row r="6515" spans="1:1" x14ac:dyDescent="0.55000000000000004">
      <c r="A6515"/>
    </row>
    <row r="6516" spans="1:1" x14ac:dyDescent="0.55000000000000004">
      <c r="A6516"/>
    </row>
    <row r="6517" spans="1:1" x14ac:dyDescent="0.55000000000000004">
      <c r="A6517"/>
    </row>
    <row r="6518" spans="1:1" x14ac:dyDescent="0.55000000000000004">
      <c r="A6518"/>
    </row>
    <row r="6519" spans="1:1" x14ac:dyDescent="0.55000000000000004">
      <c r="A6519"/>
    </row>
    <row r="6520" spans="1:1" x14ac:dyDescent="0.55000000000000004">
      <c r="A6520"/>
    </row>
    <row r="6521" spans="1:1" x14ac:dyDescent="0.55000000000000004">
      <c r="A6521"/>
    </row>
    <row r="6522" spans="1:1" x14ac:dyDescent="0.55000000000000004">
      <c r="A6522"/>
    </row>
    <row r="6523" spans="1:1" x14ac:dyDescent="0.55000000000000004">
      <c r="A6523"/>
    </row>
    <row r="6524" spans="1:1" x14ac:dyDescent="0.55000000000000004">
      <c r="A6524"/>
    </row>
    <row r="6525" spans="1:1" x14ac:dyDescent="0.55000000000000004">
      <c r="A6525"/>
    </row>
    <row r="6526" spans="1:1" x14ac:dyDescent="0.55000000000000004">
      <c r="A6526"/>
    </row>
    <row r="6527" spans="1:1" x14ac:dyDescent="0.55000000000000004">
      <c r="A6527"/>
    </row>
    <row r="6528" spans="1:1" x14ac:dyDescent="0.55000000000000004">
      <c r="A6528"/>
    </row>
    <row r="6529" spans="1:1" x14ac:dyDescent="0.55000000000000004">
      <c r="A6529"/>
    </row>
    <row r="6530" spans="1:1" x14ac:dyDescent="0.55000000000000004">
      <c r="A6530"/>
    </row>
    <row r="6531" spans="1:1" x14ac:dyDescent="0.55000000000000004">
      <c r="A6531"/>
    </row>
    <row r="6532" spans="1:1" x14ac:dyDescent="0.55000000000000004">
      <c r="A6532"/>
    </row>
    <row r="6533" spans="1:1" x14ac:dyDescent="0.55000000000000004">
      <c r="A6533"/>
    </row>
    <row r="6534" spans="1:1" x14ac:dyDescent="0.55000000000000004">
      <c r="A6534"/>
    </row>
    <row r="6535" spans="1:1" x14ac:dyDescent="0.55000000000000004">
      <c r="A6535"/>
    </row>
    <row r="6536" spans="1:1" x14ac:dyDescent="0.55000000000000004">
      <c r="A6536"/>
    </row>
    <row r="6537" spans="1:1" x14ac:dyDescent="0.55000000000000004">
      <c r="A6537"/>
    </row>
    <row r="6538" spans="1:1" x14ac:dyDescent="0.55000000000000004">
      <c r="A6538"/>
    </row>
    <row r="6539" spans="1:1" x14ac:dyDescent="0.55000000000000004">
      <c r="A6539"/>
    </row>
    <row r="6540" spans="1:1" x14ac:dyDescent="0.55000000000000004">
      <c r="A6540"/>
    </row>
    <row r="6541" spans="1:1" x14ac:dyDescent="0.55000000000000004">
      <c r="A6541"/>
    </row>
    <row r="6542" spans="1:1" x14ac:dyDescent="0.55000000000000004">
      <c r="A6542"/>
    </row>
    <row r="6543" spans="1:1" x14ac:dyDescent="0.55000000000000004">
      <c r="A6543"/>
    </row>
    <row r="6544" spans="1:1" x14ac:dyDescent="0.55000000000000004">
      <c r="A6544"/>
    </row>
    <row r="6545" spans="1:1" x14ac:dyDescent="0.55000000000000004">
      <c r="A6545"/>
    </row>
    <row r="6546" spans="1:1" x14ac:dyDescent="0.55000000000000004">
      <c r="A6546"/>
    </row>
    <row r="6547" spans="1:1" x14ac:dyDescent="0.55000000000000004">
      <c r="A6547"/>
    </row>
    <row r="6548" spans="1:1" x14ac:dyDescent="0.55000000000000004">
      <c r="A6548"/>
    </row>
    <row r="6549" spans="1:1" x14ac:dyDescent="0.55000000000000004">
      <c r="A6549"/>
    </row>
    <row r="6550" spans="1:1" x14ac:dyDescent="0.55000000000000004">
      <c r="A6550"/>
    </row>
    <row r="6551" spans="1:1" x14ac:dyDescent="0.55000000000000004">
      <c r="A6551"/>
    </row>
    <row r="6552" spans="1:1" x14ac:dyDescent="0.55000000000000004">
      <c r="A6552"/>
    </row>
    <row r="6553" spans="1:1" x14ac:dyDescent="0.55000000000000004">
      <c r="A6553"/>
    </row>
    <row r="6554" spans="1:1" x14ac:dyDescent="0.55000000000000004">
      <c r="A6554"/>
    </row>
    <row r="6555" spans="1:1" x14ac:dyDescent="0.55000000000000004">
      <c r="A6555"/>
    </row>
    <row r="6556" spans="1:1" x14ac:dyDescent="0.55000000000000004">
      <c r="A6556"/>
    </row>
    <row r="6557" spans="1:1" x14ac:dyDescent="0.55000000000000004">
      <c r="A6557"/>
    </row>
    <row r="6558" spans="1:1" x14ac:dyDescent="0.55000000000000004">
      <c r="A6558"/>
    </row>
    <row r="6559" spans="1:1" x14ac:dyDescent="0.55000000000000004">
      <c r="A6559"/>
    </row>
    <row r="6560" spans="1:1" x14ac:dyDescent="0.55000000000000004">
      <c r="A6560"/>
    </row>
    <row r="6561" spans="1:1" x14ac:dyDescent="0.55000000000000004">
      <c r="A6561"/>
    </row>
    <row r="6562" spans="1:1" x14ac:dyDescent="0.55000000000000004">
      <c r="A6562"/>
    </row>
    <row r="6563" spans="1:1" x14ac:dyDescent="0.55000000000000004">
      <c r="A6563"/>
    </row>
    <row r="6564" spans="1:1" x14ac:dyDescent="0.55000000000000004">
      <c r="A6564"/>
    </row>
    <row r="6565" spans="1:1" x14ac:dyDescent="0.55000000000000004">
      <c r="A6565"/>
    </row>
    <row r="6566" spans="1:1" x14ac:dyDescent="0.55000000000000004">
      <c r="A6566"/>
    </row>
    <row r="6567" spans="1:1" x14ac:dyDescent="0.55000000000000004">
      <c r="A6567"/>
    </row>
    <row r="6568" spans="1:1" x14ac:dyDescent="0.55000000000000004">
      <c r="A6568"/>
    </row>
    <row r="6569" spans="1:1" x14ac:dyDescent="0.55000000000000004">
      <c r="A6569"/>
    </row>
    <row r="6570" spans="1:1" x14ac:dyDescent="0.55000000000000004">
      <c r="A6570"/>
    </row>
    <row r="6571" spans="1:1" x14ac:dyDescent="0.55000000000000004">
      <c r="A6571"/>
    </row>
    <row r="6572" spans="1:1" x14ac:dyDescent="0.55000000000000004">
      <c r="A6572"/>
    </row>
    <row r="6573" spans="1:1" x14ac:dyDescent="0.55000000000000004">
      <c r="A6573"/>
    </row>
    <row r="6574" spans="1:1" x14ac:dyDescent="0.55000000000000004">
      <c r="A6574"/>
    </row>
    <row r="6575" spans="1:1" x14ac:dyDescent="0.55000000000000004">
      <c r="A6575"/>
    </row>
    <row r="6576" spans="1:1" x14ac:dyDescent="0.55000000000000004">
      <c r="A6576"/>
    </row>
    <row r="6577" spans="1:1" x14ac:dyDescent="0.55000000000000004">
      <c r="A6577"/>
    </row>
    <row r="6578" spans="1:1" x14ac:dyDescent="0.55000000000000004">
      <c r="A6578"/>
    </row>
    <row r="6579" spans="1:1" x14ac:dyDescent="0.55000000000000004">
      <c r="A6579"/>
    </row>
    <row r="6580" spans="1:1" x14ac:dyDescent="0.55000000000000004">
      <c r="A6580"/>
    </row>
    <row r="6581" spans="1:1" x14ac:dyDescent="0.55000000000000004">
      <c r="A6581"/>
    </row>
    <row r="6582" spans="1:1" x14ac:dyDescent="0.55000000000000004">
      <c r="A6582"/>
    </row>
    <row r="6583" spans="1:1" x14ac:dyDescent="0.55000000000000004">
      <c r="A6583"/>
    </row>
    <row r="6584" spans="1:1" x14ac:dyDescent="0.55000000000000004">
      <c r="A6584"/>
    </row>
    <row r="6585" spans="1:1" x14ac:dyDescent="0.55000000000000004">
      <c r="A6585"/>
    </row>
    <row r="6586" spans="1:1" x14ac:dyDescent="0.55000000000000004">
      <c r="A6586"/>
    </row>
    <row r="6587" spans="1:1" x14ac:dyDescent="0.55000000000000004">
      <c r="A6587"/>
    </row>
    <row r="6588" spans="1:1" x14ac:dyDescent="0.55000000000000004">
      <c r="A6588"/>
    </row>
    <row r="6589" spans="1:1" x14ac:dyDescent="0.55000000000000004">
      <c r="A6589"/>
    </row>
    <row r="6590" spans="1:1" x14ac:dyDescent="0.55000000000000004">
      <c r="A6590"/>
    </row>
    <row r="6591" spans="1:1" x14ac:dyDescent="0.55000000000000004">
      <c r="A6591"/>
    </row>
    <row r="6592" spans="1:1" x14ac:dyDescent="0.55000000000000004">
      <c r="A6592"/>
    </row>
    <row r="6593" spans="1:1" x14ac:dyDescent="0.55000000000000004">
      <c r="A6593"/>
    </row>
    <row r="6594" spans="1:1" x14ac:dyDescent="0.55000000000000004">
      <c r="A6594"/>
    </row>
    <row r="6595" spans="1:1" x14ac:dyDescent="0.55000000000000004">
      <c r="A6595"/>
    </row>
    <row r="6596" spans="1:1" x14ac:dyDescent="0.55000000000000004">
      <c r="A6596"/>
    </row>
    <row r="6597" spans="1:1" x14ac:dyDescent="0.55000000000000004">
      <c r="A6597"/>
    </row>
    <row r="6598" spans="1:1" x14ac:dyDescent="0.55000000000000004">
      <c r="A6598"/>
    </row>
    <row r="6599" spans="1:1" x14ac:dyDescent="0.55000000000000004">
      <c r="A6599"/>
    </row>
    <row r="6600" spans="1:1" x14ac:dyDescent="0.55000000000000004">
      <c r="A6600"/>
    </row>
    <row r="6601" spans="1:1" x14ac:dyDescent="0.55000000000000004">
      <c r="A6601"/>
    </row>
    <row r="6602" spans="1:1" x14ac:dyDescent="0.55000000000000004">
      <c r="A6602"/>
    </row>
    <row r="6603" spans="1:1" x14ac:dyDescent="0.55000000000000004">
      <c r="A6603"/>
    </row>
    <row r="6604" spans="1:1" x14ac:dyDescent="0.55000000000000004">
      <c r="A6604"/>
    </row>
    <row r="6605" spans="1:1" x14ac:dyDescent="0.55000000000000004">
      <c r="A6605"/>
    </row>
    <row r="6606" spans="1:1" x14ac:dyDescent="0.55000000000000004">
      <c r="A6606"/>
    </row>
    <row r="6607" spans="1:1" x14ac:dyDescent="0.55000000000000004">
      <c r="A6607"/>
    </row>
    <row r="6608" spans="1:1" x14ac:dyDescent="0.55000000000000004">
      <c r="A6608"/>
    </row>
    <row r="6609" spans="1:1" x14ac:dyDescent="0.55000000000000004">
      <c r="A6609"/>
    </row>
    <row r="6610" spans="1:1" x14ac:dyDescent="0.55000000000000004">
      <c r="A6610"/>
    </row>
    <row r="6611" spans="1:1" x14ac:dyDescent="0.55000000000000004">
      <c r="A6611"/>
    </row>
    <row r="6612" spans="1:1" x14ac:dyDescent="0.55000000000000004">
      <c r="A6612"/>
    </row>
    <row r="6613" spans="1:1" x14ac:dyDescent="0.55000000000000004">
      <c r="A6613"/>
    </row>
    <row r="6614" spans="1:1" x14ac:dyDescent="0.55000000000000004">
      <c r="A6614"/>
    </row>
    <row r="6615" spans="1:1" x14ac:dyDescent="0.55000000000000004">
      <c r="A6615"/>
    </row>
    <row r="6616" spans="1:1" x14ac:dyDescent="0.55000000000000004">
      <c r="A6616"/>
    </row>
    <row r="6617" spans="1:1" x14ac:dyDescent="0.55000000000000004">
      <c r="A6617"/>
    </row>
    <row r="6618" spans="1:1" x14ac:dyDescent="0.55000000000000004">
      <c r="A6618"/>
    </row>
    <row r="6619" spans="1:1" x14ac:dyDescent="0.55000000000000004">
      <c r="A6619"/>
    </row>
    <row r="6620" spans="1:1" x14ac:dyDescent="0.55000000000000004">
      <c r="A6620"/>
    </row>
    <row r="6621" spans="1:1" x14ac:dyDescent="0.55000000000000004">
      <c r="A6621"/>
    </row>
    <row r="6622" spans="1:1" x14ac:dyDescent="0.55000000000000004">
      <c r="A6622"/>
    </row>
    <row r="6623" spans="1:1" x14ac:dyDescent="0.55000000000000004">
      <c r="A6623"/>
    </row>
    <row r="6624" spans="1:1" x14ac:dyDescent="0.55000000000000004">
      <c r="A6624"/>
    </row>
    <row r="6625" spans="1:1" x14ac:dyDescent="0.55000000000000004">
      <c r="A6625"/>
    </row>
    <row r="6626" spans="1:1" x14ac:dyDescent="0.55000000000000004">
      <c r="A6626"/>
    </row>
    <row r="6627" spans="1:1" x14ac:dyDescent="0.55000000000000004">
      <c r="A6627"/>
    </row>
    <row r="6628" spans="1:1" x14ac:dyDescent="0.55000000000000004">
      <c r="A6628"/>
    </row>
    <row r="6629" spans="1:1" x14ac:dyDescent="0.55000000000000004">
      <c r="A6629"/>
    </row>
    <row r="6630" spans="1:1" x14ac:dyDescent="0.55000000000000004">
      <c r="A6630"/>
    </row>
    <row r="6631" spans="1:1" x14ac:dyDescent="0.55000000000000004">
      <c r="A6631"/>
    </row>
    <row r="6632" spans="1:1" x14ac:dyDescent="0.55000000000000004">
      <c r="A6632"/>
    </row>
    <row r="6633" spans="1:1" x14ac:dyDescent="0.55000000000000004">
      <c r="A6633"/>
    </row>
    <row r="6634" spans="1:1" x14ac:dyDescent="0.55000000000000004">
      <c r="A6634"/>
    </row>
    <row r="6635" spans="1:1" x14ac:dyDescent="0.55000000000000004">
      <c r="A6635"/>
    </row>
    <row r="6636" spans="1:1" x14ac:dyDescent="0.55000000000000004">
      <c r="A6636"/>
    </row>
    <row r="6637" spans="1:1" x14ac:dyDescent="0.55000000000000004">
      <c r="A6637"/>
    </row>
    <row r="6638" spans="1:1" x14ac:dyDescent="0.55000000000000004">
      <c r="A6638"/>
    </row>
    <row r="6639" spans="1:1" x14ac:dyDescent="0.55000000000000004">
      <c r="A6639"/>
    </row>
    <row r="6640" spans="1:1" x14ac:dyDescent="0.55000000000000004">
      <c r="A6640"/>
    </row>
    <row r="6641" spans="1:1" x14ac:dyDescent="0.55000000000000004">
      <c r="A6641"/>
    </row>
    <row r="6642" spans="1:1" x14ac:dyDescent="0.55000000000000004">
      <c r="A6642"/>
    </row>
    <row r="6643" spans="1:1" x14ac:dyDescent="0.55000000000000004">
      <c r="A6643"/>
    </row>
    <row r="6644" spans="1:1" x14ac:dyDescent="0.55000000000000004">
      <c r="A6644"/>
    </row>
    <row r="6645" spans="1:1" x14ac:dyDescent="0.55000000000000004">
      <c r="A6645"/>
    </row>
    <row r="6646" spans="1:1" x14ac:dyDescent="0.55000000000000004">
      <c r="A6646"/>
    </row>
    <row r="6647" spans="1:1" x14ac:dyDescent="0.55000000000000004">
      <c r="A6647"/>
    </row>
    <row r="6648" spans="1:1" x14ac:dyDescent="0.55000000000000004">
      <c r="A6648"/>
    </row>
    <row r="6649" spans="1:1" x14ac:dyDescent="0.55000000000000004">
      <c r="A6649"/>
    </row>
    <row r="6650" spans="1:1" x14ac:dyDescent="0.55000000000000004">
      <c r="A6650"/>
    </row>
    <row r="6651" spans="1:1" x14ac:dyDescent="0.55000000000000004">
      <c r="A6651"/>
    </row>
    <row r="6652" spans="1:1" x14ac:dyDescent="0.55000000000000004">
      <c r="A6652"/>
    </row>
    <row r="6653" spans="1:1" x14ac:dyDescent="0.55000000000000004">
      <c r="A6653"/>
    </row>
    <row r="6654" spans="1:1" x14ac:dyDescent="0.55000000000000004">
      <c r="A6654"/>
    </row>
    <row r="6655" spans="1:1" x14ac:dyDescent="0.55000000000000004">
      <c r="A6655"/>
    </row>
    <row r="6656" spans="1:1" x14ac:dyDescent="0.55000000000000004">
      <c r="A6656"/>
    </row>
    <row r="6657" spans="1:1" x14ac:dyDescent="0.55000000000000004">
      <c r="A6657"/>
    </row>
    <row r="6658" spans="1:1" x14ac:dyDescent="0.55000000000000004">
      <c r="A6658"/>
    </row>
    <row r="6659" spans="1:1" x14ac:dyDescent="0.55000000000000004">
      <c r="A6659"/>
    </row>
    <row r="6660" spans="1:1" x14ac:dyDescent="0.55000000000000004">
      <c r="A6660"/>
    </row>
    <row r="6661" spans="1:1" x14ac:dyDescent="0.55000000000000004">
      <c r="A6661"/>
    </row>
    <row r="6662" spans="1:1" x14ac:dyDescent="0.55000000000000004">
      <c r="A6662"/>
    </row>
    <row r="6663" spans="1:1" x14ac:dyDescent="0.55000000000000004">
      <c r="A6663"/>
    </row>
    <row r="6664" spans="1:1" x14ac:dyDescent="0.55000000000000004">
      <c r="A6664"/>
    </row>
    <row r="6665" spans="1:1" x14ac:dyDescent="0.55000000000000004">
      <c r="A6665"/>
    </row>
    <row r="6666" spans="1:1" x14ac:dyDescent="0.55000000000000004">
      <c r="A6666"/>
    </row>
    <row r="6667" spans="1:1" x14ac:dyDescent="0.55000000000000004">
      <c r="A6667"/>
    </row>
    <row r="6668" spans="1:1" x14ac:dyDescent="0.55000000000000004">
      <c r="A6668"/>
    </row>
    <row r="6669" spans="1:1" x14ac:dyDescent="0.55000000000000004">
      <c r="A6669"/>
    </row>
    <row r="6670" spans="1:1" x14ac:dyDescent="0.55000000000000004">
      <c r="A6670"/>
    </row>
    <row r="6671" spans="1:1" x14ac:dyDescent="0.55000000000000004">
      <c r="A6671"/>
    </row>
    <row r="6672" spans="1:1" x14ac:dyDescent="0.55000000000000004">
      <c r="A6672"/>
    </row>
    <row r="6673" spans="1:1" x14ac:dyDescent="0.55000000000000004">
      <c r="A6673"/>
    </row>
    <row r="6674" spans="1:1" x14ac:dyDescent="0.55000000000000004">
      <c r="A6674"/>
    </row>
    <row r="6675" spans="1:1" x14ac:dyDescent="0.55000000000000004">
      <c r="A6675"/>
    </row>
    <row r="6676" spans="1:1" x14ac:dyDescent="0.55000000000000004">
      <c r="A6676"/>
    </row>
    <row r="6677" spans="1:1" x14ac:dyDescent="0.55000000000000004">
      <c r="A6677"/>
    </row>
    <row r="6678" spans="1:1" x14ac:dyDescent="0.55000000000000004">
      <c r="A6678"/>
    </row>
    <row r="6679" spans="1:1" x14ac:dyDescent="0.55000000000000004">
      <c r="A6679"/>
    </row>
    <row r="6680" spans="1:1" x14ac:dyDescent="0.55000000000000004">
      <c r="A6680"/>
    </row>
    <row r="6681" spans="1:1" x14ac:dyDescent="0.55000000000000004">
      <c r="A6681"/>
    </row>
    <row r="6682" spans="1:1" x14ac:dyDescent="0.55000000000000004">
      <c r="A6682"/>
    </row>
    <row r="6683" spans="1:1" x14ac:dyDescent="0.55000000000000004">
      <c r="A6683"/>
    </row>
    <row r="6684" spans="1:1" x14ac:dyDescent="0.55000000000000004">
      <c r="A6684"/>
    </row>
    <row r="6685" spans="1:1" x14ac:dyDescent="0.55000000000000004">
      <c r="A6685"/>
    </row>
    <row r="6686" spans="1:1" x14ac:dyDescent="0.55000000000000004">
      <c r="A6686"/>
    </row>
    <row r="6687" spans="1:1" x14ac:dyDescent="0.55000000000000004">
      <c r="A6687"/>
    </row>
    <row r="6688" spans="1:1" x14ac:dyDescent="0.55000000000000004">
      <c r="A6688"/>
    </row>
    <row r="6689" spans="1:1" x14ac:dyDescent="0.55000000000000004">
      <c r="A6689"/>
    </row>
    <row r="6690" spans="1:1" x14ac:dyDescent="0.55000000000000004">
      <c r="A6690"/>
    </row>
    <row r="6691" spans="1:1" x14ac:dyDescent="0.55000000000000004">
      <c r="A6691"/>
    </row>
    <row r="6692" spans="1:1" x14ac:dyDescent="0.55000000000000004">
      <c r="A6692"/>
    </row>
    <row r="6693" spans="1:1" x14ac:dyDescent="0.55000000000000004">
      <c r="A6693"/>
    </row>
    <row r="6694" spans="1:1" x14ac:dyDescent="0.55000000000000004">
      <c r="A6694"/>
    </row>
    <row r="6695" spans="1:1" x14ac:dyDescent="0.55000000000000004">
      <c r="A6695"/>
    </row>
    <row r="6696" spans="1:1" x14ac:dyDescent="0.55000000000000004">
      <c r="A6696"/>
    </row>
    <row r="6697" spans="1:1" x14ac:dyDescent="0.55000000000000004">
      <c r="A6697"/>
    </row>
    <row r="6698" spans="1:1" x14ac:dyDescent="0.55000000000000004">
      <c r="A6698"/>
    </row>
    <row r="6699" spans="1:1" x14ac:dyDescent="0.55000000000000004">
      <c r="A6699"/>
    </row>
    <row r="6700" spans="1:1" x14ac:dyDescent="0.55000000000000004">
      <c r="A6700"/>
    </row>
    <row r="6701" spans="1:1" x14ac:dyDescent="0.55000000000000004">
      <c r="A6701"/>
    </row>
    <row r="6702" spans="1:1" x14ac:dyDescent="0.55000000000000004">
      <c r="A6702"/>
    </row>
    <row r="6703" spans="1:1" x14ac:dyDescent="0.55000000000000004">
      <c r="A6703"/>
    </row>
    <row r="6704" spans="1:1" x14ac:dyDescent="0.55000000000000004">
      <c r="A6704"/>
    </row>
    <row r="6705" spans="1:1" x14ac:dyDescent="0.55000000000000004">
      <c r="A6705"/>
    </row>
    <row r="6706" spans="1:1" x14ac:dyDescent="0.55000000000000004">
      <c r="A6706"/>
    </row>
    <row r="6707" spans="1:1" x14ac:dyDescent="0.55000000000000004">
      <c r="A6707"/>
    </row>
    <row r="6708" spans="1:1" x14ac:dyDescent="0.55000000000000004">
      <c r="A6708"/>
    </row>
    <row r="6709" spans="1:1" x14ac:dyDescent="0.55000000000000004">
      <c r="A6709"/>
    </row>
    <row r="6710" spans="1:1" x14ac:dyDescent="0.55000000000000004">
      <c r="A6710"/>
    </row>
    <row r="6711" spans="1:1" x14ac:dyDescent="0.55000000000000004">
      <c r="A6711"/>
    </row>
    <row r="6712" spans="1:1" x14ac:dyDescent="0.55000000000000004">
      <c r="A6712"/>
    </row>
    <row r="6713" spans="1:1" x14ac:dyDescent="0.55000000000000004">
      <c r="A6713"/>
    </row>
    <row r="6714" spans="1:1" x14ac:dyDescent="0.55000000000000004">
      <c r="A6714"/>
    </row>
    <row r="6715" spans="1:1" x14ac:dyDescent="0.55000000000000004">
      <c r="A6715"/>
    </row>
    <row r="6716" spans="1:1" x14ac:dyDescent="0.55000000000000004">
      <c r="A6716"/>
    </row>
    <row r="6717" spans="1:1" x14ac:dyDescent="0.55000000000000004">
      <c r="A6717"/>
    </row>
    <row r="6718" spans="1:1" x14ac:dyDescent="0.55000000000000004">
      <c r="A6718"/>
    </row>
    <row r="6719" spans="1:1" x14ac:dyDescent="0.55000000000000004">
      <c r="A6719"/>
    </row>
    <row r="6720" spans="1:1" x14ac:dyDescent="0.55000000000000004">
      <c r="A6720"/>
    </row>
    <row r="6721" spans="1:1" x14ac:dyDescent="0.55000000000000004">
      <c r="A6721"/>
    </row>
    <row r="6722" spans="1:1" x14ac:dyDescent="0.55000000000000004">
      <c r="A6722"/>
    </row>
    <row r="6723" spans="1:1" x14ac:dyDescent="0.55000000000000004">
      <c r="A6723"/>
    </row>
    <row r="6724" spans="1:1" x14ac:dyDescent="0.55000000000000004">
      <c r="A6724"/>
    </row>
    <row r="6725" spans="1:1" x14ac:dyDescent="0.55000000000000004">
      <c r="A6725"/>
    </row>
    <row r="6726" spans="1:1" x14ac:dyDescent="0.55000000000000004">
      <c r="A6726"/>
    </row>
    <row r="6727" spans="1:1" x14ac:dyDescent="0.55000000000000004">
      <c r="A6727"/>
    </row>
    <row r="6728" spans="1:1" x14ac:dyDescent="0.55000000000000004">
      <c r="A6728"/>
    </row>
    <row r="6729" spans="1:1" x14ac:dyDescent="0.55000000000000004">
      <c r="A6729"/>
    </row>
    <row r="6730" spans="1:1" x14ac:dyDescent="0.55000000000000004">
      <c r="A6730"/>
    </row>
    <row r="6731" spans="1:1" x14ac:dyDescent="0.55000000000000004">
      <c r="A6731"/>
    </row>
    <row r="6732" spans="1:1" x14ac:dyDescent="0.55000000000000004">
      <c r="A6732"/>
    </row>
    <row r="6733" spans="1:1" x14ac:dyDescent="0.55000000000000004">
      <c r="A6733"/>
    </row>
    <row r="6734" spans="1:1" x14ac:dyDescent="0.55000000000000004">
      <c r="A6734"/>
    </row>
    <row r="6735" spans="1:1" x14ac:dyDescent="0.55000000000000004">
      <c r="A6735"/>
    </row>
    <row r="6736" spans="1:1" x14ac:dyDescent="0.55000000000000004">
      <c r="A6736"/>
    </row>
    <row r="6737" spans="1:1" x14ac:dyDescent="0.55000000000000004">
      <c r="A6737"/>
    </row>
    <row r="6738" spans="1:1" x14ac:dyDescent="0.55000000000000004">
      <c r="A6738"/>
    </row>
    <row r="6739" spans="1:1" x14ac:dyDescent="0.55000000000000004">
      <c r="A6739"/>
    </row>
    <row r="6740" spans="1:1" x14ac:dyDescent="0.55000000000000004">
      <c r="A6740"/>
    </row>
    <row r="6741" spans="1:1" x14ac:dyDescent="0.55000000000000004">
      <c r="A6741"/>
    </row>
    <row r="6742" spans="1:1" x14ac:dyDescent="0.55000000000000004">
      <c r="A6742"/>
    </row>
    <row r="6743" spans="1:1" x14ac:dyDescent="0.55000000000000004">
      <c r="A6743"/>
    </row>
    <row r="6744" spans="1:1" x14ac:dyDescent="0.55000000000000004">
      <c r="A6744"/>
    </row>
    <row r="6745" spans="1:1" x14ac:dyDescent="0.55000000000000004">
      <c r="A6745"/>
    </row>
    <row r="6746" spans="1:1" x14ac:dyDescent="0.55000000000000004">
      <c r="A6746"/>
    </row>
    <row r="6747" spans="1:1" x14ac:dyDescent="0.55000000000000004">
      <c r="A6747"/>
    </row>
    <row r="6748" spans="1:1" x14ac:dyDescent="0.55000000000000004">
      <c r="A6748"/>
    </row>
    <row r="6749" spans="1:1" x14ac:dyDescent="0.55000000000000004">
      <c r="A6749"/>
    </row>
    <row r="6750" spans="1:1" x14ac:dyDescent="0.55000000000000004">
      <c r="A6750"/>
    </row>
    <row r="6751" spans="1:1" x14ac:dyDescent="0.55000000000000004">
      <c r="A6751"/>
    </row>
    <row r="6752" spans="1:1" x14ac:dyDescent="0.55000000000000004">
      <c r="A6752"/>
    </row>
    <row r="6753" spans="1:1" x14ac:dyDescent="0.55000000000000004">
      <c r="A6753"/>
    </row>
    <row r="6754" spans="1:1" x14ac:dyDescent="0.55000000000000004">
      <c r="A6754"/>
    </row>
    <row r="6755" spans="1:1" x14ac:dyDescent="0.55000000000000004">
      <c r="A6755"/>
    </row>
    <row r="6756" spans="1:1" x14ac:dyDescent="0.55000000000000004">
      <c r="A6756"/>
    </row>
    <row r="6757" spans="1:1" x14ac:dyDescent="0.55000000000000004">
      <c r="A6757"/>
    </row>
    <row r="6758" spans="1:1" x14ac:dyDescent="0.55000000000000004">
      <c r="A6758"/>
    </row>
    <row r="6759" spans="1:1" x14ac:dyDescent="0.55000000000000004">
      <c r="A6759"/>
    </row>
    <row r="6760" spans="1:1" x14ac:dyDescent="0.55000000000000004">
      <c r="A6760"/>
    </row>
    <row r="6761" spans="1:1" x14ac:dyDescent="0.55000000000000004">
      <c r="A6761"/>
    </row>
    <row r="6762" spans="1:1" x14ac:dyDescent="0.55000000000000004">
      <c r="A6762"/>
    </row>
    <row r="6763" spans="1:1" x14ac:dyDescent="0.55000000000000004">
      <c r="A6763"/>
    </row>
    <row r="6764" spans="1:1" x14ac:dyDescent="0.55000000000000004">
      <c r="A6764"/>
    </row>
    <row r="6765" spans="1:1" x14ac:dyDescent="0.55000000000000004">
      <c r="A6765"/>
    </row>
    <row r="6766" spans="1:1" x14ac:dyDescent="0.55000000000000004">
      <c r="A6766"/>
    </row>
    <row r="6767" spans="1:1" x14ac:dyDescent="0.55000000000000004">
      <c r="A6767"/>
    </row>
    <row r="6768" spans="1:1" x14ac:dyDescent="0.55000000000000004">
      <c r="A6768"/>
    </row>
    <row r="6769" spans="1:1" x14ac:dyDescent="0.55000000000000004">
      <c r="A6769"/>
    </row>
    <row r="6770" spans="1:1" x14ac:dyDescent="0.55000000000000004">
      <c r="A6770"/>
    </row>
    <row r="6771" spans="1:1" x14ac:dyDescent="0.55000000000000004">
      <c r="A6771"/>
    </row>
    <row r="6772" spans="1:1" x14ac:dyDescent="0.55000000000000004">
      <c r="A6772"/>
    </row>
    <row r="6773" spans="1:1" x14ac:dyDescent="0.55000000000000004">
      <c r="A6773"/>
    </row>
    <row r="6774" spans="1:1" x14ac:dyDescent="0.55000000000000004">
      <c r="A6774"/>
    </row>
    <row r="6775" spans="1:1" x14ac:dyDescent="0.55000000000000004">
      <c r="A6775"/>
    </row>
    <row r="6776" spans="1:1" x14ac:dyDescent="0.55000000000000004">
      <c r="A6776"/>
    </row>
    <row r="6777" spans="1:1" x14ac:dyDescent="0.55000000000000004">
      <c r="A6777"/>
    </row>
    <row r="6778" spans="1:1" x14ac:dyDescent="0.55000000000000004">
      <c r="A6778"/>
    </row>
    <row r="6779" spans="1:1" x14ac:dyDescent="0.55000000000000004">
      <c r="A6779"/>
    </row>
    <row r="6780" spans="1:1" x14ac:dyDescent="0.55000000000000004">
      <c r="A6780"/>
    </row>
    <row r="6781" spans="1:1" x14ac:dyDescent="0.55000000000000004">
      <c r="A6781"/>
    </row>
    <row r="6782" spans="1:1" x14ac:dyDescent="0.55000000000000004">
      <c r="A6782"/>
    </row>
    <row r="6783" spans="1:1" x14ac:dyDescent="0.55000000000000004">
      <c r="A6783"/>
    </row>
    <row r="6784" spans="1:1" x14ac:dyDescent="0.55000000000000004">
      <c r="A6784"/>
    </row>
    <row r="6785" spans="1:1" x14ac:dyDescent="0.55000000000000004">
      <c r="A6785"/>
    </row>
    <row r="6786" spans="1:1" x14ac:dyDescent="0.55000000000000004">
      <c r="A6786"/>
    </row>
    <row r="6787" spans="1:1" x14ac:dyDescent="0.55000000000000004">
      <c r="A6787"/>
    </row>
    <row r="6788" spans="1:1" x14ac:dyDescent="0.55000000000000004">
      <c r="A6788"/>
    </row>
    <row r="6789" spans="1:1" x14ac:dyDescent="0.55000000000000004">
      <c r="A6789"/>
    </row>
    <row r="6790" spans="1:1" x14ac:dyDescent="0.55000000000000004">
      <c r="A6790"/>
    </row>
    <row r="6791" spans="1:1" x14ac:dyDescent="0.55000000000000004">
      <c r="A6791"/>
    </row>
    <row r="6792" spans="1:1" x14ac:dyDescent="0.55000000000000004">
      <c r="A6792"/>
    </row>
    <row r="6793" spans="1:1" x14ac:dyDescent="0.55000000000000004">
      <c r="A6793"/>
    </row>
    <row r="6794" spans="1:1" x14ac:dyDescent="0.55000000000000004">
      <c r="A6794"/>
    </row>
    <row r="6795" spans="1:1" x14ac:dyDescent="0.55000000000000004">
      <c r="A6795"/>
    </row>
    <row r="6796" spans="1:1" x14ac:dyDescent="0.55000000000000004">
      <c r="A6796"/>
    </row>
    <row r="6797" spans="1:1" x14ac:dyDescent="0.55000000000000004">
      <c r="A6797"/>
    </row>
    <row r="6798" spans="1:1" x14ac:dyDescent="0.55000000000000004">
      <c r="A6798"/>
    </row>
    <row r="6799" spans="1:1" x14ac:dyDescent="0.55000000000000004">
      <c r="A6799"/>
    </row>
    <row r="6800" spans="1:1" x14ac:dyDescent="0.55000000000000004">
      <c r="A6800"/>
    </row>
    <row r="6801" spans="1:1" x14ac:dyDescent="0.55000000000000004">
      <c r="A6801"/>
    </row>
    <row r="6802" spans="1:1" x14ac:dyDescent="0.55000000000000004">
      <c r="A6802"/>
    </row>
    <row r="6803" spans="1:1" x14ac:dyDescent="0.55000000000000004">
      <c r="A6803"/>
    </row>
    <row r="6804" spans="1:1" x14ac:dyDescent="0.55000000000000004">
      <c r="A6804"/>
    </row>
    <row r="6805" spans="1:1" x14ac:dyDescent="0.55000000000000004">
      <c r="A6805"/>
    </row>
    <row r="6806" spans="1:1" x14ac:dyDescent="0.55000000000000004">
      <c r="A6806"/>
    </row>
    <row r="6807" spans="1:1" x14ac:dyDescent="0.55000000000000004">
      <c r="A6807"/>
    </row>
    <row r="6808" spans="1:1" x14ac:dyDescent="0.55000000000000004">
      <c r="A6808"/>
    </row>
    <row r="6809" spans="1:1" x14ac:dyDescent="0.55000000000000004">
      <c r="A6809"/>
    </row>
    <row r="6810" spans="1:1" x14ac:dyDescent="0.55000000000000004">
      <c r="A6810"/>
    </row>
    <row r="6811" spans="1:1" x14ac:dyDescent="0.55000000000000004">
      <c r="A6811"/>
    </row>
    <row r="6812" spans="1:1" x14ac:dyDescent="0.55000000000000004">
      <c r="A6812"/>
    </row>
    <row r="6813" spans="1:1" x14ac:dyDescent="0.55000000000000004">
      <c r="A6813"/>
    </row>
    <row r="6814" spans="1:1" x14ac:dyDescent="0.55000000000000004">
      <c r="A6814"/>
    </row>
    <row r="6815" spans="1:1" x14ac:dyDescent="0.55000000000000004">
      <c r="A6815"/>
    </row>
    <row r="6816" spans="1:1" x14ac:dyDescent="0.55000000000000004">
      <c r="A6816"/>
    </row>
    <row r="6817" spans="1:1" x14ac:dyDescent="0.55000000000000004">
      <c r="A6817"/>
    </row>
    <row r="6818" spans="1:1" x14ac:dyDescent="0.55000000000000004">
      <c r="A6818"/>
    </row>
    <row r="6819" spans="1:1" x14ac:dyDescent="0.55000000000000004">
      <c r="A6819"/>
    </row>
    <row r="6820" spans="1:1" x14ac:dyDescent="0.55000000000000004">
      <c r="A6820"/>
    </row>
    <row r="6821" spans="1:1" x14ac:dyDescent="0.55000000000000004">
      <c r="A6821"/>
    </row>
    <row r="6822" spans="1:1" x14ac:dyDescent="0.55000000000000004">
      <c r="A6822"/>
    </row>
    <row r="6823" spans="1:1" x14ac:dyDescent="0.55000000000000004">
      <c r="A6823"/>
    </row>
    <row r="6824" spans="1:1" x14ac:dyDescent="0.55000000000000004">
      <c r="A6824"/>
    </row>
    <row r="6825" spans="1:1" x14ac:dyDescent="0.55000000000000004">
      <c r="A6825"/>
    </row>
    <row r="6826" spans="1:1" x14ac:dyDescent="0.55000000000000004">
      <c r="A6826"/>
    </row>
    <row r="6827" spans="1:1" x14ac:dyDescent="0.55000000000000004">
      <c r="A6827"/>
    </row>
    <row r="6828" spans="1:1" x14ac:dyDescent="0.55000000000000004">
      <c r="A6828"/>
    </row>
    <row r="6829" spans="1:1" x14ac:dyDescent="0.55000000000000004">
      <c r="A6829"/>
    </row>
    <row r="6830" spans="1:1" x14ac:dyDescent="0.55000000000000004">
      <c r="A6830"/>
    </row>
    <row r="6831" spans="1:1" x14ac:dyDescent="0.55000000000000004">
      <c r="A6831"/>
    </row>
    <row r="6832" spans="1:1" x14ac:dyDescent="0.55000000000000004">
      <c r="A6832"/>
    </row>
    <row r="6833" spans="1:1" x14ac:dyDescent="0.55000000000000004">
      <c r="A6833"/>
    </row>
    <row r="6834" spans="1:1" x14ac:dyDescent="0.55000000000000004">
      <c r="A6834"/>
    </row>
    <row r="6835" spans="1:1" x14ac:dyDescent="0.55000000000000004">
      <c r="A6835"/>
    </row>
    <row r="6836" spans="1:1" x14ac:dyDescent="0.55000000000000004">
      <c r="A6836"/>
    </row>
    <row r="6837" spans="1:1" x14ac:dyDescent="0.55000000000000004">
      <c r="A6837"/>
    </row>
    <row r="6838" spans="1:1" x14ac:dyDescent="0.55000000000000004">
      <c r="A6838"/>
    </row>
    <row r="6839" spans="1:1" x14ac:dyDescent="0.55000000000000004">
      <c r="A6839"/>
    </row>
    <row r="6840" spans="1:1" x14ac:dyDescent="0.55000000000000004">
      <c r="A6840"/>
    </row>
    <row r="6841" spans="1:1" x14ac:dyDescent="0.55000000000000004">
      <c r="A6841"/>
    </row>
    <row r="6842" spans="1:1" x14ac:dyDescent="0.55000000000000004">
      <c r="A6842"/>
    </row>
    <row r="6843" spans="1:1" x14ac:dyDescent="0.55000000000000004">
      <c r="A6843"/>
    </row>
    <row r="6844" spans="1:1" x14ac:dyDescent="0.55000000000000004">
      <c r="A6844"/>
    </row>
    <row r="6845" spans="1:1" x14ac:dyDescent="0.55000000000000004">
      <c r="A6845"/>
    </row>
    <row r="6846" spans="1:1" x14ac:dyDescent="0.55000000000000004">
      <c r="A6846"/>
    </row>
    <row r="6847" spans="1:1" x14ac:dyDescent="0.55000000000000004">
      <c r="A6847"/>
    </row>
    <row r="6848" spans="1:1" x14ac:dyDescent="0.55000000000000004">
      <c r="A6848"/>
    </row>
    <row r="6849" spans="1:1" x14ac:dyDescent="0.55000000000000004">
      <c r="A6849"/>
    </row>
    <row r="6850" spans="1:1" x14ac:dyDescent="0.55000000000000004">
      <c r="A6850"/>
    </row>
    <row r="6851" spans="1:1" x14ac:dyDescent="0.55000000000000004">
      <c r="A6851"/>
    </row>
    <row r="6852" spans="1:1" x14ac:dyDescent="0.55000000000000004">
      <c r="A6852"/>
    </row>
    <row r="6853" spans="1:1" x14ac:dyDescent="0.55000000000000004">
      <c r="A6853"/>
    </row>
    <row r="6854" spans="1:1" x14ac:dyDescent="0.55000000000000004">
      <c r="A6854"/>
    </row>
    <row r="6855" spans="1:1" x14ac:dyDescent="0.55000000000000004">
      <c r="A6855"/>
    </row>
    <row r="6856" spans="1:1" x14ac:dyDescent="0.55000000000000004">
      <c r="A6856"/>
    </row>
    <row r="6857" spans="1:1" x14ac:dyDescent="0.55000000000000004">
      <c r="A6857"/>
    </row>
    <row r="6858" spans="1:1" x14ac:dyDescent="0.55000000000000004">
      <c r="A6858"/>
    </row>
    <row r="6859" spans="1:1" x14ac:dyDescent="0.55000000000000004">
      <c r="A6859"/>
    </row>
    <row r="6860" spans="1:1" x14ac:dyDescent="0.55000000000000004">
      <c r="A6860"/>
    </row>
    <row r="6861" spans="1:1" x14ac:dyDescent="0.55000000000000004">
      <c r="A6861"/>
    </row>
    <row r="6862" spans="1:1" x14ac:dyDescent="0.55000000000000004">
      <c r="A6862"/>
    </row>
    <row r="6863" spans="1:1" x14ac:dyDescent="0.55000000000000004">
      <c r="A6863"/>
    </row>
    <row r="6864" spans="1:1" x14ac:dyDescent="0.55000000000000004">
      <c r="A6864"/>
    </row>
    <row r="6865" spans="1:1" x14ac:dyDescent="0.55000000000000004">
      <c r="A6865"/>
    </row>
    <row r="6866" spans="1:1" x14ac:dyDescent="0.55000000000000004">
      <c r="A6866"/>
    </row>
    <row r="6867" spans="1:1" x14ac:dyDescent="0.55000000000000004">
      <c r="A6867"/>
    </row>
    <row r="6868" spans="1:1" x14ac:dyDescent="0.55000000000000004">
      <c r="A6868"/>
    </row>
    <row r="6869" spans="1:1" x14ac:dyDescent="0.55000000000000004">
      <c r="A6869"/>
    </row>
    <row r="6870" spans="1:1" x14ac:dyDescent="0.55000000000000004">
      <c r="A6870"/>
    </row>
    <row r="6871" spans="1:1" x14ac:dyDescent="0.55000000000000004">
      <c r="A6871"/>
    </row>
    <row r="6872" spans="1:1" x14ac:dyDescent="0.55000000000000004">
      <c r="A6872"/>
    </row>
    <row r="6873" spans="1:1" x14ac:dyDescent="0.55000000000000004">
      <c r="A6873"/>
    </row>
    <row r="6874" spans="1:1" x14ac:dyDescent="0.55000000000000004">
      <c r="A6874"/>
    </row>
    <row r="6875" spans="1:1" x14ac:dyDescent="0.55000000000000004">
      <c r="A6875"/>
    </row>
    <row r="6876" spans="1:1" x14ac:dyDescent="0.55000000000000004">
      <c r="A6876"/>
    </row>
    <row r="6877" spans="1:1" x14ac:dyDescent="0.55000000000000004">
      <c r="A6877"/>
    </row>
    <row r="6878" spans="1:1" x14ac:dyDescent="0.55000000000000004">
      <c r="A6878"/>
    </row>
    <row r="6879" spans="1:1" x14ac:dyDescent="0.55000000000000004">
      <c r="A6879"/>
    </row>
    <row r="6880" spans="1:1" x14ac:dyDescent="0.55000000000000004">
      <c r="A6880"/>
    </row>
    <row r="6881" spans="1:1" x14ac:dyDescent="0.55000000000000004">
      <c r="A6881"/>
    </row>
    <row r="6882" spans="1:1" x14ac:dyDescent="0.55000000000000004">
      <c r="A6882"/>
    </row>
    <row r="6883" spans="1:1" x14ac:dyDescent="0.55000000000000004">
      <c r="A6883"/>
    </row>
    <row r="6884" spans="1:1" x14ac:dyDescent="0.55000000000000004">
      <c r="A6884"/>
    </row>
    <row r="6885" spans="1:1" x14ac:dyDescent="0.55000000000000004">
      <c r="A6885"/>
    </row>
    <row r="6886" spans="1:1" x14ac:dyDescent="0.55000000000000004">
      <c r="A6886"/>
    </row>
    <row r="6887" spans="1:1" x14ac:dyDescent="0.55000000000000004">
      <c r="A6887"/>
    </row>
    <row r="6888" spans="1:1" x14ac:dyDescent="0.55000000000000004">
      <c r="A6888"/>
    </row>
    <row r="6889" spans="1:1" x14ac:dyDescent="0.55000000000000004">
      <c r="A6889"/>
    </row>
    <row r="6890" spans="1:1" x14ac:dyDescent="0.55000000000000004">
      <c r="A6890"/>
    </row>
    <row r="6891" spans="1:1" x14ac:dyDescent="0.55000000000000004">
      <c r="A6891"/>
    </row>
    <row r="6892" spans="1:1" x14ac:dyDescent="0.55000000000000004">
      <c r="A6892"/>
    </row>
    <row r="6893" spans="1:1" x14ac:dyDescent="0.55000000000000004">
      <c r="A6893"/>
    </row>
    <row r="6894" spans="1:1" x14ac:dyDescent="0.55000000000000004">
      <c r="A6894"/>
    </row>
    <row r="6895" spans="1:1" x14ac:dyDescent="0.55000000000000004">
      <c r="A6895"/>
    </row>
    <row r="6896" spans="1:1" x14ac:dyDescent="0.55000000000000004">
      <c r="A6896"/>
    </row>
    <row r="6897" spans="1:1" x14ac:dyDescent="0.55000000000000004">
      <c r="A6897"/>
    </row>
    <row r="6898" spans="1:1" x14ac:dyDescent="0.55000000000000004">
      <c r="A6898"/>
    </row>
    <row r="6899" spans="1:1" x14ac:dyDescent="0.55000000000000004">
      <c r="A6899"/>
    </row>
    <row r="6900" spans="1:1" x14ac:dyDescent="0.55000000000000004">
      <c r="A6900"/>
    </row>
    <row r="6901" spans="1:1" x14ac:dyDescent="0.55000000000000004">
      <c r="A6901"/>
    </row>
    <row r="6902" spans="1:1" x14ac:dyDescent="0.55000000000000004">
      <c r="A6902"/>
    </row>
    <row r="6903" spans="1:1" x14ac:dyDescent="0.55000000000000004">
      <c r="A6903"/>
    </row>
    <row r="6904" spans="1:1" x14ac:dyDescent="0.55000000000000004">
      <c r="A6904"/>
    </row>
    <row r="6905" spans="1:1" x14ac:dyDescent="0.55000000000000004">
      <c r="A6905"/>
    </row>
    <row r="6906" spans="1:1" x14ac:dyDescent="0.55000000000000004">
      <c r="A6906"/>
    </row>
    <row r="6907" spans="1:1" x14ac:dyDescent="0.55000000000000004">
      <c r="A6907"/>
    </row>
    <row r="6908" spans="1:1" x14ac:dyDescent="0.55000000000000004">
      <c r="A6908"/>
    </row>
    <row r="6909" spans="1:1" x14ac:dyDescent="0.55000000000000004">
      <c r="A6909"/>
    </row>
    <row r="6910" spans="1:1" x14ac:dyDescent="0.55000000000000004">
      <c r="A6910"/>
    </row>
    <row r="6911" spans="1:1" x14ac:dyDescent="0.55000000000000004">
      <c r="A6911"/>
    </row>
    <row r="6912" spans="1:1" x14ac:dyDescent="0.55000000000000004">
      <c r="A6912"/>
    </row>
    <row r="6913" spans="1:1" x14ac:dyDescent="0.55000000000000004">
      <c r="A6913"/>
    </row>
    <row r="6914" spans="1:1" x14ac:dyDescent="0.55000000000000004">
      <c r="A6914"/>
    </row>
    <row r="6915" spans="1:1" x14ac:dyDescent="0.55000000000000004">
      <c r="A6915"/>
    </row>
    <row r="6916" spans="1:1" x14ac:dyDescent="0.55000000000000004">
      <c r="A6916"/>
    </row>
    <row r="6917" spans="1:1" x14ac:dyDescent="0.55000000000000004">
      <c r="A6917"/>
    </row>
    <row r="6918" spans="1:1" x14ac:dyDescent="0.55000000000000004">
      <c r="A6918"/>
    </row>
    <row r="6919" spans="1:1" x14ac:dyDescent="0.55000000000000004">
      <c r="A6919"/>
    </row>
    <row r="6920" spans="1:1" x14ac:dyDescent="0.55000000000000004">
      <c r="A6920"/>
    </row>
    <row r="6921" spans="1:1" x14ac:dyDescent="0.55000000000000004">
      <c r="A6921"/>
    </row>
    <row r="6922" spans="1:1" x14ac:dyDescent="0.55000000000000004">
      <c r="A6922"/>
    </row>
    <row r="6923" spans="1:1" x14ac:dyDescent="0.55000000000000004">
      <c r="A6923"/>
    </row>
    <row r="6924" spans="1:1" x14ac:dyDescent="0.55000000000000004">
      <c r="A6924"/>
    </row>
    <row r="6925" spans="1:1" x14ac:dyDescent="0.55000000000000004">
      <c r="A6925"/>
    </row>
    <row r="6926" spans="1:1" x14ac:dyDescent="0.55000000000000004">
      <c r="A6926"/>
    </row>
    <row r="6927" spans="1:1" x14ac:dyDescent="0.55000000000000004">
      <c r="A6927"/>
    </row>
    <row r="6928" spans="1:1" x14ac:dyDescent="0.55000000000000004">
      <c r="A6928"/>
    </row>
    <row r="6929" spans="1:1" x14ac:dyDescent="0.55000000000000004">
      <c r="A6929"/>
    </row>
    <row r="6930" spans="1:1" x14ac:dyDescent="0.55000000000000004">
      <c r="A6930"/>
    </row>
    <row r="6931" spans="1:1" x14ac:dyDescent="0.55000000000000004">
      <c r="A6931"/>
    </row>
    <row r="6932" spans="1:1" x14ac:dyDescent="0.55000000000000004">
      <c r="A6932"/>
    </row>
    <row r="6933" spans="1:1" x14ac:dyDescent="0.55000000000000004">
      <c r="A6933"/>
    </row>
    <row r="6934" spans="1:1" x14ac:dyDescent="0.55000000000000004">
      <c r="A6934"/>
    </row>
    <row r="6935" spans="1:1" x14ac:dyDescent="0.55000000000000004">
      <c r="A6935"/>
    </row>
    <row r="6936" spans="1:1" x14ac:dyDescent="0.55000000000000004">
      <c r="A6936"/>
    </row>
    <row r="6937" spans="1:1" x14ac:dyDescent="0.55000000000000004">
      <c r="A6937"/>
    </row>
    <row r="6938" spans="1:1" x14ac:dyDescent="0.55000000000000004">
      <c r="A6938"/>
    </row>
    <row r="6939" spans="1:1" x14ac:dyDescent="0.55000000000000004">
      <c r="A6939"/>
    </row>
    <row r="6940" spans="1:1" x14ac:dyDescent="0.55000000000000004">
      <c r="A6940"/>
    </row>
    <row r="6941" spans="1:1" x14ac:dyDescent="0.55000000000000004">
      <c r="A6941"/>
    </row>
    <row r="6942" spans="1:1" x14ac:dyDescent="0.55000000000000004">
      <c r="A6942"/>
    </row>
    <row r="6943" spans="1:1" x14ac:dyDescent="0.55000000000000004">
      <c r="A6943"/>
    </row>
    <row r="6944" spans="1:1" x14ac:dyDescent="0.55000000000000004">
      <c r="A6944"/>
    </row>
    <row r="6945" spans="1:1" x14ac:dyDescent="0.55000000000000004">
      <c r="A6945"/>
    </row>
    <row r="6946" spans="1:1" x14ac:dyDescent="0.55000000000000004">
      <c r="A6946"/>
    </row>
    <row r="6947" spans="1:1" x14ac:dyDescent="0.55000000000000004">
      <c r="A6947"/>
    </row>
    <row r="6948" spans="1:1" x14ac:dyDescent="0.55000000000000004">
      <c r="A6948"/>
    </row>
    <row r="6949" spans="1:1" x14ac:dyDescent="0.55000000000000004">
      <c r="A6949"/>
    </row>
    <row r="6950" spans="1:1" x14ac:dyDescent="0.55000000000000004">
      <c r="A6950"/>
    </row>
    <row r="6951" spans="1:1" x14ac:dyDescent="0.55000000000000004">
      <c r="A6951"/>
    </row>
    <row r="6952" spans="1:1" x14ac:dyDescent="0.55000000000000004">
      <c r="A6952"/>
    </row>
    <row r="6953" spans="1:1" x14ac:dyDescent="0.55000000000000004">
      <c r="A6953"/>
    </row>
    <row r="6954" spans="1:1" x14ac:dyDescent="0.55000000000000004">
      <c r="A6954"/>
    </row>
    <row r="6955" spans="1:1" x14ac:dyDescent="0.55000000000000004">
      <c r="A6955"/>
    </row>
    <row r="6956" spans="1:1" x14ac:dyDescent="0.55000000000000004">
      <c r="A6956"/>
    </row>
    <row r="6957" spans="1:1" x14ac:dyDescent="0.55000000000000004">
      <c r="A6957"/>
    </row>
    <row r="6958" spans="1:1" x14ac:dyDescent="0.55000000000000004">
      <c r="A6958"/>
    </row>
    <row r="6959" spans="1:1" x14ac:dyDescent="0.55000000000000004">
      <c r="A6959"/>
    </row>
    <row r="6960" spans="1:1" x14ac:dyDescent="0.55000000000000004">
      <c r="A6960"/>
    </row>
    <row r="6961" spans="1:1" x14ac:dyDescent="0.55000000000000004">
      <c r="A6961"/>
    </row>
    <row r="6962" spans="1:1" x14ac:dyDescent="0.55000000000000004">
      <c r="A6962"/>
    </row>
    <row r="6963" spans="1:1" x14ac:dyDescent="0.55000000000000004">
      <c r="A6963"/>
    </row>
    <row r="6964" spans="1:1" x14ac:dyDescent="0.55000000000000004">
      <c r="A6964"/>
    </row>
    <row r="6965" spans="1:1" x14ac:dyDescent="0.55000000000000004">
      <c r="A6965"/>
    </row>
    <row r="6966" spans="1:1" x14ac:dyDescent="0.55000000000000004">
      <c r="A6966"/>
    </row>
    <row r="6967" spans="1:1" x14ac:dyDescent="0.55000000000000004">
      <c r="A6967"/>
    </row>
    <row r="6968" spans="1:1" x14ac:dyDescent="0.55000000000000004">
      <c r="A6968"/>
    </row>
    <row r="6969" spans="1:1" x14ac:dyDescent="0.55000000000000004">
      <c r="A6969"/>
    </row>
    <row r="6970" spans="1:1" x14ac:dyDescent="0.55000000000000004">
      <c r="A6970"/>
    </row>
    <row r="6971" spans="1:1" x14ac:dyDescent="0.55000000000000004">
      <c r="A6971"/>
    </row>
    <row r="6972" spans="1:1" x14ac:dyDescent="0.55000000000000004">
      <c r="A6972"/>
    </row>
    <row r="6973" spans="1:1" x14ac:dyDescent="0.55000000000000004">
      <c r="A6973"/>
    </row>
    <row r="6974" spans="1:1" x14ac:dyDescent="0.55000000000000004">
      <c r="A6974"/>
    </row>
    <row r="6975" spans="1:1" x14ac:dyDescent="0.55000000000000004">
      <c r="A6975"/>
    </row>
    <row r="6976" spans="1:1" x14ac:dyDescent="0.55000000000000004">
      <c r="A6976"/>
    </row>
    <row r="6977" spans="1:1" x14ac:dyDescent="0.55000000000000004">
      <c r="A6977"/>
    </row>
    <row r="6978" spans="1:1" x14ac:dyDescent="0.55000000000000004">
      <c r="A6978"/>
    </row>
    <row r="6979" spans="1:1" x14ac:dyDescent="0.55000000000000004">
      <c r="A6979"/>
    </row>
    <row r="6980" spans="1:1" x14ac:dyDescent="0.55000000000000004">
      <c r="A6980"/>
    </row>
    <row r="6981" spans="1:1" x14ac:dyDescent="0.55000000000000004">
      <c r="A6981"/>
    </row>
    <row r="6982" spans="1:1" x14ac:dyDescent="0.55000000000000004">
      <c r="A6982"/>
    </row>
    <row r="6983" spans="1:1" x14ac:dyDescent="0.55000000000000004">
      <c r="A6983"/>
    </row>
    <row r="6984" spans="1:1" x14ac:dyDescent="0.55000000000000004">
      <c r="A6984"/>
    </row>
    <row r="6985" spans="1:1" x14ac:dyDescent="0.55000000000000004">
      <c r="A6985"/>
    </row>
    <row r="6986" spans="1:1" x14ac:dyDescent="0.55000000000000004">
      <c r="A6986"/>
    </row>
    <row r="6987" spans="1:1" x14ac:dyDescent="0.55000000000000004">
      <c r="A6987"/>
    </row>
    <row r="6988" spans="1:1" x14ac:dyDescent="0.55000000000000004">
      <c r="A6988"/>
    </row>
    <row r="6989" spans="1:1" x14ac:dyDescent="0.55000000000000004">
      <c r="A6989"/>
    </row>
    <row r="6990" spans="1:1" x14ac:dyDescent="0.55000000000000004">
      <c r="A6990"/>
    </row>
    <row r="6991" spans="1:1" x14ac:dyDescent="0.55000000000000004">
      <c r="A6991"/>
    </row>
    <row r="6992" spans="1:1" x14ac:dyDescent="0.55000000000000004">
      <c r="A6992"/>
    </row>
    <row r="6993" spans="1:1" x14ac:dyDescent="0.55000000000000004">
      <c r="A6993"/>
    </row>
    <row r="6994" spans="1:1" x14ac:dyDescent="0.55000000000000004">
      <c r="A6994"/>
    </row>
    <row r="6995" spans="1:1" x14ac:dyDescent="0.55000000000000004">
      <c r="A6995"/>
    </row>
    <row r="6996" spans="1:1" x14ac:dyDescent="0.55000000000000004">
      <c r="A6996"/>
    </row>
    <row r="6997" spans="1:1" x14ac:dyDescent="0.55000000000000004">
      <c r="A6997"/>
    </row>
    <row r="6998" spans="1:1" x14ac:dyDescent="0.55000000000000004">
      <c r="A6998"/>
    </row>
    <row r="6999" spans="1:1" x14ac:dyDescent="0.55000000000000004">
      <c r="A6999"/>
    </row>
    <row r="7000" spans="1:1" x14ac:dyDescent="0.55000000000000004">
      <c r="A7000"/>
    </row>
    <row r="7001" spans="1:1" x14ac:dyDescent="0.55000000000000004">
      <c r="A7001"/>
    </row>
    <row r="7002" spans="1:1" x14ac:dyDescent="0.55000000000000004">
      <c r="A7002"/>
    </row>
    <row r="7003" spans="1:1" x14ac:dyDescent="0.55000000000000004">
      <c r="A7003"/>
    </row>
    <row r="7004" spans="1:1" x14ac:dyDescent="0.55000000000000004">
      <c r="A7004"/>
    </row>
    <row r="7005" spans="1:1" x14ac:dyDescent="0.55000000000000004">
      <c r="A7005"/>
    </row>
    <row r="7006" spans="1:1" x14ac:dyDescent="0.55000000000000004">
      <c r="A7006"/>
    </row>
    <row r="7007" spans="1:1" x14ac:dyDescent="0.55000000000000004">
      <c r="A7007"/>
    </row>
    <row r="7008" spans="1:1" x14ac:dyDescent="0.55000000000000004">
      <c r="A7008"/>
    </row>
    <row r="7009" spans="1:1" x14ac:dyDescent="0.55000000000000004">
      <c r="A7009"/>
    </row>
    <row r="7010" spans="1:1" x14ac:dyDescent="0.55000000000000004">
      <c r="A7010"/>
    </row>
    <row r="7011" spans="1:1" x14ac:dyDescent="0.55000000000000004">
      <c r="A7011"/>
    </row>
    <row r="7012" spans="1:1" x14ac:dyDescent="0.55000000000000004">
      <c r="A7012"/>
    </row>
    <row r="7013" spans="1:1" x14ac:dyDescent="0.55000000000000004">
      <c r="A7013"/>
    </row>
    <row r="7014" spans="1:1" x14ac:dyDescent="0.55000000000000004">
      <c r="A7014"/>
    </row>
    <row r="7015" spans="1:1" x14ac:dyDescent="0.55000000000000004">
      <c r="A7015"/>
    </row>
    <row r="7016" spans="1:1" x14ac:dyDescent="0.55000000000000004">
      <c r="A7016"/>
    </row>
    <row r="7017" spans="1:1" x14ac:dyDescent="0.55000000000000004">
      <c r="A7017"/>
    </row>
    <row r="7018" spans="1:1" x14ac:dyDescent="0.55000000000000004">
      <c r="A7018"/>
    </row>
    <row r="7019" spans="1:1" x14ac:dyDescent="0.55000000000000004">
      <c r="A7019"/>
    </row>
    <row r="7020" spans="1:1" x14ac:dyDescent="0.55000000000000004">
      <c r="A7020"/>
    </row>
    <row r="7021" spans="1:1" x14ac:dyDescent="0.55000000000000004">
      <c r="A7021"/>
    </row>
    <row r="7022" spans="1:1" x14ac:dyDescent="0.55000000000000004">
      <c r="A7022"/>
    </row>
    <row r="7023" spans="1:1" x14ac:dyDescent="0.55000000000000004">
      <c r="A7023"/>
    </row>
    <row r="7024" spans="1:1" x14ac:dyDescent="0.55000000000000004">
      <c r="A7024"/>
    </row>
    <row r="7025" spans="1:1" x14ac:dyDescent="0.55000000000000004">
      <c r="A7025"/>
    </row>
    <row r="7026" spans="1:1" x14ac:dyDescent="0.55000000000000004">
      <c r="A7026"/>
    </row>
    <row r="7027" spans="1:1" x14ac:dyDescent="0.55000000000000004">
      <c r="A7027"/>
    </row>
    <row r="7028" spans="1:1" x14ac:dyDescent="0.55000000000000004">
      <c r="A7028"/>
    </row>
    <row r="7029" spans="1:1" x14ac:dyDescent="0.55000000000000004">
      <c r="A7029"/>
    </row>
    <row r="7030" spans="1:1" x14ac:dyDescent="0.55000000000000004">
      <c r="A7030"/>
    </row>
    <row r="7031" spans="1:1" x14ac:dyDescent="0.55000000000000004">
      <c r="A7031"/>
    </row>
    <row r="7032" spans="1:1" x14ac:dyDescent="0.55000000000000004">
      <c r="A7032"/>
    </row>
    <row r="7033" spans="1:1" x14ac:dyDescent="0.55000000000000004">
      <c r="A7033"/>
    </row>
    <row r="7034" spans="1:1" x14ac:dyDescent="0.55000000000000004">
      <c r="A7034"/>
    </row>
    <row r="7035" spans="1:1" x14ac:dyDescent="0.55000000000000004">
      <c r="A7035"/>
    </row>
    <row r="7036" spans="1:1" x14ac:dyDescent="0.55000000000000004">
      <c r="A7036"/>
    </row>
    <row r="7037" spans="1:1" x14ac:dyDescent="0.55000000000000004">
      <c r="A7037"/>
    </row>
    <row r="7038" spans="1:1" x14ac:dyDescent="0.55000000000000004">
      <c r="A7038"/>
    </row>
    <row r="7039" spans="1:1" x14ac:dyDescent="0.55000000000000004">
      <c r="A7039"/>
    </row>
    <row r="7040" spans="1:1" x14ac:dyDescent="0.55000000000000004">
      <c r="A7040"/>
    </row>
    <row r="7041" spans="1:1" x14ac:dyDescent="0.55000000000000004">
      <c r="A7041"/>
    </row>
    <row r="7042" spans="1:1" x14ac:dyDescent="0.55000000000000004">
      <c r="A7042"/>
    </row>
    <row r="7043" spans="1:1" x14ac:dyDescent="0.55000000000000004">
      <c r="A7043"/>
    </row>
    <row r="7044" spans="1:1" x14ac:dyDescent="0.55000000000000004">
      <c r="A7044"/>
    </row>
    <row r="7045" spans="1:1" x14ac:dyDescent="0.55000000000000004">
      <c r="A7045"/>
    </row>
    <row r="7046" spans="1:1" x14ac:dyDescent="0.55000000000000004">
      <c r="A7046"/>
    </row>
    <row r="7047" spans="1:1" x14ac:dyDescent="0.55000000000000004">
      <c r="A7047"/>
    </row>
    <row r="7048" spans="1:1" x14ac:dyDescent="0.55000000000000004">
      <c r="A7048"/>
    </row>
    <row r="7049" spans="1:1" x14ac:dyDescent="0.55000000000000004">
      <c r="A7049"/>
    </row>
    <row r="7050" spans="1:1" x14ac:dyDescent="0.55000000000000004">
      <c r="A7050"/>
    </row>
    <row r="7051" spans="1:1" x14ac:dyDescent="0.55000000000000004">
      <c r="A7051"/>
    </row>
    <row r="7052" spans="1:1" x14ac:dyDescent="0.55000000000000004">
      <c r="A7052"/>
    </row>
    <row r="7053" spans="1:1" x14ac:dyDescent="0.55000000000000004">
      <c r="A7053"/>
    </row>
    <row r="7054" spans="1:1" x14ac:dyDescent="0.55000000000000004">
      <c r="A7054"/>
    </row>
    <row r="7055" spans="1:1" x14ac:dyDescent="0.55000000000000004">
      <c r="A7055"/>
    </row>
    <row r="7056" spans="1:1" x14ac:dyDescent="0.55000000000000004">
      <c r="A7056"/>
    </row>
    <row r="7057" spans="1:1" x14ac:dyDescent="0.55000000000000004">
      <c r="A7057"/>
    </row>
    <row r="7058" spans="1:1" x14ac:dyDescent="0.55000000000000004">
      <c r="A7058"/>
    </row>
    <row r="7059" spans="1:1" x14ac:dyDescent="0.55000000000000004">
      <c r="A7059"/>
    </row>
    <row r="7060" spans="1:1" x14ac:dyDescent="0.55000000000000004">
      <c r="A7060"/>
    </row>
    <row r="7061" spans="1:1" x14ac:dyDescent="0.55000000000000004">
      <c r="A7061"/>
    </row>
    <row r="7062" spans="1:1" x14ac:dyDescent="0.55000000000000004">
      <c r="A7062"/>
    </row>
    <row r="7063" spans="1:1" x14ac:dyDescent="0.55000000000000004">
      <c r="A7063"/>
    </row>
    <row r="7064" spans="1:1" x14ac:dyDescent="0.55000000000000004">
      <c r="A7064"/>
    </row>
    <row r="7065" spans="1:1" x14ac:dyDescent="0.55000000000000004">
      <c r="A7065"/>
    </row>
    <row r="7066" spans="1:1" x14ac:dyDescent="0.55000000000000004">
      <c r="A7066"/>
    </row>
    <row r="7067" spans="1:1" x14ac:dyDescent="0.55000000000000004">
      <c r="A7067"/>
    </row>
    <row r="7068" spans="1:1" x14ac:dyDescent="0.55000000000000004">
      <c r="A7068"/>
    </row>
    <row r="7069" spans="1:1" x14ac:dyDescent="0.55000000000000004">
      <c r="A7069"/>
    </row>
    <row r="7070" spans="1:1" x14ac:dyDescent="0.55000000000000004">
      <c r="A7070"/>
    </row>
    <row r="7071" spans="1:1" x14ac:dyDescent="0.55000000000000004">
      <c r="A7071"/>
    </row>
    <row r="7072" spans="1:1" x14ac:dyDescent="0.55000000000000004">
      <c r="A7072"/>
    </row>
    <row r="7073" spans="1:1" x14ac:dyDescent="0.55000000000000004">
      <c r="A7073"/>
    </row>
    <row r="7074" spans="1:1" x14ac:dyDescent="0.55000000000000004">
      <c r="A7074"/>
    </row>
    <row r="7075" spans="1:1" x14ac:dyDescent="0.55000000000000004">
      <c r="A7075"/>
    </row>
    <row r="7076" spans="1:1" x14ac:dyDescent="0.55000000000000004">
      <c r="A7076"/>
    </row>
    <row r="7077" spans="1:1" x14ac:dyDescent="0.55000000000000004">
      <c r="A7077"/>
    </row>
    <row r="7078" spans="1:1" x14ac:dyDescent="0.55000000000000004">
      <c r="A7078"/>
    </row>
    <row r="7079" spans="1:1" x14ac:dyDescent="0.55000000000000004">
      <c r="A7079"/>
    </row>
    <row r="7080" spans="1:1" x14ac:dyDescent="0.55000000000000004">
      <c r="A7080"/>
    </row>
    <row r="7081" spans="1:1" x14ac:dyDescent="0.55000000000000004">
      <c r="A7081"/>
    </row>
    <row r="7082" spans="1:1" x14ac:dyDescent="0.55000000000000004">
      <c r="A7082"/>
    </row>
    <row r="7083" spans="1:1" x14ac:dyDescent="0.55000000000000004">
      <c r="A7083"/>
    </row>
    <row r="7084" spans="1:1" x14ac:dyDescent="0.55000000000000004">
      <c r="A7084"/>
    </row>
    <row r="7085" spans="1:1" x14ac:dyDescent="0.55000000000000004">
      <c r="A7085"/>
    </row>
    <row r="7086" spans="1:1" x14ac:dyDescent="0.55000000000000004">
      <c r="A7086"/>
    </row>
    <row r="7087" spans="1:1" x14ac:dyDescent="0.55000000000000004">
      <c r="A7087"/>
    </row>
    <row r="7088" spans="1:1" x14ac:dyDescent="0.55000000000000004">
      <c r="A7088"/>
    </row>
    <row r="7089" spans="1:1" x14ac:dyDescent="0.55000000000000004">
      <c r="A7089"/>
    </row>
    <row r="7090" spans="1:1" x14ac:dyDescent="0.55000000000000004">
      <c r="A7090"/>
    </row>
    <row r="7091" spans="1:1" x14ac:dyDescent="0.55000000000000004">
      <c r="A7091"/>
    </row>
    <row r="7092" spans="1:1" x14ac:dyDescent="0.55000000000000004">
      <c r="A7092"/>
    </row>
    <row r="7093" spans="1:1" x14ac:dyDescent="0.55000000000000004">
      <c r="A7093"/>
    </row>
    <row r="7094" spans="1:1" x14ac:dyDescent="0.55000000000000004">
      <c r="A7094"/>
    </row>
    <row r="7095" spans="1:1" x14ac:dyDescent="0.55000000000000004">
      <c r="A7095"/>
    </row>
    <row r="7096" spans="1:1" x14ac:dyDescent="0.55000000000000004">
      <c r="A7096"/>
    </row>
    <row r="7097" spans="1:1" x14ac:dyDescent="0.55000000000000004">
      <c r="A7097"/>
    </row>
    <row r="7098" spans="1:1" x14ac:dyDescent="0.55000000000000004">
      <c r="A7098"/>
    </row>
    <row r="7099" spans="1:1" x14ac:dyDescent="0.55000000000000004">
      <c r="A7099"/>
    </row>
    <row r="7100" spans="1:1" x14ac:dyDescent="0.55000000000000004">
      <c r="A7100"/>
    </row>
    <row r="7101" spans="1:1" x14ac:dyDescent="0.55000000000000004">
      <c r="A7101"/>
    </row>
    <row r="7102" spans="1:1" x14ac:dyDescent="0.55000000000000004">
      <c r="A7102"/>
    </row>
    <row r="7103" spans="1:1" x14ac:dyDescent="0.55000000000000004">
      <c r="A7103"/>
    </row>
    <row r="7104" spans="1:1" x14ac:dyDescent="0.55000000000000004">
      <c r="A7104"/>
    </row>
    <row r="7105" spans="1:1" x14ac:dyDescent="0.55000000000000004">
      <c r="A7105"/>
    </row>
    <row r="7106" spans="1:1" x14ac:dyDescent="0.55000000000000004">
      <c r="A7106"/>
    </row>
    <row r="7107" spans="1:1" x14ac:dyDescent="0.55000000000000004">
      <c r="A7107"/>
    </row>
    <row r="7108" spans="1:1" x14ac:dyDescent="0.55000000000000004">
      <c r="A7108"/>
    </row>
    <row r="7109" spans="1:1" x14ac:dyDescent="0.55000000000000004">
      <c r="A7109"/>
    </row>
    <row r="7110" spans="1:1" x14ac:dyDescent="0.55000000000000004">
      <c r="A7110"/>
    </row>
    <row r="7111" spans="1:1" x14ac:dyDescent="0.55000000000000004">
      <c r="A7111"/>
    </row>
    <row r="7112" spans="1:1" x14ac:dyDescent="0.55000000000000004">
      <c r="A7112"/>
    </row>
    <row r="7113" spans="1:1" x14ac:dyDescent="0.55000000000000004">
      <c r="A7113"/>
    </row>
    <row r="7114" spans="1:1" x14ac:dyDescent="0.55000000000000004">
      <c r="A7114"/>
    </row>
    <row r="7115" spans="1:1" x14ac:dyDescent="0.55000000000000004">
      <c r="A7115"/>
    </row>
    <row r="7116" spans="1:1" x14ac:dyDescent="0.55000000000000004">
      <c r="A7116"/>
    </row>
    <row r="7117" spans="1:1" x14ac:dyDescent="0.55000000000000004">
      <c r="A7117"/>
    </row>
    <row r="7118" spans="1:1" x14ac:dyDescent="0.55000000000000004">
      <c r="A7118"/>
    </row>
    <row r="7119" spans="1:1" x14ac:dyDescent="0.55000000000000004">
      <c r="A7119"/>
    </row>
    <row r="7120" spans="1:1" x14ac:dyDescent="0.55000000000000004">
      <c r="A7120"/>
    </row>
    <row r="7121" spans="1:1" x14ac:dyDescent="0.55000000000000004">
      <c r="A7121"/>
    </row>
    <row r="7122" spans="1:1" x14ac:dyDescent="0.55000000000000004">
      <c r="A7122"/>
    </row>
    <row r="7123" spans="1:1" x14ac:dyDescent="0.55000000000000004">
      <c r="A7123"/>
    </row>
    <row r="7124" spans="1:1" x14ac:dyDescent="0.55000000000000004">
      <c r="A7124"/>
    </row>
    <row r="7125" spans="1:1" x14ac:dyDescent="0.55000000000000004">
      <c r="A7125"/>
    </row>
    <row r="7126" spans="1:1" x14ac:dyDescent="0.55000000000000004">
      <c r="A7126"/>
    </row>
    <row r="7127" spans="1:1" x14ac:dyDescent="0.55000000000000004">
      <c r="A7127"/>
    </row>
    <row r="7128" spans="1:1" x14ac:dyDescent="0.55000000000000004">
      <c r="A7128"/>
    </row>
    <row r="7129" spans="1:1" x14ac:dyDescent="0.55000000000000004">
      <c r="A7129"/>
    </row>
    <row r="7130" spans="1:1" x14ac:dyDescent="0.55000000000000004">
      <c r="A7130"/>
    </row>
    <row r="7131" spans="1:1" x14ac:dyDescent="0.55000000000000004">
      <c r="A7131"/>
    </row>
    <row r="7132" spans="1:1" x14ac:dyDescent="0.55000000000000004">
      <c r="A7132"/>
    </row>
    <row r="7133" spans="1:1" x14ac:dyDescent="0.55000000000000004">
      <c r="A7133"/>
    </row>
    <row r="7134" spans="1:1" x14ac:dyDescent="0.55000000000000004">
      <c r="A7134"/>
    </row>
    <row r="7135" spans="1:1" x14ac:dyDescent="0.55000000000000004">
      <c r="A7135"/>
    </row>
    <row r="7136" spans="1:1" x14ac:dyDescent="0.55000000000000004">
      <c r="A7136"/>
    </row>
    <row r="7137" spans="1:1" x14ac:dyDescent="0.55000000000000004">
      <c r="A7137"/>
    </row>
    <row r="7138" spans="1:1" x14ac:dyDescent="0.55000000000000004">
      <c r="A7138"/>
    </row>
    <row r="7139" spans="1:1" x14ac:dyDescent="0.55000000000000004">
      <c r="A7139"/>
    </row>
    <row r="7140" spans="1:1" x14ac:dyDescent="0.55000000000000004">
      <c r="A7140"/>
    </row>
    <row r="7141" spans="1:1" x14ac:dyDescent="0.55000000000000004">
      <c r="A7141"/>
    </row>
    <row r="7142" spans="1:1" x14ac:dyDescent="0.55000000000000004">
      <c r="A7142"/>
    </row>
    <row r="7143" spans="1:1" x14ac:dyDescent="0.55000000000000004">
      <c r="A7143"/>
    </row>
    <row r="7144" spans="1:1" x14ac:dyDescent="0.55000000000000004">
      <c r="A7144"/>
    </row>
    <row r="7145" spans="1:1" x14ac:dyDescent="0.55000000000000004">
      <c r="A7145"/>
    </row>
    <row r="7146" spans="1:1" x14ac:dyDescent="0.55000000000000004">
      <c r="A7146"/>
    </row>
    <row r="7147" spans="1:1" x14ac:dyDescent="0.55000000000000004">
      <c r="A7147"/>
    </row>
    <row r="7148" spans="1:1" x14ac:dyDescent="0.55000000000000004">
      <c r="A7148"/>
    </row>
    <row r="7149" spans="1:1" x14ac:dyDescent="0.55000000000000004">
      <c r="A7149"/>
    </row>
    <row r="7150" spans="1:1" x14ac:dyDescent="0.55000000000000004">
      <c r="A7150"/>
    </row>
    <row r="7151" spans="1:1" x14ac:dyDescent="0.55000000000000004">
      <c r="A7151"/>
    </row>
    <row r="7152" spans="1:1" x14ac:dyDescent="0.55000000000000004">
      <c r="A7152"/>
    </row>
    <row r="7153" spans="1:1" x14ac:dyDescent="0.55000000000000004">
      <c r="A7153"/>
    </row>
    <row r="7154" spans="1:1" x14ac:dyDescent="0.55000000000000004">
      <c r="A7154"/>
    </row>
    <row r="7155" spans="1:1" x14ac:dyDescent="0.55000000000000004">
      <c r="A7155"/>
    </row>
    <row r="7156" spans="1:1" x14ac:dyDescent="0.55000000000000004">
      <c r="A7156"/>
    </row>
    <row r="7157" spans="1:1" x14ac:dyDescent="0.55000000000000004">
      <c r="A7157"/>
    </row>
    <row r="7158" spans="1:1" x14ac:dyDescent="0.55000000000000004">
      <c r="A7158"/>
    </row>
    <row r="7159" spans="1:1" x14ac:dyDescent="0.55000000000000004">
      <c r="A7159"/>
    </row>
    <row r="7160" spans="1:1" x14ac:dyDescent="0.55000000000000004">
      <c r="A7160"/>
    </row>
    <row r="7161" spans="1:1" x14ac:dyDescent="0.55000000000000004">
      <c r="A7161"/>
    </row>
    <row r="7162" spans="1:1" x14ac:dyDescent="0.55000000000000004">
      <c r="A7162"/>
    </row>
    <row r="7163" spans="1:1" x14ac:dyDescent="0.55000000000000004">
      <c r="A7163"/>
    </row>
    <row r="7164" spans="1:1" x14ac:dyDescent="0.55000000000000004">
      <c r="A7164"/>
    </row>
    <row r="7165" spans="1:1" x14ac:dyDescent="0.55000000000000004">
      <c r="A7165"/>
    </row>
    <row r="7166" spans="1:1" x14ac:dyDescent="0.55000000000000004">
      <c r="A7166"/>
    </row>
    <row r="7167" spans="1:1" x14ac:dyDescent="0.55000000000000004">
      <c r="A7167"/>
    </row>
    <row r="7168" spans="1:1" x14ac:dyDescent="0.55000000000000004">
      <c r="A7168"/>
    </row>
    <row r="7169" spans="1:1" x14ac:dyDescent="0.55000000000000004">
      <c r="A7169"/>
    </row>
    <row r="7170" spans="1:1" x14ac:dyDescent="0.55000000000000004">
      <c r="A7170"/>
    </row>
    <row r="7171" spans="1:1" x14ac:dyDescent="0.55000000000000004">
      <c r="A7171"/>
    </row>
    <row r="7172" spans="1:1" x14ac:dyDescent="0.55000000000000004">
      <c r="A7172"/>
    </row>
    <row r="7173" spans="1:1" x14ac:dyDescent="0.55000000000000004">
      <c r="A7173"/>
    </row>
    <row r="7174" spans="1:1" x14ac:dyDescent="0.55000000000000004">
      <c r="A7174"/>
    </row>
    <row r="7175" spans="1:1" x14ac:dyDescent="0.55000000000000004">
      <c r="A7175"/>
    </row>
    <row r="7176" spans="1:1" x14ac:dyDescent="0.55000000000000004">
      <c r="A7176"/>
    </row>
    <row r="7177" spans="1:1" x14ac:dyDescent="0.55000000000000004">
      <c r="A7177"/>
    </row>
    <row r="7178" spans="1:1" x14ac:dyDescent="0.55000000000000004">
      <c r="A7178"/>
    </row>
    <row r="7179" spans="1:1" x14ac:dyDescent="0.55000000000000004">
      <c r="A7179"/>
    </row>
    <row r="7180" spans="1:1" x14ac:dyDescent="0.55000000000000004">
      <c r="A7180"/>
    </row>
    <row r="7181" spans="1:1" x14ac:dyDescent="0.55000000000000004">
      <c r="A7181"/>
    </row>
    <row r="7182" spans="1:1" x14ac:dyDescent="0.55000000000000004">
      <c r="A7182"/>
    </row>
    <row r="7183" spans="1:1" x14ac:dyDescent="0.55000000000000004">
      <c r="A7183"/>
    </row>
    <row r="7184" spans="1:1" x14ac:dyDescent="0.55000000000000004">
      <c r="A7184"/>
    </row>
    <row r="7185" spans="1:1" x14ac:dyDescent="0.55000000000000004">
      <c r="A7185"/>
    </row>
    <row r="7186" spans="1:1" x14ac:dyDescent="0.55000000000000004">
      <c r="A7186"/>
    </row>
    <row r="7187" spans="1:1" x14ac:dyDescent="0.55000000000000004">
      <c r="A7187"/>
    </row>
    <row r="7188" spans="1:1" x14ac:dyDescent="0.55000000000000004">
      <c r="A7188"/>
    </row>
    <row r="7189" spans="1:1" x14ac:dyDescent="0.55000000000000004">
      <c r="A7189"/>
    </row>
    <row r="7190" spans="1:1" x14ac:dyDescent="0.55000000000000004">
      <c r="A7190"/>
    </row>
    <row r="7191" spans="1:1" x14ac:dyDescent="0.55000000000000004">
      <c r="A7191"/>
    </row>
    <row r="7192" spans="1:1" x14ac:dyDescent="0.55000000000000004">
      <c r="A7192"/>
    </row>
    <row r="7193" spans="1:1" x14ac:dyDescent="0.55000000000000004">
      <c r="A7193"/>
    </row>
    <row r="7194" spans="1:1" x14ac:dyDescent="0.55000000000000004">
      <c r="A7194"/>
    </row>
    <row r="7195" spans="1:1" x14ac:dyDescent="0.55000000000000004">
      <c r="A7195"/>
    </row>
    <row r="7196" spans="1:1" x14ac:dyDescent="0.55000000000000004">
      <c r="A7196"/>
    </row>
    <row r="7197" spans="1:1" x14ac:dyDescent="0.55000000000000004">
      <c r="A7197"/>
    </row>
    <row r="7198" spans="1:1" x14ac:dyDescent="0.55000000000000004">
      <c r="A7198"/>
    </row>
    <row r="7199" spans="1:1" x14ac:dyDescent="0.55000000000000004">
      <c r="A7199"/>
    </row>
    <row r="7200" spans="1:1" x14ac:dyDescent="0.55000000000000004">
      <c r="A7200"/>
    </row>
    <row r="7201" spans="1:1" x14ac:dyDescent="0.55000000000000004">
      <c r="A7201"/>
    </row>
    <row r="7202" spans="1:1" x14ac:dyDescent="0.55000000000000004">
      <c r="A7202"/>
    </row>
    <row r="7203" spans="1:1" x14ac:dyDescent="0.55000000000000004">
      <c r="A7203"/>
    </row>
    <row r="7204" spans="1:1" x14ac:dyDescent="0.55000000000000004">
      <c r="A7204"/>
    </row>
    <row r="7205" spans="1:1" x14ac:dyDescent="0.55000000000000004">
      <c r="A7205"/>
    </row>
    <row r="7206" spans="1:1" x14ac:dyDescent="0.55000000000000004">
      <c r="A7206"/>
    </row>
    <row r="7207" spans="1:1" x14ac:dyDescent="0.55000000000000004">
      <c r="A7207"/>
    </row>
    <row r="7208" spans="1:1" x14ac:dyDescent="0.55000000000000004">
      <c r="A7208"/>
    </row>
    <row r="7209" spans="1:1" x14ac:dyDescent="0.55000000000000004">
      <c r="A7209"/>
    </row>
    <row r="7210" spans="1:1" x14ac:dyDescent="0.55000000000000004">
      <c r="A7210"/>
    </row>
    <row r="7211" spans="1:1" x14ac:dyDescent="0.55000000000000004">
      <c r="A7211"/>
    </row>
    <row r="7212" spans="1:1" x14ac:dyDescent="0.55000000000000004">
      <c r="A7212"/>
    </row>
    <row r="7213" spans="1:1" x14ac:dyDescent="0.55000000000000004">
      <c r="A7213"/>
    </row>
    <row r="7214" spans="1:1" x14ac:dyDescent="0.55000000000000004">
      <c r="A7214"/>
    </row>
    <row r="7215" spans="1:1" x14ac:dyDescent="0.55000000000000004">
      <c r="A7215"/>
    </row>
    <row r="7216" spans="1:1" x14ac:dyDescent="0.55000000000000004">
      <c r="A7216"/>
    </row>
    <row r="7217" spans="1:1" x14ac:dyDescent="0.55000000000000004">
      <c r="A7217"/>
    </row>
    <row r="7218" spans="1:1" x14ac:dyDescent="0.55000000000000004">
      <c r="A7218"/>
    </row>
    <row r="7219" spans="1:1" x14ac:dyDescent="0.55000000000000004">
      <c r="A7219"/>
    </row>
    <row r="7220" spans="1:1" x14ac:dyDescent="0.55000000000000004">
      <c r="A7220"/>
    </row>
    <row r="7221" spans="1:1" x14ac:dyDescent="0.55000000000000004">
      <c r="A7221"/>
    </row>
    <row r="7222" spans="1:1" x14ac:dyDescent="0.55000000000000004">
      <c r="A7222"/>
    </row>
    <row r="7223" spans="1:1" x14ac:dyDescent="0.55000000000000004">
      <c r="A7223"/>
    </row>
    <row r="7224" spans="1:1" x14ac:dyDescent="0.55000000000000004">
      <c r="A7224"/>
    </row>
    <row r="7225" spans="1:1" x14ac:dyDescent="0.55000000000000004">
      <c r="A7225"/>
    </row>
    <row r="7226" spans="1:1" x14ac:dyDescent="0.55000000000000004">
      <c r="A7226"/>
    </row>
    <row r="7227" spans="1:1" x14ac:dyDescent="0.55000000000000004">
      <c r="A7227"/>
    </row>
    <row r="7228" spans="1:1" x14ac:dyDescent="0.55000000000000004">
      <c r="A7228"/>
    </row>
    <row r="7229" spans="1:1" x14ac:dyDescent="0.55000000000000004">
      <c r="A7229"/>
    </row>
    <row r="7230" spans="1:1" x14ac:dyDescent="0.55000000000000004">
      <c r="A7230"/>
    </row>
    <row r="7231" spans="1:1" x14ac:dyDescent="0.55000000000000004">
      <c r="A7231"/>
    </row>
    <row r="7232" spans="1:1" x14ac:dyDescent="0.55000000000000004">
      <c r="A7232"/>
    </row>
    <row r="7233" spans="1:1" x14ac:dyDescent="0.55000000000000004">
      <c r="A7233"/>
    </row>
    <row r="7234" spans="1:1" x14ac:dyDescent="0.55000000000000004">
      <c r="A7234"/>
    </row>
    <row r="7235" spans="1:1" x14ac:dyDescent="0.55000000000000004">
      <c r="A7235"/>
    </row>
    <row r="7236" spans="1:1" x14ac:dyDescent="0.55000000000000004">
      <c r="A7236"/>
    </row>
    <row r="7237" spans="1:1" x14ac:dyDescent="0.55000000000000004">
      <c r="A7237"/>
    </row>
    <row r="7238" spans="1:1" x14ac:dyDescent="0.55000000000000004">
      <c r="A7238"/>
    </row>
    <row r="7239" spans="1:1" x14ac:dyDescent="0.55000000000000004">
      <c r="A7239"/>
    </row>
    <row r="7240" spans="1:1" x14ac:dyDescent="0.55000000000000004">
      <c r="A7240"/>
    </row>
    <row r="7241" spans="1:1" x14ac:dyDescent="0.55000000000000004">
      <c r="A7241"/>
    </row>
    <row r="7242" spans="1:1" x14ac:dyDescent="0.55000000000000004">
      <c r="A7242"/>
    </row>
    <row r="7243" spans="1:1" x14ac:dyDescent="0.55000000000000004">
      <c r="A7243"/>
    </row>
    <row r="7244" spans="1:1" x14ac:dyDescent="0.55000000000000004">
      <c r="A7244"/>
    </row>
    <row r="7245" spans="1:1" x14ac:dyDescent="0.55000000000000004">
      <c r="A7245"/>
    </row>
    <row r="7246" spans="1:1" x14ac:dyDescent="0.55000000000000004">
      <c r="A7246"/>
    </row>
    <row r="7247" spans="1:1" x14ac:dyDescent="0.55000000000000004">
      <c r="A7247"/>
    </row>
    <row r="7248" spans="1:1" x14ac:dyDescent="0.55000000000000004">
      <c r="A7248"/>
    </row>
    <row r="7249" spans="1:1" x14ac:dyDescent="0.55000000000000004">
      <c r="A7249"/>
    </row>
    <row r="7250" spans="1:1" x14ac:dyDescent="0.55000000000000004">
      <c r="A7250"/>
    </row>
    <row r="7251" spans="1:1" x14ac:dyDescent="0.55000000000000004">
      <c r="A7251"/>
    </row>
    <row r="7252" spans="1:1" x14ac:dyDescent="0.55000000000000004">
      <c r="A7252"/>
    </row>
    <row r="7253" spans="1:1" x14ac:dyDescent="0.55000000000000004">
      <c r="A7253"/>
    </row>
    <row r="7254" spans="1:1" x14ac:dyDescent="0.55000000000000004">
      <c r="A7254"/>
    </row>
    <row r="7255" spans="1:1" x14ac:dyDescent="0.55000000000000004">
      <c r="A7255"/>
    </row>
    <row r="7256" spans="1:1" x14ac:dyDescent="0.55000000000000004">
      <c r="A7256"/>
    </row>
    <row r="7257" spans="1:1" x14ac:dyDescent="0.55000000000000004">
      <c r="A7257"/>
    </row>
    <row r="7258" spans="1:1" x14ac:dyDescent="0.55000000000000004">
      <c r="A7258"/>
    </row>
    <row r="7259" spans="1:1" x14ac:dyDescent="0.55000000000000004">
      <c r="A7259"/>
    </row>
    <row r="7260" spans="1:1" x14ac:dyDescent="0.55000000000000004">
      <c r="A7260"/>
    </row>
    <row r="7261" spans="1:1" x14ac:dyDescent="0.55000000000000004">
      <c r="A7261"/>
    </row>
    <row r="7262" spans="1:1" x14ac:dyDescent="0.55000000000000004">
      <c r="A7262"/>
    </row>
    <row r="7263" spans="1:1" x14ac:dyDescent="0.55000000000000004">
      <c r="A7263"/>
    </row>
    <row r="7264" spans="1:1" x14ac:dyDescent="0.55000000000000004">
      <c r="A7264"/>
    </row>
    <row r="7265" spans="1:1" x14ac:dyDescent="0.55000000000000004">
      <c r="A7265"/>
    </row>
    <row r="7266" spans="1:1" x14ac:dyDescent="0.55000000000000004">
      <c r="A7266"/>
    </row>
    <row r="7267" spans="1:1" x14ac:dyDescent="0.55000000000000004">
      <c r="A7267"/>
    </row>
    <row r="7268" spans="1:1" x14ac:dyDescent="0.55000000000000004">
      <c r="A7268"/>
    </row>
    <row r="7269" spans="1:1" x14ac:dyDescent="0.55000000000000004">
      <c r="A7269"/>
    </row>
    <row r="7270" spans="1:1" x14ac:dyDescent="0.55000000000000004">
      <c r="A7270"/>
    </row>
    <row r="7271" spans="1:1" x14ac:dyDescent="0.55000000000000004">
      <c r="A7271"/>
    </row>
    <row r="7272" spans="1:1" x14ac:dyDescent="0.55000000000000004">
      <c r="A7272"/>
    </row>
    <row r="7273" spans="1:1" x14ac:dyDescent="0.55000000000000004">
      <c r="A7273"/>
    </row>
    <row r="7274" spans="1:1" x14ac:dyDescent="0.55000000000000004">
      <c r="A7274"/>
    </row>
    <row r="7275" spans="1:1" x14ac:dyDescent="0.55000000000000004">
      <c r="A7275"/>
    </row>
    <row r="7276" spans="1:1" x14ac:dyDescent="0.55000000000000004">
      <c r="A7276"/>
    </row>
    <row r="7277" spans="1:1" x14ac:dyDescent="0.55000000000000004">
      <c r="A7277"/>
    </row>
    <row r="7278" spans="1:1" x14ac:dyDescent="0.55000000000000004">
      <c r="A7278"/>
    </row>
    <row r="7279" spans="1:1" x14ac:dyDescent="0.55000000000000004">
      <c r="A7279"/>
    </row>
    <row r="7280" spans="1:1" x14ac:dyDescent="0.55000000000000004">
      <c r="A7280"/>
    </row>
    <row r="7281" spans="1:1" x14ac:dyDescent="0.55000000000000004">
      <c r="A7281"/>
    </row>
    <row r="7282" spans="1:1" x14ac:dyDescent="0.55000000000000004">
      <c r="A7282"/>
    </row>
    <row r="7283" spans="1:1" x14ac:dyDescent="0.55000000000000004">
      <c r="A7283"/>
    </row>
    <row r="7284" spans="1:1" x14ac:dyDescent="0.55000000000000004">
      <c r="A7284"/>
    </row>
    <row r="7285" spans="1:1" x14ac:dyDescent="0.55000000000000004">
      <c r="A7285"/>
    </row>
    <row r="7286" spans="1:1" x14ac:dyDescent="0.55000000000000004">
      <c r="A7286"/>
    </row>
    <row r="7287" spans="1:1" x14ac:dyDescent="0.55000000000000004">
      <c r="A7287"/>
    </row>
    <row r="7288" spans="1:1" x14ac:dyDescent="0.55000000000000004">
      <c r="A7288"/>
    </row>
    <row r="7289" spans="1:1" x14ac:dyDescent="0.55000000000000004">
      <c r="A7289"/>
    </row>
    <row r="7290" spans="1:1" x14ac:dyDescent="0.55000000000000004">
      <c r="A7290"/>
    </row>
    <row r="7291" spans="1:1" x14ac:dyDescent="0.55000000000000004">
      <c r="A7291"/>
    </row>
    <row r="7292" spans="1:1" x14ac:dyDescent="0.55000000000000004">
      <c r="A7292"/>
    </row>
    <row r="7293" spans="1:1" x14ac:dyDescent="0.55000000000000004">
      <c r="A7293"/>
    </row>
    <row r="7294" spans="1:1" x14ac:dyDescent="0.55000000000000004">
      <c r="A7294"/>
    </row>
    <row r="7295" spans="1:1" x14ac:dyDescent="0.55000000000000004">
      <c r="A7295"/>
    </row>
    <row r="7296" spans="1:1" x14ac:dyDescent="0.55000000000000004">
      <c r="A7296"/>
    </row>
    <row r="7297" spans="1:1" x14ac:dyDescent="0.55000000000000004">
      <c r="A7297"/>
    </row>
    <row r="7298" spans="1:1" x14ac:dyDescent="0.55000000000000004">
      <c r="A7298"/>
    </row>
    <row r="7299" spans="1:1" x14ac:dyDescent="0.55000000000000004">
      <c r="A7299"/>
    </row>
    <row r="7300" spans="1:1" x14ac:dyDescent="0.55000000000000004">
      <c r="A7300"/>
    </row>
    <row r="7301" spans="1:1" x14ac:dyDescent="0.55000000000000004">
      <c r="A7301"/>
    </row>
    <row r="7302" spans="1:1" x14ac:dyDescent="0.55000000000000004">
      <c r="A7302"/>
    </row>
    <row r="7303" spans="1:1" x14ac:dyDescent="0.55000000000000004">
      <c r="A7303"/>
    </row>
    <row r="7304" spans="1:1" x14ac:dyDescent="0.55000000000000004">
      <c r="A7304"/>
    </row>
    <row r="7305" spans="1:1" x14ac:dyDescent="0.55000000000000004">
      <c r="A7305"/>
    </row>
    <row r="7306" spans="1:1" x14ac:dyDescent="0.55000000000000004">
      <c r="A7306"/>
    </row>
    <row r="7307" spans="1:1" x14ac:dyDescent="0.55000000000000004">
      <c r="A7307"/>
    </row>
    <row r="7308" spans="1:1" x14ac:dyDescent="0.55000000000000004">
      <c r="A7308"/>
    </row>
    <row r="7309" spans="1:1" x14ac:dyDescent="0.55000000000000004">
      <c r="A7309"/>
    </row>
    <row r="7310" spans="1:1" x14ac:dyDescent="0.55000000000000004">
      <c r="A7310"/>
    </row>
    <row r="7311" spans="1:1" x14ac:dyDescent="0.55000000000000004">
      <c r="A7311"/>
    </row>
    <row r="7312" spans="1:1" x14ac:dyDescent="0.55000000000000004">
      <c r="A7312"/>
    </row>
    <row r="7313" spans="1:1" x14ac:dyDescent="0.55000000000000004">
      <c r="A7313"/>
    </row>
    <row r="7314" spans="1:1" x14ac:dyDescent="0.55000000000000004">
      <c r="A7314"/>
    </row>
    <row r="7315" spans="1:1" x14ac:dyDescent="0.55000000000000004">
      <c r="A7315"/>
    </row>
    <row r="7316" spans="1:1" x14ac:dyDescent="0.55000000000000004">
      <c r="A7316"/>
    </row>
    <row r="7317" spans="1:1" x14ac:dyDescent="0.55000000000000004">
      <c r="A7317"/>
    </row>
    <row r="7318" spans="1:1" x14ac:dyDescent="0.55000000000000004">
      <c r="A7318"/>
    </row>
    <row r="7319" spans="1:1" x14ac:dyDescent="0.55000000000000004">
      <c r="A7319"/>
    </row>
    <row r="7320" spans="1:1" x14ac:dyDescent="0.55000000000000004">
      <c r="A7320"/>
    </row>
    <row r="7321" spans="1:1" x14ac:dyDescent="0.55000000000000004">
      <c r="A7321"/>
    </row>
    <row r="7322" spans="1:1" x14ac:dyDescent="0.55000000000000004">
      <c r="A7322"/>
    </row>
    <row r="7323" spans="1:1" x14ac:dyDescent="0.55000000000000004">
      <c r="A7323"/>
    </row>
    <row r="7324" spans="1:1" x14ac:dyDescent="0.55000000000000004">
      <c r="A7324"/>
    </row>
    <row r="7325" spans="1:1" x14ac:dyDescent="0.55000000000000004">
      <c r="A7325"/>
    </row>
    <row r="7326" spans="1:1" x14ac:dyDescent="0.55000000000000004">
      <c r="A7326"/>
    </row>
    <row r="7327" spans="1:1" x14ac:dyDescent="0.55000000000000004">
      <c r="A7327"/>
    </row>
    <row r="7328" spans="1:1" x14ac:dyDescent="0.55000000000000004">
      <c r="A7328"/>
    </row>
    <row r="7329" spans="1:1" x14ac:dyDescent="0.55000000000000004">
      <c r="A7329"/>
    </row>
    <row r="7330" spans="1:1" x14ac:dyDescent="0.55000000000000004">
      <c r="A7330"/>
    </row>
    <row r="7331" spans="1:1" x14ac:dyDescent="0.55000000000000004">
      <c r="A7331"/>
    </row>
    <row r="7332" spans="1:1" x14ac:dyDescent="0.55000000000000004">
      <c r="A7332"/>
    </row>
    <row r="7333" spans="1:1" x14ac:dyDescent="0.55000000000000004">
      <c r="A7333"/>
    </row>
    <row r="7334" spans="1:1" x14ac:dyDescent="0.55000000000000004">
      <c r="A7334"/>
    </row>
    <row r="7335" spans="1:1" x14ac:dyDescent="0.55000000000000004">
      <c r="A7335"/>
    </row>
    <row r="7336" spans="1:1" x14ac:dyDescent="0.55000000000000004">
      <c r="A7336"/>
    </row>
    <row r="7337" spans="1:1" x14ac:dyDescent="0.55000000000000004">
      <c r="A7337"/>
    </row>
    <row r="7338" spans="1:1" x14ac:dyDescent="0.55000000000000004">
      <c r="A7338"/>
    </row>
    <row r="7339" spans="1:1" x14ac:dyDescent="0.55000000000000004">
      <c r="A7339"/>
    </row>
    <row r="7340" spans="1:1" x14ac:dyDescent="0.55000000000000004">
      <c r="A7340"/>
    </row>
    <row r="7341" spans="1:1" x14ac:dyDescent="0.55000000000000004">
      <c r="A7341"/>
    </row>
    <row r="7342" spans="1:1" x14ac:dyDescent="0.55000000000000004">
      <c r="A7342"/>
    </row>
    <row r="7343" spans="1:1" x14ac:dyDescent="0.55000000000000004">
      <c r="A7343"/>
    </row>
    <row r="7344" spans="1:1" x14ac:dyDescent="0.55000000000000004">
      <c r="A7344"/>
    </row>
    <row r="7345" spans="1:1" x14ac:dyDescent="0.55000000000000004">
      <c r="A7345"/>
    </row>
    <row r="7346" spans="1:1" x14ac:dyDescent="0.55000000000000004">
      <c r="A7346"/>
    </row>
    <row r="7347" spans="1:1" x14ac:dyDescent="0.55000000000000004">
      <c r="A7347"/>
    </row>
    <row r="7348" spans="1:1" x14ac:dyDescent="0.55000000000000004">
      <c r="A7348"/>
    </row>
    <row r="7349" spans="1:1" x14ac:dyDescent="0.55000000000000004">
      <c r="A7349"/>
    </row>
    <row r="7350" spans="1:1" x14ac:dyDescent="0.55000000000000004">
      <c r="A7350"/>
    </row>
    <row r="7351" spans="1:1" x14ac:dyDescent="0.55000000000000004">
      <c r="A7351"/>
    </row>
    <row r="7352" spans="1:1" x14ac:dyDescent="0.55000000000000004">
      <c r="A7352"/>
    </row>
    <row r="7353" spans="1:1" x14ac:dyDescent="0.55000000000000004">
      <c r="A7353"/>
    </row>
    <row r="7354" spans="1:1" x14ac:dyDescent="0.55000000000000004">
      <c r="A7354"/>
    </row>
    <row r="7355" spans="1:1" x14ac:dyDescent="0.55000000000000004">
      <c r="A7355"/>
    </row>
    <row r="7356" spans="1:1" x14ac:dyDescent="0.55000000000000004">
      <c r="A7356"/>
    </row>
    <row r="7357" spans="1:1" x14ac:dyDescent="0.55000000000000004">
      <c r="A7357"/>
    </row>
    <row r="7358" spans="1:1" x14ac:dyDescent="0.55000000000000004">
      <c r="A7358"/>
    </row>
    <row r="7359" spans="1:1" x14ac:dyDescent="0.55000000000000004">
      <c r="A7359"/>
    </row>
    <row r="7360" spans="1:1" x14ac:dyDescent="0.55000000000000004">
      <c r="A7360"/>
    </row>
    <row r="7361" spans="1:1" x14ac:dyDescent="0.55000000000000004">
      <c r="A7361"/>
    </row>
    <row r="7362" spans="1:1" x14ac:dyDescent="0.55000000000000004">
      <c r="A7362"/>
    </row>
    <row r="7363" spans="1:1" x14ac:dyDescent="0.55000000000000004">
      <c r="A7363"/>
    </row>
    <row r="7364" spans="1:1" x14ac:dyDescent="0.55000000000000004">
      <c r="A7364"/>
    </row>
    <row r="7365" spans="1:1" x14ac:dyDescent="0.55000000000000004">
      <c r="A7365"/>
    </row>
    <row r="7366" spans="1:1" x14ac:dyDescent="0.55000000000000004">
      <c r="A7366"/>
    </row>
    <row r="7367" spans="1:1" x14ac:dyDescent="0.55000000000000004">
      <c r="A7367"/>
    </row>
    <row r="7368" spans="1:1" x14ac:dyDescent="0.55000000000000004">
      <c r="A7368"/>
    </row>
    <row r="7369" spans="1:1" x14ac:dyDescent="0.55000000000000004">
      <c r="A7369"/>
    </row>
    <row r="7370" spans="1:1" x14ac:dyDescent="0.55000000000000004">
      <c r="A7370"/>
    </row>
    <row r="7371" spans="1:1" x14ac:dyDescent="0.55000000000000004">
      <c r="A7371"/>
    </row>
    <row r="7372" spans="1:1" x14ac:dyDescent="0.55000000000000004">
      <c r="A7372"/>
    </row>
    <row r="7373" spans="1:1" x14ac:dyDescent="0.55000000000000004">
      <c r="A7373"/>
    </row>
    <row r="7374" spans="1:1" x14ac:dyDescent="0.55000000000000004">
      <c r="A7374"/>
    </row>
    <row r="7375" spans="1:1" x14ac:dyDescent="0.55000000000000004">
      <c r="A7375"/>
    </row>
    <row r="7376" spans="1:1" x14ac:dyDescent="0.55000000000000004">
      <c r="A7376"/>
    </row>
    <row r="7377" spans="1:1" x14ac:dyDescent="0.55000000000000004">
      <c r="A7377"/>
    </row>
    <row r="7378" spans="1:1" x14ac:dyDescent="0.55000000000000004">
      <c r="A7378"/>
    </row>
    <row r="7379" spans="1:1" x14ac:dyDescent="0.55000000000000004">
      <c r="A7379"/>
    </row>
    <row r="7380" spans="1:1" x14ac:dyDescent="0.55000000000000004">
      <c r="A7380"/>
    </row>
    <row r="7381" spans="1:1" x14ac:dyDescent="0.55000000000000004">
      <c r="A7381"/>
    </row>
    <row r="7382" spans="1:1" x14ac:dyDescent="0.55000000000000004">
      <c r="A7382"/>
    </row>
    <row r="7383" spans="1:1" x14ac:dyDescent="0.55000000000000004">
      <c r="A7383"/>
    </row>
    <row r="7384" spans="1:1" x14ac:dyDescent="0.55000000000000004">
      <c r="A7384"/>
    </row>
    <row r="7385" spans="1:1" x14ac:dyDescent="0.55000000000000004">
      <c r="A7385"/>
    </row>
    <row r="7386" spans="1:1" x14ac:dyDescent="0.55000000000000004">
      <c r="A7386"/>
    </row>
    <row r="7387" spans="1:1" x14ac:dyDescent="0.55000000000000004">
      <c r="A7387"/>
    </row>
    <row r="7388" spans="1:1" x14ac:dyDescent="0.55000000000000004">
      <c r="A7388"/>
    </row>
    <row r="7389" spans="1:1" x14ac:dyDescent="0.55000000000000004">
      <c r="A7389"/>
    </row>
    <row r="7390" spans="1:1" x14ac:dyDescent="0.55000000000000004">
      <c r="A7390"/>
    </row>
    <row r="7391" spans="1:1" x14ac:dyDescent="0.55000000000000004">
      <c r="A7391"/>
    </row>
    <row r="7392" spans="1:1" x14ac:dyDescent="0.55000000000000004">
      <c r="A7392"/>
    </row>
    <row r="7393" spans="1:1" x14ac:dyDescent="0.55000000000000004">
      <c r="A7393"/>
    </row>
    <row r="7394" spans="1:1" x14ac:dyDescent="0.55000000000000004">
      <c r="A7394"/>
    </row>
    <row r="7395" spans="1:1" x14ac:dyDescent="0.55000000000000004">
      <c r="A7395"/>
    </row>
    <row r="7396" spans="1:1" x14ac:dyDescent="0.55000000000000004">
      <c r="A7396"/>
    </row>
    <row r="7397" spans="1:1" x14ac:dyDescent="0.55000000000000004">
      <c r="A7397"/>
    </row>
    <row r="7398" spans="1:1" x14ac:dyDescent="0.55000000000000004">
      <c r="A7398"/>
    </row>
    <row r="7399" spans="1:1" x14ac:dyDescent="0.55000000000000004">
      <c r="A7399"/>
    </row>
    <row r="7400" spans="1:1" x14ac:dyDescent="0.55000000000000004">
      <c r="A7400"/>
    </row>
    <row r="7401" spans="1:1" x14ac:dyDescent="0.55000000000000004">
      <c r="A7401"/>
    </row>
    <row r="7402" spans="1:1" x14ac:dyDescent="0.55000000000000004">
      <c r="A7402"/>
    </row>
    <row r="7403" spans="1:1" x14ac:dyDescent="0.55000000000000004">
      <c r="A7403"/>
    </row>
    <row r="7404" spans="1:1" x14ac:dyDescent="0.55000000000000004">
      <c r="A7404"/>
    </row>
    <row r="7405" spans="1:1" x14ac:dyDescent="0.55000000000000004">
      <c r="A7405"/>
    </row>
    <row r="7406" spans="1:1" x14ac:dyDescent="0.55000000000000004">
      <c r="A7406"/>
    </row>
    <row r="7407" spans="1:1" x14ac:dyDescent="0.55000000000000004">
      <c r="A7407"/>
    </row>
    <row r="7408" spans="1:1" x14ac:dyDescent="0.55000000000000004">
      <c r="A7408"/>
    </row>
    <row r="7409" spans="1:1" x14ac:dyDescent="0.55000000000000004">
      <c r="A7409"/>
    </row>
    <row r="7410" spans="1:1" x14ac:dyDescent="0.55000000000000004">
      <c r="A7410"/>
    </row>
    <row r="7411" spans="1:1" x14ac:dyDescent="0.55000000000000004">
      <c r="A7411"/>
    </row>
    <row r="7412" spans="1:1" x14ac:dyDescent="0.55000000000000004">
      <c r="A7412"/>
    </row>
    <row r="7413" spans="1:1" x14ac:dyDescent="0.55000000000000004">
      <c r="A7413"/>
    </row>
    <row r="7414" spans="1:1" x14ac:dyDescent="0.55000000000000004">
      <c r="A7414"/>
    </row>
    <row r="7415" spans="1:1" x14ac:dyDescent="0.55000000000000004">
      <c r="A7415"/>
    </row>
    <row r="7416" spans="1:1" x14ac:dyDescent="0.55000000000000004">
      <c r="A7416"/>
    </row>
    <row r="7417" spans="1:1" x14ac:dyDescent="0.55000000000000004">
      <c r="A7417"/>
    </row>
    <row r="7418" spans="1:1" x14ac:dyDescent="0.55000000000000004">
      <c r="A7418"/>
    </row>
    <row r="7419" spans="1:1" x14ac:dyDescent="0.55000000000000004">
      <c r="A7419"/>
    </row>
    <row r="7420" spans="1:1" x14ac:dyDescent="0.55000000000000004">
      <c r="A7420"/>
    </row>
    <row r="7421" spans="1:1" x14ac:dyDescent="0.55000000000000004">
      <c r="A7421"/>
    </row>
    <row r="7422" spans="1:1" x14ac:dyDescent="0.55000000000000004">
      <c r="A7422"/>
    </row>
    <row r="7423" spans="1:1" x14ac:dyDescent="0.55000000000000004">
      <c r="A7423"/>
    </row>
    <row r="7424" spans="1:1" x14ac:dyDescent="0.55000000000000004">
      <c r="A7424"/>
    </row>
    <row r="7425" spans="1:1" x14ac:dyDescent="0.55000000000000004">
      <c r="A7425"/>
    </row>
    <row r="7426" spans="1:1" x14ac:dyDescent="0.55000000000000004">
      <c r="A7426"/>
    </row>
    <row r="7427" spans="1:1" x14ac:dyDescent="0.55000000000000004">
      <c r="A7427"/>
    </row>
    <row r="7428" spans="1:1" x14ac:dyDescent="0.55000000000000004">
      <c r="A7428"/>
    </row>
    <row r="7429" spans="1:1" x14ac:dyDescent="0.55000000000000004">
      <c r="A7429"/>
    </row>
    <row r="7430" spans="1:1" x14ac:dyDescent="0.55000000000000004">
      <c r="A7430"/>
    </row>
    <row r="7431" spans="1:1" x14ac:dyDescent="0.55000000000000004">
      <c r="A7431"/>
    </row>
    <row r="7432" spans="1:1" x14ac:dyDescent="0.55000000000000004">
      <c r="A7432"/>
    </row>
    <row r="7433" spans="1:1" x14ac:dyDescent="0.55000000000000004">
      <c r="A7433"/>
    </row>
    <row r="7434" spans="1:1" x14ac:dyDescent="0.55000000000000004">
      <c r="A7434"/>
    </row>
    <row r="7435" spans="1:1" x14ac:dyDescent="0.55000000000000004">
      <c r="A7435"/>
    </row>
    <row r="7436" spans="1:1" x14ac:dyDescent="0.55000000000000004">
      <c r="A7436"/>
    </row>
    <row r="7437" spans="1:1" x14ac:dyDescent="0.55000000000000004">
      <c r="A7437"/>
    </row>
    <row r="7438" spans="1:1" x14ac:dyDescent="0.55000000000000004">
      <c r="A7438"/>
    </row>
    <row r="7439" spans="1:1" x14ac:dyDescent="0.55000000000000004">
      <c r="A7439"/>
    </row>
    <row r="7440" spans="1:1" x14ac:dyDescent="0.55000000000000004">
      <c r="A7440"/>
    </row>
    <row r="7441" spans="1:1" x14ac:dyDescent="0.55000000000000004">
      <c r="A7441"/>
    </row>
    <row r="7442" spans="1:1" x14ac:dyDescent="0.55000000000000004">
      <c r="A7442"/>
    </row>
    <row r="7443" spans="1:1" x14ac:dyDescent="0.55000000000000004">
      <c r="A7443"/>
    </row>
    <row r="7444" spans="1:1" x14ac:dyDescent="0.55000000000000004">
      <c r="A7444"/>
    </row>
    <row r="7445" spans="1:1" x14ac:dyDescent="0.55000000000000004">
      <c r="A7445"/>
    </row>
    <row r="7446" spans="1:1" x14ac:dyDescent="0.55000000000000004">
      <c r="A7446"/>
    </row>
    <row r="7447" spans="1:1" x14ac:dyDescent="0.55000000000000004">
      <c r="A7447"/>
    </row>
    <row r="7448" spans="1:1" x14ac:dyDescent="0.55000000000000004">
      <c r="A7448"/>
    </row>
    <row r="7449" spans="1:1" x14ac:dyDescent="0.55000000000000004">
      <c r="A7449"/>
    </row>
    <row r="7450" spans="1:1" x14ac:dyDescent="0.55000000000000004">
      <c r="A7450"/>
    </row>
    <row r="7451" spans="1:1" x14ac:dyDescent="0.55000000000000004">
      <c r="A7451"/>
    </row>
    <row r="7452" spans="1:1" x14ac:dyDescent="0.55000000000000004">
      <c r="A7452"/>
    </row>
    <row r="7453" spans="1:1" x14ac:dyDescent="0.55000000000000004">
      <c r="A7453"/>
    </row>
    <row r="7454" spans="1:1" x14ac:dyDescent="0.55000000000000004">
      <c r="A7454"/>
    </row>
    <row r="7455" spans="1:1" x14ac:dyDescent="0.55000000000000004">
      <c r="A7455"/>
    </row>
    <row r="7456" spans="1:1" x14ac:dyDescent="0.55000000000000004">
      <c r="A7456"/>
    </row>
    <row r="7457" spans="1:1" x14ac:dyDescent="0.55000000000000004">
      <c r="A7457"/>
    </row>
    <row r="7458" spans="1:1" x14ac:dyDescent="0.55000000000000004">
      <c r="A7458"/>
    </row>
    <row r="7459" spans="1:1" x14ac:dyDescent="0.55000000000000004">
      <c r="A7459"/>
    </row>
    <row r="7460" spans="1:1" x14ac:dyDescent="0.55000000000000004">
      <c r="A7460"/>
    </row>
    <row r="7461" spans="1:1" x14ac:dyDescent="0.55000000000000004">
      <c r="A7461"/>
    </row>
    <row r="7462" spans="1:1" x14ac:dyDescent="0.55000000000000004">
      <c r="A7462"/>
    </row>
    <row r="7463" spans="1:1" x14ac:dyDescent="0.55000000000000004">
      <c r="A7463"/>
    </row>
    <row r="7464" spans="1:1" x14ac:dyDescent="0.55000000000000004">
      <c r="A7464"/>
    </row>
    <row r="7465" spans="1:1" x14ac:dyDescent="0.55000000000000004">
      <c r="A7465"/>
    </row>
    <row r="7466" spans="1:1" x14ac:dyDescent="0.55000000000000004">
      <c r="A7466"/>
    </row>
    <row r="7467" spans="1:1" x14ac:dyDescent="0.55000000000000004">
      <c r="A7467"/>
    </row>
    <row r="7468" spans="1:1" x14ac:dyDescent="0.55000000000000004">
      <c r="A7468"/>
    </row>
    <row r="7469" spans="1:1" x14ac:dyDescent="0.55000000000000004">
      <c r="A7469"/>
    </row>
    <row r="7470" spans="1:1" x14ac:dyDescent="0.55000000000000004">
      <c r="A7470"/>
    </row>
    <row r="7471" spans="1:1" x14ac:dyDescent="0.55000000000000004">
      <c r="A7471"/>
    </row>
    <row r="7472" spans="1:1" x14ac:dyDescent="0.55000000000000004">
      <c r="A7472"/>
    </row>
    <row r="7473" spans="1:1" x14ac:dyDescent="0.55000000000000004">
      <c r="A7473"/>
    </row>
    <row r="7474" spans="1:1" x14ac:dyDescent="0.55000000000000004">
      <c r="A7474"/>
    </row>
    <row r="7475" spans="1:1" x14ac:dyDescent="0.55000000000000004">
      <c r="A7475"/>
    </row>
    <row r="7476" spans="1:1" x14ac:dyDescent="0.55000000000000004">
      <c r="A7476"/>
    </row>
    <row r="7477" spans="1:1" x14ac:dyDescent="0.55000000000000004">
      <c r="A7477"/>
    </row>
    <row r="7478" spans="1:1" x14ac:dyDescent="0.55000000000000004">
      <c r="A7478"/>
    </row>
    <row r="7479" spans="1:1" x14ac:dyDescent="0.55000000000000004">
      <c r="A7479"/>
    </row>
    <row r="7480" spans="1:1" x14ac:dyDescent="0.55000000000000004">
      <c r="A7480"/>
    </row>
    <row r="7481" spans="1:1" x14ac:dyDescent="0.55000000000000004">
      <c r="A7481"/>
    </row>
    <row r="7482" spans="1:1" x14ac:dyDescent="0.55000000000000004">
      <c r="A7482"/>
    </row>
    <row r="7483" spans="1:1" x14ac:dyDescent="0.55000000000000004">
      <c r="A7483"/>
    </row>
    <row r="7484" spans="1:1" x14ac:dyDescent="0.55000000000000004">
      <c r="A7484"/>
    </row>
    <row r="7485" spans="1:1" x14ac:dyDescent="0.55000000000000004">
      <c r="A7485"/>
    </row>
    <row r="7486" spans="1:1" x14ac:dyDescent="0.55000000000000004">
      <c r="A7486"/>
    </row>
    <row r="7487" spans="1:1" x14ac:dyDescent="0.55000000000000004">
      <c r="A7487"/>
    </row>
    <row r="7488" spans="1:1" x14ac:dyDescent="0.55000000000000004">
      <c r="A7488"/>
    </row>
    <row r="7489" spans="1:1" x14ac:dyDescent="0.55000000000000004">
      <c r="A7489"/>
    </row>
    <row r="7490" spans="1:1" x14ac:dyDescent="0.55000000000000004">
      <c r="A7490"/>
    </row>
    <row r="7491" spans="1:1" x14ac:dyDescent="0.55000000000000004">
      <c r="A7491"/>
    </row>
    <row r="7492" spans="1:1" x14ac:dyDescent="0.55000000000000004">
      <c r="A7492"/>
    </row>
    <row r="7493" spans="1:1" x14ac:dyDescent="0.55000000000000004">
      <c r="A7493"/>
    </row>
    <row r="7494" spans="1:1" x14ac:dyDescent="0.55000000000000004">
      <c r="A7494"/>
    </row>
    <row r="7495" spans="1:1" x14ac:dyDescent="0.55000000000000004">
      <c r="A7495"/>
    </row>
    <row r="7496" spans="1:1" x14ac:dyDescent="0.55000000000000004">
      <c r="A7496"/>
    </row>
    <row r="7497" spans="1:1" x14ac:dyDescent="0.55000000000000004">
      <c r="A7497"/>
    </row>
    <row r="7498" spans="1:1" x14ac:dyDescent="0.55000000000000004">
      <c r="A7498"/>
    </row>
    <row r="7499" spans="1:1" x14ac:dyDescent="0.55000000000000004">
      <c r="A7499"/>
    </row>
    <row r="7500" spans="1:1" x14ac:dyDescent="0.55000000000000004">
      <c r="A7500"/>
    </row>
    <row r="7501" spans="1:1" x14ac:dyDescent="0.55000000000000004">
      <c r="A7501"/>
    </row>
    <row r="7502" spans="1:1" x14ac:dyDescent="0.55000000000000004">
      <c r="A7502"/>
    </row>
    <row r="7503" spans="1:1" x14ac:dyDescent="0.55000000000000004">
      <c r="A7503"/>
    </row>
    <row r="7504" spans="1:1" x14ac:dyDescent="0.55000000000000004">
      <c r="A7504"/>
    </row>
    <row r="7505" spans="1:1" x14ac:dyDescent="0.55000000000000004">
      <c r="A7505"/>
    </row>
    <row r="7506" spans="1:1" x14ac:dyDescent="0.55000000000000004">
      <c r="A7506"/>
    </row>
    <row r="7507" spans="1:1" x14ac:dyDescent="0.55000000000000004">
      <c r="A7507"/>
    </row>
    <row r="7508" spans="1:1" x14ac:dyDescent="0.55000000000000004">
      <c r="A7508"/>
    </row>
    <row r="7509" spans="1:1" x14ac:dyDescent="0.55000000000000004">
      <c r="A7509"/>
    </row>
    <row r="7510" spans="1:1" x14ac:dyDescent="0.55000000000000004">
      <c r="A7510"/>
    </row>
    <row r="7511" spans="1:1" x14ac:dyDescent="0.55000000000000004">
      <c r="A7511"/>
    </row>
    <row r="7512" spans="1:1" x14ac:dyDescent="0.55000000000000004">
      <c r="A7512"/>
    </row>
    <row r="7513" spans="1:1" x14ac:dyDescent="0.55000000000000004">
      <c r="A7513"/>
    </row>
    <row r="7514" spans="1:1" x14ac:dyDescent="0.55000000000000004">
      <c r="A7514"/>
    </row>
    <row r="7515" spans="1:1" x14ac:dyDescent="0.55000000000000004">
      <c r="A7515"/>
    </row>
    <row r="7516" spans="1:1" x14ac:dyDescent="0.55000000000000004">
      <c r="A7516"/>
    </row>
    <row r="7517" spans="1:1" x14ac:dyDescent="0.55000000000000004">
      <c r="A7517"/>
    </row>
    <row r="7518" spans="1:1" x14ac:dyDescent="0.55000000000000004">
      <c r="A7518"/>
    </row>
    <row r="7519" spans="1:1" x14ac:dyDescent="0.55000000000000004">
      <c r="A7519"/>
    </row>
    <row r="7520" spans="1:1" x14ac:dyDescent="0.55000000000000004">
      <c r="A7520"/>
    </row>
    <row r="7521" spans="1:1" x14ac:dyDescent="0.55000000000000004">
      <c r="A7521"/>
    </row>
    <row r="7522" spans="1:1" x14ac:dyDescent="0.55000000000000004">
      <c r="A7522"/>
    </row>
    <row r="7523" spans="1:1" x14ac:dyDescent="0.55000000000000004">
      <c r="A7523"/>
    </row>
    <row r="7524" spans="1:1" x14ac:dyDescent="0.55000000000000004">
      <c r="A7524"/>
    </row>
    <row r="7525" spans="1:1" x14ac:dyDescent="0.55000000000000004">
      <c r="A7525"/>
    </row>
    <row r="7526" spans="1:1" x14ac:dyDescent="0.55000000000000004">
      <c r="A7526"/>
    </row>
    <row r="7527" spans="1:1" x14ac:dyDescent="0.55000000000000004">
      <c r="A7527"/>
    </row>
    <row r="7528" spans="1:1" x14ac:dyDescent="0.55000000000000004">
      <c r="A7528"/>
    </row>
    <row r="7529" spans="1:1" x14ac:dyDescent="0.55000000000000004">
      <c r="A7529"/>
    </row>
    <row r="7530" spans="1:1" x14ac:dyDescent="0.55000000000000004">
      <c r="A7530"/>
    </row>
    <row r="7531" spans="1:1" x14ac:dyDescent="0.55000000000000004">
      <c r="A7531"/>
    </row>
    <row r="7532" spans="1:1" x14ac:dyDescent="0.55000000000000004">
      <c r="A7532"/>
    </row>
    <row r="7533" spans="1:1" x14ac:dyDescent="0.55000000000000004">
      <c r="A7533"/>
    </row>
    <row r="7534" spans="1:1" x14ac:dyDescent="0.55000000000000004">
      <c r="A7534"/>
    </row>
    <row r="7535" spans="1:1" x14ac:dyDescent="0.55000000000000004">
      <c r="A7535"/>
    </row>
    <row r="7536" spans="1:1" x14ac:dyDescent="0.55000000000000004">
      <c r="A7536"/>
    </row>
    <row r="7537" spans="1:1" x14ac:dyDescent="0.55000000000000004">
      <c r="A7537"/>
    </row>
    <row r="7538" spans="1:1" x14ac:dyDescent="0.55000000000000004">
      <c r="A7538"/>
    </row>
    <row r="7539" spans="1:1" x14ac:dyDescent="0.55000000000000004">
      <c r="A7539"/>
    </row>
    <row r="7540" spans="1:1" x14ac:dyDescent="0.55000000000000004">
      <c r="A7540"/>
    </row>
    <row r="7541" spans="1:1" x14ac:dyDescent="0.55000000000000004">
      <c r="A7541"/>
    </row>
    <row r="7542" spans="1:1" x14ac:dyDescent="0.55000000000000004">
      <c r="A7542"/>
    </row>
    <row r="7543" spans="1:1" x14ac:dyDescent="0.55000000000000004">
      <c r="A7543"/>
    </row>
    <row r="7544" spans="1:1" x14ac:dyDescent="0.55000000000000004">
      <c r="A7544"/>
    </row>
    <row r="7545" spans="1:1" x14ac:dyDescent="0.55000000000000004">
      <c r="A7545"/>
    </row>
    <row r="7546" spans="1:1" x14ac:dyDescent="0.55000000000000004">
      <c r="A7546"/>
    </row>
    <row r="7547" spans="1:1" x14ac:dyDescent="0.55000000000000004">
      <c r="A7547"/>
    </row>
    <row r="7548" spans="1:1" x14ac:dyDescent="0.55000000000000004">
      <c r="A7548"/>
    </row>
    <row r="7549" spans="1:1" x14ac:dyDescent="0.55000000000000004">
      <c r="A7549"/>
    </row>
    <row r="7550" spans="1:1" x14ac:dyDescent="0.55000000000000004">
      <c r="A7550"/>
    </row>
    <row r="7551" spans="1:1" x14ac:dyDescent="0.55000000000000004">
      <c r="A7551"/>
    </row>
    <row r="7552" spans="1:1" x14ac:dyDescent="0.55000000000000004">
      <c r="A7552"/>
    </row>
    <row r="7553" spans="1:1" x14ac:dyDescent="0.55000000000000004">
      <c r="A7553"/>
    </row>
    <row r="7554" spans="1:1" x14ac:dyDescent="0.55000000000000004">
      <c r="A7554"/>
    </row>
    <row r="7555" spans="1:1" x14ac:dyDescent="0.55000000000000004">
      <c r="A7555"/>
    </row>
    <row r="7556" spans="1:1" x14ac:dyDescent="0.55000000000000004">
      <c r="A7556"/>
    </row>
    <row r="7557" spans="1:1" x14ac:dyDescent="0.55000000000000004">
      <c r="A7557"/>
    </row>
    <row r="7558" spans="1:1" x14ac:dyDescent="0.55000000000000004">
      <c r="A7558"/>
    </row>
    <row r="7559" spans="1:1" x14ac:dyDescent="0.55000000000000004">
      <c r="A7559"/>
    </row>
    <row r="7560" spans="1:1" x14ac:dyDescent="0.55000000000000004">
      <c r="A7560"/>
    </row>
    <row r="7561" spans="1:1" x14ac:dyDescent="0.55000000000000004">
      <c r="A7561"/>
    </row>
    <row r="7562" spans="1:1" x14ac:dyDescent="0.55000000000000004">
      <c r="A7562"/>
    </row>
    <row r="7563" spans="1:1" x14ac:dyDescent="0.55000000000000004">
      <c r="A7563"/>
    </row>
    <row r="7564" spans="1:1" x14ac:dyDescent="0.55000000000000004">
      <c r="A7564"/>
    </row>
    <row r="7565" spans="1:1" x14ac:dyDescent="0.55000000000000004">
      <c r="A7565"/>
    </row>
    <row r="7566" spans="1:1" x14ac:dyDescent="0.55000000000000004">
      <c r="A7566"/>
    </row>
    <row r="7567" spans="1:1" x14ac:dyDescent="0.55000000000000004">
      <c r="A7567"/>
    </row>
    <row r="7568" spans="1:1" x14ac:dyDescent="0.55000000000000004">
      <c r="A7568"/>
    </row>
    <row r="7569" spans="1:1" x14ac:dyDescent="0.55000000000000004">
      <c r="A7569"/>
    </row>
    <row r="7570" spans="1:1" x14ac:dyDescent="0.55000000000000004">
      <c r="A7570"/>
    </row>
    <row r="7571" spans="1:1" x14ac:dyDescent="0.55000000000000004">
      <c r="A7571"/>
    </row>
    <row r="7572" spans="1:1" x14ac:dyDescent="0.55000000000000004">
      <c r="A7572"/>
    </row>
    <row r="7573" spans="1:1" x14ac:dyDescent="0.55000000000000004">
      <c r="A7573"/>
    </row>
    <row r="7574" spans="1:1" x14ac:dyDescent="0.55000000000000004">
      <c r="A7574"/>
    </row>
    <row r="7575" spans="1:1" x14ac:dyDescent="0.55000000000000004">
      <c r="A7575"/>
    </row>
    <row r="7576" spans="1:1" x14ac:dyDescent="0.55000000000000004">
      <c r="A7576"/>
    </row>
    <row r="7577" spans="1:1" x14ac:dyDescent="0.55000000000000004">
      <c r="A7577"/>
    </row>
    <row r="7578" spans="1:1" x14ac:dyDescent="0.55000000000000004">
      <c r="A7578"/>
    </row>
    <row r="7579" spans="1:1" x14ac:dyDescent="0.55000000000000004">
      <c r="A7579"/>
    </row>
    <row r="7580" spans="1:1" x14ac:dyDescent="0.55000000000000004">
      <c r="A7580"/>
    </row>
    <row r="7581" spans="1:1" x14ac:dyDescent="0.55000000000000004">
      <c r="A7581"/>
    </row>
    <row r="7582" spans="1:1" x14ac:dyDescent="0.55000000000000004">
      <c r="A7582"/>
    </row>
    <row r="7583" spans="1:1" x14ac:dyDescent="0.55000000000000004">
      <c r="A7583"/>
    </row>
    <row r="7584" spans="1:1" x14ac:dyDescent="0.55000000000000004">
      <c r="A7584"/>
    </row>
    <row r="7585" spans="1:1" x14ac:dyDescent="0.55000000000000004">
      <c r="A7585"/>
    </row>
    <row r="7586" spans="1:1" x14ac:dyDescent="0.55000000000000004">
      <c r="A7586"/>
    </row>
    <row r="7587" spans="1:1" x14ac:dyDescent="0.55000000000000004">
      <c r="A7587"/>
    </row>
    <row r="7588" spans="1:1" x14ac:dyDescent="0.55000000000000004">
      <c r="A7588"/>
    </row>
    <row r="7589" spans="1:1" x14ac:dyDescent="0.55000000000000004">
      <c r="A7589"/>
    </row>
    <row r="7590" spans="1:1" x14ac:dyDescent="0.55000000000000004">
      <c r="A7590"/>
    </row>
    <row r="7591" spans="1:1" x14ac:dyDescent="0.55000000000000004">
      <c r="A7591"/>
    </row>
    <row r="7592" spans="1:1" x14ac:dyDescent="0.55000000000000004">
      <c r="A7592"/>
    </row>
    <row r="7593" spans="1:1" x14ac:dyDescent="0.55000000000000004">
      <c r="A7593"/>
    </row>
    <row r="7594" spans="1:1" x14ac:dyDescent="0.55000000000000004">
      <c r="A7594"/>
    </row>
    <row r="7595" spans="1:1" x14ac:dyDescent="0.55000000000000004">
      <c r="A7595"/>
    </row>
    <row r="7596" spans="1:1" x14ac:dyDescent="0.55000000000000004">
      <c r="A7596"/>
    </row>
    <row r="7597" spans="1:1" x14ac:dyDescent="0.55000000000000004">
      <c r="A7597"/>
    </row>
    <row r="7598" spans="1:1" x14ac:dyDescent="0.55000000000000004">
      <c r="A7598"/>
    </row>
    <row r="7599" spans="1:1" x14ac:dyDescent="0.55000000000000004">
      <c r="A7599"/>
    </row>
    <row r="7600" spans="1:1" x14ac:dyDescent="0.55000000000000004">
      <c r="A7600"/>
    </row>
    <row r="7601" spans="1:1" x14ac:dyDescent="0.55000000000000004">
      <c r="A7601"/>
    </row>
    <row r="7602" spans="1:1" x14ac:dyDescent="0.55000000000000004">
      <c r="A7602"/>
    </row>
    <row r="7603" spans="1:1" x14ac:dyDescent="0.55000000000000004">
      <c r="A7603"/>
    </row>
    <row r="7604" spans="1:1" x14ac:dyDescent="0.55000000000000004">
      <c r="A7604"/>
    </row>
    <row r="7605" spans="1:1" x14ac:dyDescent="0.55000000000000004">
      <c r="A7605"/>
    </row>
    <row r="7606" spans="1:1" x14ac:dyDescent="0.55000000000000004">
      <c r="A7606"/>
    </row>
    <row r="7607" spans="1:1" x14ac:dyDescent="0.55000000000000004">
      <c r="A7607"/>
    </row>
    <row r="7608" spans="1:1" x14ac:dyDescent="0.55000000000000004">
      <c r="A7608"/>
    </row>
    <row r="7609" spans="1:1" x14ac:dyDescent="0.55000000000000004">
      <c r="A7609"/>
    </row>
    <row r="7610" spans="1:1" x14ac:dyDescent="0.55000000000000004">
      <c r="A7610"/>
    </row>
    <row r="7611" spans="1:1" x14ac:dyDescent="0.55000000000000004">
      <c r="A7611"/>
    </row>
    <row r="7612" spans="1:1" x14ac:dyDescent="0.55000000000000004">
      <c r="A7612"/>
    </row>
    <row r="7613" spans="1:1" x14ac:dyDescent="0.55000000000000004">
      <c r="A7613"/>
    </row>
    <row r="7614" spans="1:1" x14ac:dyDescent="0.55000000000000004">
      <c r="A7614"/>
    </row>
    <row r="7615" spans="1:1" x14ac:dyDescent="0.55000000000000004">
      <c r="A7615"/>
    </row>
    <row r="7616" spans="1:1" x14ac:dyDescent="0.55000000000000004">
      <c r="A7616"/>
    </row>
    <row r="7617" spans="1:1" x14ac:dyDescent="0.55000000000000004">
      <c r="A7617"/>
    </row>
    <row r="7618" spans="1:1" x14ac:dyDescent="0.55000000000000004">
      <c r="A7618"/>
    </row>
    <row r="7619" spans="1:1" x14ac:dyDescent="0.55000000000000004">
      <c r="A7619"/>
    </row>
    <row r="7620" spans="1:1" x14ac:dyDescent="0.55000000000000004">
      <c r="A7620"/>
    </row>
    <row r="7621" spans="1:1" x14ac:dyDescent="0.55000000000000004">
      <c r="A7621"/>
    </row>
    <row r="7622" spans="1:1" x14ac:dyDescent="0.55000000000000004">
      <c r="A7622"/>
    </row>
    <row r="7623" spans="1:1" x14ac:dyDescent="0.55000000000000004">
      <c r="A7623"/>
    </row>
    <row r="7624" spans="1:1" x14ac:dyDescent="0.55000000000000004">
      <c r="A7624"/>
    </row>
    <row r="7625" spans="1:1" x14ac:dyDescent="0.55000000000000004">
      <c r="A7625"/>
    </row>
    <row r="7626" spans="1:1" x14ac:dyDescent="0.55000000000000004">
      <c r="A7626"/>
    </row>
    <row r="7627" spans="1:1" x14ac:dyDescent="0.55000000000000004">
      <c r="A7627"/>
    </row>
    <row r="7628" spans="1:1" x14ac:dyDescent="0.55000000000000004">
      <c r="A7628"/>
    </row>
    <row r="7629" spans="1:1" x14ac:dyDescent="0.55000000000000004">
      <c r="A7629"/>
    </row>
    <row r="7630" spans="1:1" x14ac:dyDescent="0.55000000000000004">
      <c r="A7630"/>
    </row>
    <row r="7631" spans="1:1" x14ac:dyDescent="0.55000000000000004">
      <c r="A7631"/>
    </row>
    <row r="7632" spans="1:1" x14ac:dyDescent="0.55000000000000004">
      <c r="A7632"/>
    </row>
    <row r="7633" spans="1:1" x14ac:dyDescent="0.55000000000000004">
      <c r="A7633"/>
    </row>
    <row r="7634" spans="1:1" x14ac:dyDescent="0.55000000000000004">
      <c r="A7634"/>
    </row>
    <row r="7635" spans="1:1" x14ac:dyDescent="0.55000000000000004">
      <c r="A7635"/>
    </row>
    <row r="7636" spans="1:1" x14ac:dyDescent="0.55000000000000004">
      <c r="A7636"/>
    </row>
    <row r="7637" spans="1:1" x14ac:dyDescent="0.55000000000000004">
      <c r="A7637"/>
    </row>
    <row r="7638" spans="1:1" x14ac:dyDescent="0.55000000000000004">
      <c r="A7638"/>
    </row>
    <row r="7639" spans="1:1" x14ac:dyDescent="0.55000000000000004">
      <c r="A7639"/>
    </row>
    <row r="7640" spans="1:1" x14ac:dyDescent="0.55000000000000004">
      <c r="A7640"/>
    </row>
    <row r="7641" spans="1:1" x14ac:dyDescent="0.55000000000000004">
      <c r="A7641"/>
    </row>
    <row r="7642" spans="1:1" x14ac:dyDescent="0.55000000000000004">
      <c r="A7642"/>
    </row>
    <row r="7643" spans="1:1" x14ac:dyDescent="0.55000000000000004">
      <c r="A7643"/>
    </row>
    <row r="7644" spans="1:1" x14ac:dyDescent="0.55000000000000004">
      <c r="A7644"/>
    </row>
    <row r="7645" spans="1:1" x14ac:dyDescent="0.55000000000000004">
      <c r="A7645"/>
    </row>
    <row r="7646" spans="1:1" x14ac:dyDescent="0.55000000000000004">
      <c r="A7646"/>
    </row>
    <row r="7647" spans="1:1" x14ac:dyDescent="0.55000000000000004">
      <c r="A7647"/>
    </row>
    <row r="7648" spans="1:1" x14ac:dyDescent="0.55000000000000004">
      <c r="A7648"/>
    </row>
    <row r="7649" spans="1:1" x14ac:dyDescent="0.55000000000000004">
      <c r="A7649"/>
    </row>
    <row r="7650" spans="1:1" x14ac:dyDescent="0.55000000000000004">
      <c r="A7650"/>
    </row>
    <row r="7651" spans="1:1" x14ac:dyDescent="0.55000000000000004">
      <c r="A7651"/>
    </row>
    <row r="7652" spans="1:1" x14ac:dyDescent="0.55000000000000004">
      <c r="A7652"/>
    </row>
    <row r="7653" spans="1:1" x14ac:dyDescent="0.55000000000000004">
      <c r="A7653"/>
    </row>
    <row r="7654" spans="1:1" x14ac:dyDescent="0.55000000000000004">
      <c r="A7654"/>
    </row>
    <row r="7655" spans="1:1" x14ac:dyDescent="0.55000000000000004">
      <c r="A7655"/>
    </row>
    <row r="7656" spans="1:1" x14ac:dyDescent="0.55000000000000004">
      <c r="A7656"/>
    </row>
    <row r="7657" spans="1:1" x14ac:dyDescent="0.55000000000000004">
      <c r="A7657"/>
    </row>
    <row r="7658" spans="1:1" x14ac:dyDescent="0.55000000000000004">
      <c r="A7658"/>
    </row>
    <row r="7659" spans="1:1" x14ac:dyDescent="0.55000000000000004">
      <c r="A7659"/>
    </row>
    <row r="7660" spans="1:1" x14ac:dyDescent="0.55000000000000004">
      <c r="A7660"/>
    </row>
    <row r="7661" spans="1:1" x14ac:dyDescent="0.55000000000000004">
      <c r="A7661"/>
    </row>
    <row r="7662" spans="1:1" x14ac:dyDescent="0.55000000000000004">
      <c r="A7662"/>
    </row>
    <row r="7663" spans="1:1" x14ac:dyDescent="0.55000000000000004">
      <c r="A7663"/>
    </row>
    <row r="7664" spans="1:1" x14ac:dyDescent="0.55000000000000004">
      <c r="A7664"/>
    </row>
    <row r="7665" spans="1:1" x14ac:dyDescent="0.55000000000000004">
      <c r="A7665"/>
    </row>
    <row r="7666" spans="1:1" x14ac:dyDescent="0.55000000000000004">
      <c r="A7666"/>
    </row>
    <row r="7667" spans="1:1" x14ac:dyDescent="0.55000000000000004">
      <c r="A7667"/>
    </row>
    <row r="7668" spans="1:1" x14ac:dyDescent="0.55000000000000004">
      <c r="A7668"/>
    </row>
    <row r="7669" spans="1:1" x14ac:dyDescent="0.55000000000000004">
      <c r="A7669"/>
    </row>
    <row r="7670" spans="1:1" x14ac:dyDescent="0.55000000000000004">
      <c r="A7670"/>
    </row>
    <row r="7671" spans="1:1" x14ac:dyDescent="0.55000000000000004">
      <c r="A7671"/>
    </row>
    <row r="7672" spans="1:1" x14ac:dyDescent="0.55000000000000004">
      <c r="A7672"/>
    </row>
    <row r="7673" spans="1:1" x14ac:dyDescent="0.55000000000000004">
      <c r="A7673"/>
    </row>
    <row r="7674" spans="1:1" x14ac:dyDescent="0.55000000000000004">
      <c r="A7674"/>
    </row>
    <row r="7675" spans="1:1" x14ac:dyDescent="0.55000000000000004">
      <c r="A7675"/>
    </row>
    <row r="7676" spans="1:1" x14ac:dyDescent="0.55000000000000004">
      <c r="A7676"/>
    </row>
    <row r="7677" spans="1:1" x14ac:dyDescent="0.55000000000000004">
      <c r="A7677"/>
    </row>
    <row r="7678" spans="1:1" x14ac:dyDescent="0.55000000000000004">
      <c r="A7678"/>
    </row>
    <row r="7679" spans="1:1" x14ac:dyDescent="0.55000000000000004">
      <c r="A7679"/>
    </row>
    <row r="7680" spans="1:1" x14ac:dyDescent="0.55000000000000004">
      <c r="A7680"/>
    </row>
    <row r="7681" spans="1:1" x14ac:dyDescent="0.55000000000000004">
      <c r="A7681"/>
    </row>
    <row r="7682" spans="1:1" x14ac:dyDescent="0.55000000000000004">
      <c r="A7682"/>
    </row>
    <row r="7683" spans="1:1" x14ac:dyDescent="0.55000000000000004">
      <c r="A7683"/>
    </row>
    <row r="7684" spans="1:1" x14ac:dyDescent="0.55000000000000004">
      <c r="A7684"/>
    </row>
    <row r="7685" spans="1:1" x14ac:dyDescent="0.55000000000000004">
      <c r="A7685"/>
    </row>
    <row r="7686" spans="1:1" x14ac:dyDescent="0.55000000000000004">
      <c r="A7686"/>
    </row>
    <row r="7687" spans="1:1" x14ac:dyDescent="0.55000000000000004">
      <c r="A7687"/>
    </row>
    <row r="7688" spans="1:1" x14ac:dyDescent="0.55000000000000004">
      <c r="A7688"/>
    </row>
    <row r="7689" spans="1:1" x14ac:dyDescent="0.55000000000000004">
      <c r="A7689"/>
    </row>
    <row r="7690" spans="1:1" x14ac:dyDescent="0.55000000000000004">
      <c r="A7690"/>
    </row>
    <row r="7691" spans="1:1" x14ac:dyDescent="0.55000000000000004">
      <c r="A7691"/>
    </row>
    <row r="7692" spans="1:1" x14ac:dyDescent="0.55000000000000004">
      <c r="A7692"/>
    </row>
    <row r="7693" spans="1:1" x14ac:dyDescent="0.55000000000000004">
      <c r="A7693"/>
    </row>
    <row r="7694" spans="1:1" x14ac:dyDescent="0.55000000000000004">
      <c r="A7694"/>
    </row>
    <row r="7695" spans="1:1" x14ac:dyDescent="0.55000000000000004">
      <c r="A7695"/>
    </row>
    <row r="7696" spans="1:1" x14ac:dyDescent="0.55000000000000004">
      <c r="A7696"/>
    </row>
    <row r="7697" spans="1:1" x14ac:dyDescent="0.55000000000000004">
      <c r="A7697"/>
    </row>
    <row r="7698" spans="1:1" x14ac:dyDescent="0.55000000000000004">
      <c r="A7698"/>
    </row>
    <row r="7699" spans="1:1" x14ac:dyDescent="0.55000000000000004">
      <c r="A7699"/>
    </row>
    <row r="7700" spans="1:1" x14ac:dyDescent="0.55000000000000004">
      <c r="A7700"/>
    </row>
    <row r="7701" spans="1:1" x14ac:dyDescent="0.55000000000000004">
      <c r="A7701"/>
    </row>
    <row r="7702" spans="1:1" x14ac:dyDescent="0.55000000000000004">
      <c r="A7702"/>
    </row>
    <row r="7703" spans="1:1" x14ac:dyDescent="0.55000000000000004">
      <c r="A7703"/>
    </row>
    <row r="7704" spans="1:1" x14ac:dyDescent="0.55000000000000004">
      <c r="A7704"/>
    </row>
    <row r="7705" spans="1:1" x14ac:dyDescent="0.55000000000000004">
      <c r="A7705"/>
    </row>
    <row r="7706" spans="1:1" x14ac:dyDescent="0.55000000000000004">
      <c r="A7706"/>
    </row>
    <row r="7707" spans="1:1" x14ac:dyDescent="0.55000000000000004">
      <c r="A7707"/>
    </row>
    <row r="7708" spans="1:1" x14ac:dyDescent="0.55000000000000004">
      <c r="A7708"/>
    </row>
    <row r="7709" spans="1:1" x14ac:dyDescent="0.55000000000000004">
      <c r="A7709"/>
    </row>
    <row r="7710" spans="1:1" x14ac:dyDescent="0.55000000000000004">
      <c r="A7710"/>
    </row>
    <row r="7711" spans="1:1" x14ac:dyDescent="0.55000000000000004">
      <c r="A7711"/>
    </row>
    <row r="7712" spans="1:1" x14ac:dyDescent="0.55000000000000004">
      <c r="A7712"/>
    </row>
    <row r="7713" spans="1:1" x14ac:dyDescent="0.55000000000000004">
      <c r="A7713"/>
    </row>
    <row r="7714" spans="1:1" x14ac:dyDescent="0.55000000000000004">
      <c r="A7714"/>
    </row>
    <row r="7715" spans="1:1" x14ac:dyDescent="0.55000000000000004">
      <c r="A7715"/>
    </row>
    <row r="7716" spans="1:1" x14ac:dyDescent="0.55000000000000004">
      <c r="A7716"/>
    </row>
    <row r="7717" spans="1:1" x14ac:dyDescent="0.55000000000000004">
      <c r="A7717"/>
    </row>
    <row r="7718" spans="1:1" x14ac:dyDescent="0.55000000000000004">
      <c r="A7718"/>
    </row>
    <row r="7719" spans="1:1" x14ac:dyDescent="0.55000000000000004">
      <c r="A7719"/>
    </row>
    <row r="7720" spans="1:1" x14ac:dyDescent="0.55000000000000004">
      <c r="A7720"/>
    </row>
    <row r="7721" spans="1:1" x14ac:dyDescent="0.55000000000000004">
      <c r="A7721"/>
    </row>
    <row r="7722" spans="1:1" x14ac:dyDescent="0.55000000000000004">
      <c r="A7722"/>
    </row>
    <row r="7723" spans="1:1" x14ac:dyDescent="0.55000000000000004">
      <c r="A7723"/>
    </row>
    <row r="7724" spans="1:1" x14ac:dyDescent="0.55000000000000004">
      <c r="A7724"/>
    </row>
    <row r="7725" spans="1:1" x14ac:dyDescent="0.55000000000000004">
      <c r="A7725"/>
    </row>
    <row r="7726" spans="1:1" x14ac:dyDescent="0.55000000000000004">
      <c r="A7726"/>
    </row>
    <row r="7727" spans="1:1" x14ac:dyDescent="0.55000000000000004">
      <c r="A7727"/>
    </row>
    <row r="7728" spans="1:1" x14ac:dyDescent="0.55000000000000004">
      <c r="A7728"/>
    </row>
    <row r="7729" spans="1:1" x14ac:dyDescent="0.55000000000000004">
      <c r="A7729"/>
    </row>
    <row r="7730" spans="1:1" x14ac:dyDescent="0.55000000000000004">
      <c r="A7730"/>
    </row>
    <row r="7731" spans="1:1" x14ac:dyDescent="0.55000000000000004">
      <c r="A7731"/>
    </row>
    <row r="7732" spans="1:1" x14ac:dyDescent="0.55000000000000004">
      <c r="A7732"/>
    </row>
    <row r="7733" spans="1:1" x14ac:dyDescent="0.55000000000000004">
      <c r="A7733"/>
    </row>
    <row r="7734" spans="1:1" x14ac:dyDescent="0.55000000000000004">
      <c r="A7734"/>
    </row>
    <row r="7735" spans="1:1" x14ac:dyDescent="0.55000000000000004">
      <c r="A7735"/>
    </row>
    <row r="7736" spans="1:1" x14ac:dyDescent="0.55000000000000004">
      <c r="A7736"/>
    </row>
    <row r="7737" spans="1:1" x14ac:dyDescent="0.55000000000000004">
      <c r="A7737"/>
    </row>
    <row r="7738" spans="1:1" x14ac:dyDescent="0.55000000000000004">
      <c r="A7738"/>
    </row>
    <row r="7739" spans="1:1" x14ac:dyDescent="0.55000000000000004">
      <c r="A7739"/>
    </row>
    <row r="7740" spans="1:1" x14ac:dyDescent="0.55000000000000004">
      <c r="A7740"/>
    </row>
    <row r="7741" spans="1:1" x14ac:dyDescent="0.55000000000000004">
      <c r="A7741"/>
    </row>
    <row r="7742" spans="1:1" x14ac:dyDescent="0.55000000000000004">
      <c r="A7742"/>
    </row>
    <row r="7743" spans="1:1" x14ac:dyDescent="0.55000000000000004">
      <c r="A7743"/>
    </row>
    <row r="7744" spans="1:1" x14ac:dyDescent="0.55000000000000004">
      <c r="A7744"/>
    </row>
    <row r="7745" spans="1:1" x14ac:dyDescent="0.55000000000000004">
      <c r="A7745"/>
    </row>
    <row r="7746" spans="1:1" x14ac:dyDescent="0.55000000000000004">
      <c r="A7746"/>
    </row>
    <row r="7747" spans="1:1" x14ac:dyDescent="0.55000000000000004">
      <c r="A7747"/>
    </row>
    <row r="7748" spans="1:1" x14ac:dyDescent="0.55000000000000004">
      <c r="A7748"/>
    </row>
    <row r="7749" spans="1:1" x14ac:dyDescent="0.55000000000000004">
      <c r="A7749"/>
    </row>
    <row r="7750" spans="1:1" x14ac:dyDescent="0.55000000000000004">
      <c r="A7750"/>
    </row>
    <row r="7751" spans="1:1" x14ac:dyDescent="0.55000000000000004">
      <c r="A7751"/>
    </row>
    <row r="7752" spans="1:1" x14ac:dyDescent="0.55000000000000004">
      <c r="A7752"/>
    </row>
    <row r="7753" spans="1:1" x14ac:dyDescent="0.55000000000000004">
      <c r="A7753"/>
    </row>
    <row r="7754" spans="1:1" x14ac:dyDescent="0.55000000000000004">
      <c r="A7754"/>
    </row>
    <row r="7755" spans="1:1" x14ac:dyDescent="0.55000000000000004">
      <c r="A7755"/>
    </row>
    <row r="7756" spans="1:1" x14ac:dyDescent="0.55000000000000004">
      <c r="A7756"/>
    </row>
    <row r="7757" spans="1:1" x14ac:dyDescent="0.55000000000000004">
      <c r="A7757"/>
    </row>
    <row r="7758" spans="1:1" x14ac:dyDescent="0.55000000000000004">
      <c r="A7758"/>
    </row>
    <row r="7759" spans="1:1" x14ac:dyDescent="0.55000000000000004">
      <c r="A7759"/>
    </row>
    <row r="7760" spans="1:1" x14ac:dyDescent="0.55000000000000004">
      <c r="A7760"/>
    </row>
    <row r="7761" spans="1:1" x14ac:dyDescent="0.55000000000000004">
      <c r="A7761"/>
    </row>
    <row r="7762" spans="1:1" x14ac:dyDescent="0.55000000000000004">
      <c r="A7762"/>
    </row>
    <row r="7763" spans="1:1" x14ac:dyDescent="0.55000000000000004">
      <c r="A7763"/>
    </row>
    <row r="7764" spans="1:1" x14ac:dyDescent="0.55000000000000004">
      <c r="A7764"/>
    </row>
    <row r="7765" spans="1:1" x14ac:dyDescent="0.55000000000000004">
      <c r="A7765"/>
    </row>
    <row r="7766" spans="1:1" x14ac:dyDescent="0.55000000000000004">
      <c r="A7766"/>
    </row>
    <row r="7767" spans="1:1" x14ac:dyDescent="0.55000000000000004">
      <c r="A7767"/>
    </row>
    <row r="7768" spans="1:1" x14ac:dyDescent="0.55000000000000004">
      <c r="A7768"/>
    </row>
    <row r="7769" spans="1:1" x14ac:dyDescent="0.55000000000000004">
      <c r="A7769"/>
    </row>
    <row r="7770" spans="1:1" x14ac:dyDescent="0.55000000000000004">
      <c r="A7770"/>
    </row>
    <row r="7771" spans="1:1" x14ac:dyDescent="0.55000000000000004">
      <c r="A7771"/>
    </row>
    <row r="7772" spans="1:1" x14ac:dyDescent="0.55000000000000004">
      <c r="A7772"/>
    </row>
    <row r="7773" spans="1:1" x14ac:dyDescent="0.55000000000000004">
      <c r="A7773"/>
    </row>
    <row r="7774" spans="1:1" x14ac:dyDescent="0.55000000000000004">
      <c r="A7774"/>
    </row>
    <row r="7775" spans="1:1" x14ac:dyDescent="0.55000000000000004">
      <c r="A7775"/>
    </row>
    <row r="7776" spans="1:1" x14ac:dyDescent="0.55000000000000004">
      <c r="A7776"/>
    </row>
    <row r="7777" spans="1:1" x14ac:dyDescent="0.55000000000000004">
      <c r="A7777"/>
    </row>
    <row r="7778" spans="1:1" x14ac:dyDescent="0.55000000000000004">
      <c r="A7778"/>
    </row>
    <row r="7779" spans="1:1" x14ac:dyDescent="0.55000000000000004">
      <c r="A7779"/>
    </row>
    <row r="7780" spans="1:1" x14ac:dyDescent="0.55000000000000004">
      <c r="A7780"/>
    </row>
    <row r="7781" spans="1:1" x14ac:dyDescent="0.55000000000000004">
      <c r="A7781"/>
    </row>
    <row r="7782" spans="1:1" x14ac:dyDescent="0.55000000000000004">
      <c r="A7782"/>
    </row>
    <row r="7783" spans="1:1" x14ac:dyDescent="0.55000000000000004">
      <c r="A7783"/>
    </row>
    <row r="7784" spans="1:1" x14ac:dyDescent="0.55000000000000004">
      <c r="A7784"/>
    </row>
    <row r="7785" spans="1:1" x14ac:dyDescent="0.55000000000000004">
      <c r="A7785"/>
    </row>
    <row r="7786" spans="1:1" x14ac:dyDescent="0.55000000000000004">
      <c r="A7786"/>
    </row>
    <row r="7787" spans="1:1" x14ac:dyDescent="0.55000000000000004">
      <c r="A7787"/>
    </row>
    <row r="7788" spans="1:1" x14ac:dyDescent="0.55000000000000004">
      <c r="A7788"/>
    </row>
    <row r="7789" spans="1:1" x14ac:dyDescent="0.55000000000000004">
      <c r="A7789"/>
    </row>
    <row r="7790" spans="1:1" x14ac:dyDescent="0.55000000000000004">
      <c r="A7790"/>
    </row>
    <row r="7791" spans="1:1" x14ac:dyDescent="0.55000000000000004">
      <c r="A7791"/>
    </row>
    <row r="7792" spans="1:1" x14ac:dyDescent="0.55000000000000004">
      <c r="A7792"/>
    </row>
    <row r="7793" spans="1:1" x14ac:dyDescent="0.55000000000000004">
      <c r="A7793"/>
    </row>
    <row r="7794" spans="1:1" x14ac:dyDescent="0.55000000000000004">
      <c r="A7794"/>
    </row>
    <row r="7795" spans="1:1" x14ac:dyDescent="0.55000000000000004">
      <c r="A7795"/>
    </row>
    <row r="7796" spans="1:1" x14ac:dyDescent="0.55000000000000004">
      <c r="A7796"/>
    </row>
    <row r="7797" spans="1:1" x14ac:dyDescent="0.55000000000000004">
      <c r="A7797"/>
    </row>
    <row r="7798" spans="1:1" x14ac:dyDescent="0.55000000000000004">
      <c r="A7798"/>
    </row>
    <row r="7799" spans="1:1" x14ac:dyDescent="0.55000000000000004">
      <c r="A7799"/>
    </row>
    <row r="7800" spans="1:1" x14ac:dyDescent="0.55000000000000004">
      <c r="A7800"/>
    </row>
    <row r="7801" spans="1:1" x14ac:dyDescent="0.55000000000000004">
      <c r="A7801"/>
    </row>
    <row r="7802" spans="1:1" x14ac:dyDescent="0.55000000000000004">
      <c r="A7802"/>
    </row>
    <row r="7803" spans="1:1" x14ac:dyDescent="0.55000000000000004">
      <c r="A7803"/>
    </row>
    <row r="7804" spans="1:1" x14ac:dyDescent="0.55000000000000004">
      <c r="A7804"/>
    </row>
    <row r="7805" spans="1:1" x14ac:dyDescent="0.55000000000000004">
      <c r="A7805"/>
    </row>
    <row r="7806" spans="1:1" x14ac:dyDescent="0.55000000000000004">
      <c r="A7806"/>
    </row>
    <row r="7807" spans="1:1" x14ac:dyDescent="0.55000000000000004">
      <c r="A7807"/>
    </row>
    <row r="7808" spans="1:1" x14ac:dyDescent="0.55000000000000004">
      <c r="A7808"/>
    </row>
    <row r="7809" spans="1:1" x14ac:dyDescent="0.55000000000000004">
      <c r="A7809"/>
    </row>
    <row r="7810" spans="1:1" x14ac:dyDescent="0.55000000000000004">
      <c r="A7810"/>
    </row>
    <row r="7811" spans="1:1" x14ac:dyDescent="0.55000000000000004">
      <c r="A7811"/>
    </row>
    <row r="7812" spans="1:1" x14ac:dyDescent="0.55000000000000004">
      <c r="A7812"/>
    </row>
    <row r="7813" spans="1:1" x14ac:dyDescent="0.55000000000000004">
      <c r="A7813"/>
    </row>
    <row r="7814" spans="1:1" x14ac:dyDescent="0.55000000000000004">
      <c r="A7814"/>
    </row>
    <row r="7815" spans="1:1" x14ac:dyDescent="0.55000000000000004">
      <c r="A7815"/>
    </row>
    <row r="7816" spans="1:1" x14ac:dyDescent="0.55000000000000004">
      <c r="A7816"/>
    </row>
    <row r="7817" spans="1:1" x14ac:dyDescent="0.55000000000000004">
      <c r="A7817"/>
    </row>
    <row r="7818" spans="1:1" x14ac:dyDescent="0.55000000000000004">
      <c r="A7818"/>
    </row>
    <row r="7819" spans="1:1" x14ac:dyDescent="0.55000000000000004">
      <c r="A7819"/>
    </row>
    <row r="7820" spans="1:1" x14ac:dyDescent="0.55000000000000004">
      <c r="A7820"/>
    </row>
    <row r="7821" spans="1:1" x14ac:dyDescent="0.55000000000000004">
      <c r="A7821"/>
    </row>
    <row r="7822" spans="1:1" x14ac:dyDescent="0.55000000000000004">
      <c r="A7822"/>
    </row>
    <row r="7823" spans="1:1" x14ac:dyDescent="0.55000000000000004">
      <c r="A7823"/>
    </row>
    <row r="7824" spans="1:1" x14ac:dyDescent="0.55000000000000004">
      <c r="A7824"/>
    </row>
    <row r="7825" spans="1:1" x14ac:dyDescent="0.55000000000000004">
      <c r="A7825"/>
    </row>
    <row r="7826" spans="1:1" x14ac:dyDescent="0.55000000000000004">
      <c r="A7826"/>
    </row>
    <row r="7827" spans="1:1" x14ac:dyDescent="0.55000000000000004">
      <c r="A7827"/>
    </row>
    <row r="7828" spans="1:1" x14ac:dyDescent="0.55000000000000004">
      <c r="A7828"/>
    </row>
    <row r="7829" spans="1:1" x14ac:dyDescent="0.55000000000000004">
      <c r="A7829"/>
    </row>
    <row r="7830" spans="1:1" x14ac:dyDescent="0.55000000000000004">
      <c r="A7830"/>
    </row>
    <row r="7831" spans="1:1" x14ac:dyDescent="0.55000000000000004">
      <c r="A7831"/>
    </row>
    <row r="7832" spans="1:1" x14ac:dyDescent="0.55000000000000004">
      <c r="A7832"/>
    </row>
    <row r="7833" spans="1:1" x14ac:dyDescent="0.55000000000000004">
      <c r="A7833"/>
    </row>
    <row r="7834" spans="1:1" x14ac:dyDescent="0.55000000000000004">
      <c r="A7834"/>
    </row>
    <row r="7835" spans="1:1" x14ac:dyDescent="0.55000000000000004">
      <c r="A7835"/>
    </row>
    <row r="7836" spans="1:1" x14ac:dyDescent="0.55000000000000004">
      <c r="A7836"/>
    </row>
    <row r="7837" spans="1:1" x14ac:dyDescent="0.55000000000000004">
      <c r="A7837"/>
    </row>
    <row r="7838" spans="1:1" x14ac:dyDescent="0.55000000000000004">
      <c r="A7838"/>
    </row>
    <row r="7839" spans="1:1" x14ac:dyDescent="0.55000000000000004">
      <c r="A7839"/>
    </row>
    <row r="7840" spans="1:1" x14ac:dyDescent="0.55000000000000004">
      <c r="A7840"/>
    </row>
    <row r="7841" spans="1:1" x14ac:dyDescent="0.55000000000000004">
      <c r="A7841"/>
    </row>
    <row r="7842" spans="1:1" x14ac:dyDescent="0.55000000000000004">
      <c r="A7842"/>
    </row>
    <row r="7843" spans="1:1" x14ac:dyDescent="0.55000000000000004">
      <c r="A7843"/>
    </row>
    <row r="7844" spans="1:1" x14ac:dyDescent="0.55000000000000004">
      <c r="A7844"/>
    </row>
    <row r="7845" spans="1:1" x14ac:dyDescent="0.55000000000000004">
      <c r="A7845"/>
    </row>
    <row r="7846" spans="1:1" x14ac:dyDescent="0.55000000000000004">
      <c r="A7846"/>
    </row>
    <row r="7847" spans="1:1" x14ac:dyDescent="0.55000000000000004">
      <c r="A7847"/>
    </row>
    <row r="7848" spans="1:1" x14ac:dyDescent="0.55000000000000004">
      <c r="A7848"/>
    </row>
    <row r="7849" spans="1:1" x14ac:dyDescent="0.55000000000000004">
      <c r="A7849"/>
    </row>
    <row r="7850" spans="1:1" x14ac:dyDescent="0.55000000000000004">
      <c r="A7850"/>
    </row>
    <row r="7851" spans="1:1" x14ac:dyDescent="0.55000000000000004">
      <c r="A7851"/>
    </row>
    <row r="7852" spans="1:1" x14ac:dyDescent="0.55000000000000004">
      <c r="A7852"/>
    </row>
    <row r="7853" spans="1:1" x14ac:dyDescent="0.55000000000000004">
      <c r="A7853"/>
    </row>
    <row r="7854" spans="1:1" x14ac:dyDescent="0.55000000000000004">
      <c r="A7854"/>
    </row>
    <row r="7855" spans="1:1" x14ac:dyDescent="0.55000000000000004">
      <c r="A7855"/>
    </row>
    <row r="7856" spans="1:1" x14ac:dyDescent="0.55000000000000004">
      <c r="A7856"/>
    </row>
    <row r="7857" spans="1:1" x14ac:dyDescent="0.55000000000000004">
      <c r="A7857"/>
    </row>
    <row r="7858" spans="1:1" x14ac:dyDescent="0.55000000000000004">
      <c r="A7858"/>
    </row>
    <row r="7859" spans="1:1" x14ac:dyDescent="0.55000000000000004">
      <c r="A7859"/>
    </row>
    <row r="7860" spans="1:1" x14ac:dyDescent="0.55000000000000004">
      <c r="A7860"/>
    </row>
    <row r="7861" spans="1:1" x14ac:dyDescent="0.55000000000000004">
      <c r="A7861"/>
    </row>
    <row r="7862" spans="1:1" x14ac:dyDescent="0.55000000000000004">
      <c r="A7862"/>
    </row>
    <row r="7863" spans="1:1" x14ac:dyDescent="0.55000000000000004">
      <c r="A7863"/>
    </row>
    <row r="7864" spans="1:1" x14ac:dyDescent="0.55000000000000004">
      <c r="A7864"/>
    </row>
    <row r="7865" spans="1:1" x14ac:dyDescent="0.55000000000000004">
      <c r="A7865"/>
    </row>
    <row r="7866" spans="1:1" x14ac:dyDescent="0.55000000000000004">
      <c r="A7866"/>
    </row>
    <row r="7867" spans="1:1" x14ac:dyDescent="0.55000000000000004">
      <c r="A7867"/>
    </row>
    <row r="7868" spans="1:1" x14ac:dyDescent="0.55000000000000004">
      <c r="A7868"/>
    </row>
    <row r="7869" spans="1:1" x14ac:dyDescent="0.55000000000000004">
      <c r="A7869"/>
    </row>
    <row r="7870" spans="1:1" x14ac:dyDescent="0.55000000000000004">
      <c r="A7870"/>
    </row>
    <row r="7871" spans="1:1" x14ac:dyDescent="0.55000000000000004">
      <c r="A7871"/>
    </row>
    <row r="7872" spans="1:1" x14ac:dyDescent="0.55000000000000004">
      <c r="A7872"/>
    </row>
    <row r="7873" spans="1:1" x14ac:dyDescent="0.55000000000000004">
      <c r="A7873"/>
    </row>
    <row r="7874" spans="1:1" x14ac:dyDescent="0.55000000000000004">
      <c r="A7874"/>
    </row>
    <row r="7875" spans="1:1" x14ac:dyDescent="0.55000000000000004">
      <c r="A7875"/>
    </row>
    <row r="7876" spans="1:1" x14ac:dyDescent="0.55000000000000004">
      <c r="A7876"/>
    </row>
    <row r="7877" spans="1:1" x14ac:dyDescent="0.55000000000000004">
      <c r="A7877"/>
    </row>
    <row r="7878" spans="1:1" x14ac:dyDescent="0.55000000000000004">
      <c r="A7878"/>
    </row>
    <row r="7879" spans="1:1" x14ac:dyDescent="0.55000000000000004">
      <c r="A7879"/>
    </row>
    <row r="7880" spans="1:1" x14ac:dyDescent="0.55000000000000004">
      <c r="A7880"/>
    </row>
    <row r="7881" spans="1:1" x14ac:dyDescent="0.55000000000000004">
      <c r="A7881"/>
    </row>
    <row r="7882" spans="1:1" x14ac:dyDescent="0.55000000000000004">
      <c r="A7882"/>
    </row>
    <row r="7883" spans="1:1" x14ac:dyDescent="0.55000000000000004">
      <c r="A7883"/>
    </row>
    <row r="7884" spans="1:1" x14ac:dyDescent="0.55000000000000004">
      <c r="A7884"/>
    </row>
    <row r="7885" spans="1:1" x14ac:dyDescent="0.55000000000000004">
      <c r="A7885"/>
    </row>
    <row r="7886" spans="1:1" x14ac:dyDescent="0.55000000000000004">
      <c r="A7886"/>
    </row>
    <row r="7887" spans="1:1" x14ac:dyDescent="0.55000000000000004">
      <c r="A7887"/>
    </row>
    <row r="7888" spans="1:1" x14ac:dyDescent="0.55000000000000004">
      <c r="A7888"/>
    </row>
    <row r="7889" spans="1:1" x14ac:dyDescent="0.55000000000000004">
      <c r="A7889"/>
    </row>
    <row r="7890" spans="1:1" x14ac:dyDescent="0.55000000000000004">
      <c r="A7890"/>
    </row>
    <row r="7891" spans="1:1" x14ac:dyDescent="0.55000000000000004">
      <c r="A7891"/>
    </row>
    <row r="7892" spans="1:1" x14ac:dyDescent="0.55000000000000004">
      <c r="A7892"/>
    </row>
    <row r="7893" spans="1:1" x14ac:dyDescent="0.55000000000000004">
      <c r="A7893"/>
    </row>
    <row r="7894" spans="1:1" x14ac:dyDescent="0.55000000000000004">
      <c r="A7894"/>
    </row>
    <row r="7895" spans="1:1" x14ac:dyDescent="0.55000000000000004">
      <c r="A7895"/>
    </row>
    <row r="7896" spans="1:1" x14ac:dyDescent="0.55000000000000004">
      <c r="A7896"/>
    </row>
    <row r="7897" spans="1:1" x14ac:dyDescent="0.55000000000000004">
      <c r="A7897"/>
    </row>
    <row r="7898" spans="1:1" x14ac:dyDescent="0.55000000000000004">
      <c r="A7898"/>
    </row>
    <row r="7899" spans="1:1" x14ac:dyDescent="0.55000000000000004">
      <c r="A7899"/>
    </row>
    <row r="7900" spans="1:1" x14ac:dyDescent="0.55000000000000004">
      <c r="A7900"/>
    </row>
    <row r="7901" spans="1:1" x14ac:dyDescent="0.55000000000000004">
      <c r="A7901"/>
    </row>
    <row r="7902" spans="1:1" x14ac:dyDescent="0.55000000000000004">
      <c r="A7902"/>
    </row>
    <row r="7903" spans="1:1" x14ac:dyDescent="0.55000000000000004">
      <c r="A7903"/>
    </row>
    <row r="7904" spans="1:1" x14ac:dyDescent="0.55000000000000004">
      <c r="A7904"/>
    </row>
    <row r="7905" spans="1:1" x14ac:dyDescent="0.55000000000000004">
      <c r="A7905"/>
    </row>
    <row r="7906" spans="1:1" x14ac:dyDescent="0.55000000000000004">
      <c r="A7906"/>
    </row>
    <row r="7907" spans="1:1" x14ac:dyDescent="0.55000000000000004">
      <c r="A7907"/>
    </row>
    <row r="7908" spans="1:1" x14ac:dyDescent="0.55000000000000004">
      <c r="A7908"/>
    </row>
    <row r="7909" spans="1:1" x14ac:dyDescent="0.55000000000000004">
      <c r="A7909"/>
    </row>
    <row r="7910" spans="1:1" x14ac:dyDescent="0.55000000000000004">
      <c r="A7910"/>
    </row>
    <row r="7911" spans="1:1" x14ac:dyDescent="0.55000000000000004">
      <c r="A7911"/>
    </row>
    <row r="7912" spans="1:1" x14ac:dyDescent="0.55000000000000004">
      <c r="A7912"/>
    </row>
    <row r="7913" spans="1:1" x14ac:dyDescent="0.55000000000000004">
      <c r="A7913"/>
    </row>
    <row r="7914" spans="1:1" x14ac:dyDescent="0.55000000000000004">
      <c r="A7914"/>
    </row>
    <row r="7915" spans="1:1" x14ac:dyDescent="0.55000000000000004">
      <c r="A7915"/>
    </row>
    <row r="7916" spans="1:1" x14ac:dyDescent="0.55000000000000004">
      <c r="A7916"/>
    </row>
    <row r="7917" spans="1:1" x14ac:dyDescent="0.55000000000000004">
      <c r="A7917"/>
    </row>
    <row r="7918" spans="1:1" x14ac:dyDescent="0.55000000000000004">
      <c r="A7918"/>
    </row>
    <row r="7919" spans="1:1" x14ac:dyDescent="0.55000000000000004">
      <c r="A7919"/>
    </row>
    <row r="7920" spans="1:1" x14ac:dyDescent="0.55000000000000004">
      <c r="A7920"/>
    </row>
    <row r="7921" spans="1:1" x14ac:dyDescent="0.55000000000000004">
      <c r="A7921"/>
    </row>
    <row r="7922" spans="1:1" x14ac:dyDescent="0.55000000000000004">
      <c r="A7922"/>
    </row>
    <row r="7923" spans="1:1" x14ac:dyDescent="0.55000000000000004">
      <c r="A7923"/>
    </row>
    <row r="7924" spans="1:1" x14ac:dyDescent="0.55000000000000004">
      <c r="A7924"/>
    </row>
    <row r="7925" spans="1:1" x14ac:dyDescent="0.55000000000000004">
      <c r="A7925"/>
    </row>
    <row r="7926" spans="1:1" x14ac:dyDescent="0.55000000000000004">
      <c r="A7926"/>
    </row>
    <row r="7927" spans="1:1" x14ac:dyDescent="0.55000000000000004">
      <c r="A7927"/>
    </row>
    <row r="7928" spans="1:1" x14ac:dyDescent="0.55000000000000004">
      <c r="A7928"/>
    </row>
    <row r="7929" spans="1:1" x14ac:dyDescent="0.55000000000000004">
      <c r="A7929"/>
    </row>
    <row r="7930" spans="1:1" x14ac:dyDescent="0.55000000000000004">
      <c r="A7930"/>
    </row>
    <row r="7931" spans="1:1" x14ac:dyDescent="0.55000000000000004">
      <c r="A7931"/>
    </row>
    <row r="7932" spans="1:1" x14ac:dyDescent="0.55000000000000004">
      <c r="A7932"/>
    </row>
    <row r="7933" spans="1:1" x14ac:dyDescent="0.55000000000000004">
      <c r="A7933"/>
    </row>
    <row r="7934" spans="1:1" x14ac:dyDescent="0.55000000000000004">
      <c r="A7934"/>
    </row>
    <row r="7935" spans="1:1" x14ac:dyDescent="0.55000000000000004">
      <c r="A7935"/>
    </row>
    <row r="7936" spans="1:1" x14ac:dyDescent="0.55000000000000004">
      <c r="A7936"/>
    </row>
    <row r="7937" spans="1:1" x14ac:dyDescent="0.55000000000000004">
      <c r="A7937"/>
    </row>
    <row r="7938" spans="1:1" x14ac:dyDescent="0.55000000000000004">
      <c r="A7938"/>
    </row>
    <row r="7939" spans="1:1" x14ac:dyDescent="0.55000000000000004">
      <c r="A7939"/>
    </row>
    <row r="7940" spans="1:1" x14ac:dyDescent="0.55000000000000004">
      <c r="A7940"/>
    </row>
    <row r="7941" spans="1:1" x14ac:dyDescent="0.55000000000000004">
      <c r="A7941"/>
    </row>
    <row r="7942" spans="1:1" x14ac:dyDescent="0.55000000000000004">
      <c r="A7942"/>
    </row>
    <row r="7943" spans="1:1" x14ac:dyDescent="0.55000000000000004">
      <c r="A7943"/>
    </row>
    <row r="7944" spans="1:1" x14ac:dyDescent="0.55000000000000004">
      <c r="A7944"/>
    </row>
    <row r="7945" spans="1:1" x14ac:dyDescent="0.55000000000000004">
      <c r="A7945"/>
    </row>
    <row r="7946" spans="1:1" x14ac:dyDescent="0.55000000000000004">
      <c r="A7946"/>
    </row>
    <row r="7947" spans="1:1" x14ac:dyDescent="0.55000000000000004">
      <c r="A7947"/>
    </row>
    <row r="7948" spans="1:1" x14ac:dyDescent="0.55000000000000004">
      <c r="A7948"/>
    </row>
    <row r="7949" spans="1:1" x14ac:dyDescent="0.55000000000000004">
      <c r="A7949"/>
    </row>
    <row r="7950" spans="1:1" x14ac:dyDescent="0.55000000000000004">
      <c r="A7950"/>
    </row>
    <row r="7951" spans="1:1" x14ac:dyDescent="0.55000000000000004">
      <c r="A7951"/>
    </row>
    <row r="7952" spans="1:1" x14ac:dyDescent="0.55000000000000004">
      <c r="A7952"/>
    </row>
    <row r="7953" spans="1:1" x14ac:dyDescent="0.55000000000000004">
      <c r="A7953"/>
    </row>
    <row r="7954" spans="1:1" x14ac:dyDescent="0.55000000000000004">
      <c r="A7954"/>
    </row>
    <row r="7955" spans="1:1" x14ac:dyDescent="0.55000000000000004">
      <c r="A7955"/>
    </row>
    <row r="7956" spans="1:1" x14ac:dyDescent="0.55000000000000004">
      <c r="A7956"/>
    </row>
    <row r="7957" spans="1:1" x14ac:dyDescent="0.55000000000000004">
      <c r="A7957"/>
    </row>
    <row r="7958" spans="1:1" x14ac:dyDescent="0.55000000000000004">
      <c r="A7958"/>
    </row>
    <row r="7959" spans="1:1" x14ac:dyDescent="0.55000000000000004">
      <c r="A7959"/>
    </row>
    <row r="7960" spans="1:1" x14ac:dyDescent="0.55000000000000004">
      <c r="A7960"/>
    </row>
    <row r="7961" spans="1:1" x14ac:dyDescent="0.55000000000000004">
      <c r="A7961"/>
    </row>
    <row r="7962" spans="1:1" x14ac:dyDescent="0.55000000000000004">
      <c r="A7962"/>
    </row>
    <row r="7963" spans="1:1" x14ac:dyDescent="0.55000000000000004">
      <c r="A7963"/>
    </row>
    <row r="7964" spans="1:1" x14ac:dyDescent="0.55000000000000004">
      <c r="A7964"/>
    </row>
    <row r="7965" spans="1:1" x14ac:dyDescent="0.55000000000000004">
      <c r="A7965"/>
    </row>
    <row r="7966" spans="1:1" x14ac:dyDescent="0.55000000000000004">
      <c r="A7966"/>
    </row>
    <row r="7967" spans="1:1" x14ac:dyDescent="0.55000000000000004">
      <c r="A7967"/>
    </row>
    <row r="7968" spans="1:1" x14ac:dyDescent="0.55000000000000004">
      <c r="A7968"/>
    </row>
    <row r="7969" spans="1:1" x14ac:dyDescent="0.55000000000000004">
      <c r="A7969"/>
    </row>
    <row r="7970" spans="1:1" x14ac:dyDescent="0.55000000000000004">
      <c r="A7970"/>
    </row>
    <row r="7971" spans="1:1" x14ac:dyDescent="0.55000000000000004">
      <c r="A7971"/>
    </row>
    <row r="7972" spans="1:1" x14ac:dyDescent="0.55000000000000004">
      <c r="A7972"/>
    </row>
    <row r="7973" spans="1:1" x14ac:dyDescent="0.55000000000000004">
      <c r="A7973"/>
    </row>
    <row r="7974" spans="1:1" x14ac:dyDescent="0.55000000000000004">
      <c r="A7974"/>
    </row>
    <row r="7975" spans="1:1" x14ac:dyDescent="0.55000000000000004">
      <c r="A7975"/>
    </row>
    <row r="7976" spans="1:1" x14ac:dyDescent="0.55000000000000004">
      <c r="A7976"/>
    </row>
    <row r="7977" spans="1:1" x14ac:dyDescent="0.55000000000000004">
      <c r="A7977"/>
    </row>
    <row r="7978" spans="1:1" x14ac:dyDescent="0.55000000000000004">
      <c r="A7978"/>
    </row>
    <row r="7979" spans="1:1" x14ac:dyDescent="0.55000000000000004">
      <c r="A7979"/>
    </row>
    <row r="7980" spans="1:1" x14ac:dyDescent="0.55000000000000004">
      <c r="A7980"/>
    </row>
    <row r="7981" spans="1:1" x14ac:dyDescent="0.55000000000000004">
      <c r="A7981"/>
    </row>
    <row r="7982" spans="1:1" x14ac:dyDescent="0.55000000000000004">
      <c r="A7982"/>
    </row>
    <row r="7983" spans="1:1" x14ac:dyDescent="0.55000000000000004">
      <c r="A7983"/>
    </row>
    <row r="7984" spans="1:1" x14ac:dyDescent="0.55000000000000004">
      <c r="A7984"/>
    </row>
    <row r="7985" spans="1:1" x14ac:dyDescent="0.55000000000000004">
      <c r="A7985"/>
    </row>
    <row r="7986" spans="1:1" x14ac:dyDescent="0.55000000000000004">
      <c r="A7986"/>
    </row>
    <row r="7987" spans="1:1" x14ac:dyDescent="0.55000000000000004">
      <c r="A7987"/>
    </row>
    <row r="7988" spans="1:1" x14ac:dyDescent="0.55000000000000004">
      <c r="A7988"/>
    </row>
    <row r="7989" spans="1:1" x14ac:dyDescent="0.55000000000000004">
      <c r="A7989"/>
    </row>
    <row r="7990" spans="1:1" x14ac:dyDescent="0.55000000000000004">
      <c r="A7990"/>
    </row>
    <row r="7991" spans="1:1" x14ac:dyDescent="0.55000000000000004">
      <c r="A7991"/>
    </row>
    <row r="7992" spans="1:1" x14ac:dyDescent="0.55000000000000004">
      <c r="A7992"/>
    </row>
    <row r="7993" spans="1:1" x14ac:dyDescent="0.55000000000000004">
      <c r="A7993"/>
    </row>
    <row r="7994" spans="1:1" x14ac:dyDescent="0.55000000000000004">
      <c r="A7994"/>
    </row>
    <row r="7995" spans="1:1" x14ac:dyDescent="0.55000000000000004">
      <c r="A7995"/>
    </row>
    <row r="7996" spans="1:1" x14ac:dyDescent="0.55000000000000004">
      <c r="A7996"/>
    </row>
    <row r="7997" spans="1:1" x14ac:dyDescent="0.55000000000000004">
      <c r="A7997"/>
    </row>
    <row r="7998" spans="1:1" x14ac:dyDescent="0.55000000000000004">
      <c r="A7998"/>
    </row>
    <row r="7999" spans="1:1" x14ac:dyDescent="0.55000000000000004">
      <c r="A7999"/>
    </row>
    <row r="8000" spans="1:1" x14ac:dyDescent="0.55000000000000004">
      <c r="A8000"/>
    </row>
    <row r="8001" spans="1:1" x14ac:dyDescent="0.55000000000000004">
      <c r="A8001"/>
    </row>
    <row r="8002" spans="1:1" x14ac:dyDescent="0.55000000000000004">
      <c r="A8002"/>
    </row>
    <row r="8003" spans="1:1" x14ac:dyDescent="0.55000000000000004">
      <c r="A8003"/>
    </row>
    <row r="8004" spans="1:1" x14ac:dyDescent="0.55000000000000004">
      <c r="A8004"/>
    </row>
    <row r="8005" spans="1:1" x14ac:dyDescent="0.55000000000000004">
      <c r="A8005"/>
    </row>
    <row r="8006" spans="1:1" x14ac:dyDescent="0.55000000000000004">
      <c r="A8006"/>
    </row>
    <row r="8007" spans="1:1" x14ac:dyDescent="0.55000000000000004">
      <c r="A8007"/>
    </row>
    <row r="8008" spans="1:1" x14ac:dyDescent="0.55000000000000004">
      <c r="A8008"/>
    </row>
    <row r="8009" spans="1:1" x14ac:dyDescent="0.55000000000000004">
      <c r="A8009"/>
    </row>
    <row r="8010" spans="1:1" x14ac:dyDescent="0.55000000000000004">
      <c r="A8010"/>
    </row>
    <row r="8011" spans="1:1" x14ac:dyDescent="0.55000000000000004">
      <c r="A8011"/>
    </row>
    <row r="8012" spans="1:1" x14ac:dyDescent="0.55000000000000004">
      <c r="A8012"/>
    </row>
    <row r="8013" spans="1:1" x14ac:dyDescent="0.55000000000000004">
      <c r="A8013"/>
    </row>
    <row r="8014" spans="1:1" x14ac:dyDescent="0.55000000000000004">
      <c r="A8014"/>
    </row>
    <row r="8015" spans="1:1" x14ac:dyDescent="0.55000000000000004">
      <c r="A8015"/>
    </row>
    <row r="8016" spans="1:1" x14ac:dyDescent="0.55000000000000004">
      <c r="A8016"/>
    </row>
    <row r="8017" spans="1:1" x14ac:dyDescent="0.55000000000000004">
      <c r="A8017"/>
    </row>
    <row r="8018" spans="1:1" x14ac:dyDescent="0.55000000000000004">
      <c r="A8018"/>
    </row>
    <row r="8019" spans="1:1" x14ac:dyDescent="0.55000000000000004">
      <c r="A8019"/>
    </row>
    <row r="8020" spans="1:1" x14ac:dyDescent="0.55000000000000004">
      <c r="A8020"/>
    </row>
    <row r="8021" spans="1:1" x14ac:dyDescent="0.55000000000000004">
      <c r="A8021"/>
    </row>
    <row r="8022" spans="1:1" x14ac:dyDescent="0.55000000000000004">
      <c r="A8022"/>
    </row>
    <row r="8023" spans="1:1" x14ac:dyDescent="0.55000000000000004">
      <c r="A8023"/>
    </row>
    <row r="8024" spans="1:1" x14ac:dyDescent="0.55000000000000004">
      <c r="A8024"/>
    </row>
    <row r="8025" spans="1:1" x14ac:dyDescent="0.55000000000000004">
      <c r="A8025"/>
    </row>
    <row r="8026" spans="1:1" x14ac:dyDescent="0.55000000000000004">
      <c r="A8026"/>
    </row>
    <row r="8027" spans="1:1" x14ac:dyDescent="0.55000000000000004">
      <c r="A8027"/>
    </row>
    <row r="8028" spans="1:1" x14ac:dyDescent="0.55000000000000004">
      <c r="A8028"/>
    </row>
    <row r="8029" spans="1:1" x14ac:dyDescent="0.55000000000000004">
      <c r="A8029"/>
    </row>
    <row r="8030" spans="1:1" x14ac:dyDescent="0.55000000000000004">
      <c r="A8030"/>
    </row>
    <row r="8031" spans="1:1" x14ac:dyDescent="0.55000000000000004">
      <c r="A8031"/>
    </row>
    <row r="8032" spans="1:1" x14ac:dyDescent="0.55000000000000004">
      <c r="A8032"/>
    </row>
    <row r="8033" spans="1:1" x14ac:dyDescent="0.55000000000000004">
      <c r="A8033"/>
    </row>
    <row r="8034" spans="1:1" x14ac:dyDescent="0.55000000000000004">
      <c r="A8034"/>
    </row>
    <row r="8035" spans="1:1" x14ac:dyDescent="0.55000000000000004">
      <c r="A8035"/>
    </row>
    <row r="8036" spans="1:1" x14ac:dyDescent="0.55000000000000004">
      <c r="A8036"/>
    </row>
    <row r="8037" spans="1:1" x14ac:dyDescent="0.55000000000000004">
      <c r="A8037"/>
    </row>
    <row r="8038" spans="1:1" x14ac:dyDescent="0.55000000000000004">
      <c r="A8038"/>
    </row>
    <row r="8039" spans="1:1" x14ac:dyDescent="0.55000000000000004">
      <c r="A8039"/>
    </row>
    <row r="8040" spans="1:1" x14ac:dyDescent="0.55000000000000004">
      <c r="A8040"/>
    </row>
    <row r="8041" spans="1:1" x14ac:dyDescent="0.55000000000000004">
      <c r="A8041"/>
    </row>
    <row r="8042" spans="1:1" x14ac:dyDescent="0.55000000000000004">
      <c r="A8042"/>
    </row>
    <row r="8043" spans="1:1" x14ac:dyDescent="0.55000000000000004">
      <c r="A8043"/>
    </row>
    <row r="8044" spans="1:1" x14ac:dyDescent="0.55000000000000004">
      <c r="A8044"/>
    </row>
    <row r="8045" spans="1:1" x14ac:dyDescent="0.55000000000000004">
      <c r="A8045"/>
    </row>
    <row r="8046" spans="1:1" x14ac:dyDescent="0.55000000000000004">
      <c r="A8046"/>
    </row>
    <row r="8047" spans="1:1" x14ac:dyDescent="0.55000000000000004">
      <c r="A8047"/>
    </row>
    <row r="8048" spans="1:1" x14ac:dyDescent="0.55000000000000004">
      <c r="A8048"/>
    </row>
    <row r="8049" spans="1:1" x14ac:dyDescent="0.55000000000000004">
      <c r="A8049"/>
    </row>
    <row r="8050" spans="1:1" x14ac:dyDescent="0.55000000000000004">
      <c r="A8050"/>
    </row>
    <row r="8051" spans="1:1" x14ac:dyDescent="0.55000000000000004">
      <c r="A8051"/>
    </row>
    <row r="8052" spans="1:1" x14ac:dyDescent="0.55000000000000004">
      <c r="A8052"/>
    </row>
    <row r="8053" spans="1:1" x14ac:dyDescent="0.55000000000000004">
      <c r="A8053"/>
    </row>
    <row r="8054" spans="1:1" x14ac:dyDescent="0.55000000000000004">
      <c r="A8054"/>
    </row>
    <row r="8055" spans="1:1" x14ac:dyDescent="0.55000000000000004">
      <c r="A8055"/>
    </row>
    <row r="8056" spans="1:1" x14ac:dyDescent="0.55000000000000004">
      <c r="A8056"/>
    </row>
    <row r="8057" spans="1:1" x14ac:dyDescent="0.55000000000000004">
      <c r="A8057"/>
    </row>
    <row r="8058" spans="1:1" x14ac:dyDescent="0.55000000000000004">
      <c r="A8058"/>
    </row>
    <row r="8059" spans="1:1" x14ac:dyDescent="0.55000000000000004">
      <c r="A8059"/>
    </row>
    <row r="8060" spans="1:1" x14ac:dyDescent="0.55000000000000004">
      <c r="A8060"/>
    </row>
    <row r="8061" spans="1:1" x14ac:dyDescent="0.55000000000000004">
      <c r="A8061"/>
    </row>
    <row r="8062" spans="1:1" x14ac:dyDescent="0.55000000000000004">
      <c r="A8062"/>
    </row>
    <row r="8063" spans="1:1" x14ac:dyDescent="0.55000000000000004">
      <c r="A8063"/>
    </row>
    <row r="8064" spans="1:1" x14ac:dyDescent="0.55000000000000004">
      <c r="A8064"/>
    </row>
    <row r="8065" spans="1:1" x14ac:dyDescent="0.55000000000000004">
      <c r="A8065"/>
    </row>
    <row r="8066" spans="1:1" x14ac:dyDescent="0.55000000000000004">
      <c r="A8066"/>
    </row>
    <row r="8067" spans="1:1" x14ac:dyDescent="0.55000000000000004">
      <c r="A8067"/>
    </row>
    <row r="8068" spans="1:1" x14ac:dyDescent="0.55000000000000004">
      <c r="A8068"/>
    </row>
    <row r="8069" spans="1:1" x14ac:dyDescent="0.55000000000000004">
      <c r="A8069"/>
    </row>
    <row r="8070" spans="1:1" x14ac:dyDescent="0.55000000000000004">
      <c r="A8070"/>
    </row>
    <row r="8071" spans="1:1" x14ac:dyDescent="0.55000000000000004">
      <c r="A8071"/>
    </row>
    <row r="8072" spans="1:1" x14ac:dyDescent="0.55000000000000004">
      <c r="A8072"/>
    </row>
    <row r="8073" spans="1:1" x14ac:dyDescent="0.55000000000000004">
      <c r="A8073"/>
    </row>
    <row r="8074" spans="1:1" x14ac:dyDescent="0.55000000000000004">
      <c r="A8074"/>
    </row>
    <row r="8075" spans="1:1" x14ac:dyDescent="0.55000000000000004">
      <c r="A8075"/>
    </row>
    <row r="8076" spans="1:1" x14ac:dyDescent="0.55000000000000004">
      <c r="A8076"/>
    </row>
    <row r="8077" spans="1:1" x14ac:dyDescent="0.55000000000000004">
      <c r="A8077"/>
    </row>
    <row r="8078" spans="1:1" x14ac:dyDescent="0.55000000000000004">
      <c r="A8078"/>
    </row>
    <row r="8079" spans="1:1" x14ac:dyDescent="0.55000000000000004">
      <c r="A8079"/>
    </row>
    <row r="8080" spans="1:1" x14ac:dyDescent="0.55000000000000004">
      <c r="A8080"/>
    </row>
    <row r="8081" spans="1:1" x14ac:dyDescent="0.55000000000000004">
      <c r="A8081"/>
    </row>
    <row r="8082" spans="1:1" x14ac:dyDescent="0.55000000000000004">
      <c r="A8082"/>
    </row>
    <row r="8083" spans="1:1" x14ac:dyDescent="0.55000000000000004">
      <c r="A8083"/>
    </row>
    <row r="8084" spans="1:1" x14ac:dyDescent="0.55000000000000004">
      <c r="A8084"/>
    </row>
    <row r="8085" spans="1:1" x14ac:dyDescent="0.55000000000000004">
      <c r="A8085"/>
    </row>
    <row r="8086" spans="1:1" x14ac:dyDescent="0.55000000000000004">
      <c r="A8086"/>
    </row>
    <row r="8087" spans="1:1" x14ac:dyDescent="0.55000000000000004">
      <c r="A8087"/>
    </row>
    <row r="8088" spans="1:1" x14ac:dyDescent="0.55000000000000004">
      <c r="A8088"/>
    </row>
    <row r="8089" spans="1:1" x14ac:dyDescent="0.55000000000000004">
      <c r="A8089"/>
    </row>
    <row r="8090" spans="1:1" x14ac:dyDescent="0.55000000000000004">
      <c r="A8090"/>
    </row>
    <row r="8091" spans="1:1" x14ac:dyDescent="0.55000000000000004">
      <c r="A8091"/>
    </row>
    <row r="8092" spans="1:1" x14ac:dyDescent="0.55000000000000004">
      <c r="A8092"/>
    </row>
    <row r="8093" spans="1:1" x14ac:dyDescent="0.55000000000000004">
      <c r="A8093"/>
    </row>
    <row r="8094" spans="1:1" x14ac:dyDescent="0.55000000000000004">
      <c r="A8094"/>
    </row>
    <row r="8095" spans="1:1" x14ac:dyDescent="0.55000000000000004">
      <c r="A8095"/>
    </row>
    <row r="8096" spans="1:1" x14ac:dyDescent="0.55000000000000004">
      <c r="A8096"/>
    </row>
    <row r="8097" spans="1:1" x14ac:dyDescent="0.55000000000000004">
      <c r="A8097"/>
    </row>
    <row r="8098" spans="1:1" x14ac:dyDescent="0.55000000000000004">
      <c r="A8098"/>
    </row>
    <row r="8099" spans="1:1" x14ac:dyDescent="0.55000000000000004">
      <c r="A8099"/>
    </row>
    <row r="8100" spans="1:1" x14ac:dyDescent="0.55000000000000004">
      <c r="A8100"/>
    </row>
    <row r="8101" spans="1:1" x14ac:dyDescent="0.55000000000000004">
      <c r="A8101"/>
    </row>
    <row r="8102" spans="1:1" x14ac:dyDescent="0.55000000000000004">
      <c r="A8102"/>
    </row>
    <row r="8103" spans="1:1" x14ac:dyDescent="0.55000000000000004">
      <c r="A8103"/>
    </row>
    <row r="8104" spans="1:1" x14ac:dyDescent="0.55000000000000004">
      <c r="A8104"/>
    </row>
    <row r="8105" spans="1:1" x14ac:dyDescent="0.55000000000000004">
      <c r="A8105"/>
    </row>
    <row r="8106" spans="1:1" x14ac:dyDescent="0.55000000000000004">
      <c r="A8106"/>
    </row>
    <row r="8107" spans="1:1" x14ac:dyDescent="0.55000000000000004">
      <c r="A8107"/>
    </row>
    <row r="8108" spans="1:1" x14ac:dyDescent="0.55000000000000004">
      <c r="A8108"/>
    </row>
    <row r="8109" spans="1:1" x14ac:dyDescent="0.55000000000000004">
      <c r="A8109"/>
    </row>
    <row r="8110" spans="1:1" x14ac:dyDescent="0.55000000000000004">
      <c r="A8110"/>
    </row>
    <row r="8111" spans="1:1" x14ac:dyDescent="0.55000000000000004">
      <c r="A8111"/>
    </row>
    <row r="8112" spans="1:1" x14ac:dyDescent="0.55000000000000004">
      <c r="A8112"/>
    </row>
    <row r="8113" spans="1:1" x14ac:dyDescent="0.55000000000000004">
      <c r="A8113"/>
    </row>
    <row r="8114" spans="1:1" x14ac:dyDescent="0.55000000000000004">
      <c r="A8114"/>
    </row>
    <row r="8115" spans="1:1" x14ac:dyDescent="0.55000000000000004">
      <c r="A8115"/>
    </row>
    <row r="8116" spans="1:1" x14ac:dyDescent="0.55000000000000004">
      <c r="A8116"/>
    </row>
    <row r="8117" spans="1:1" x14ac:dyDescent="0.55000000000000004">
      <c r="A8117"/>
    </row>
    <row r="8118" spans="1:1" x14ac:dyDescent="0.55000000000000004">
      <c r="A8118"/>
    </row>
    <row r="8119" spans="1:1" x14ac:dyDescent="0.55000000000000004">
      <c r="A8119"/>
    </row>
    <row r="8120" spans="1:1" x14ac:dyDescent="0.55000000000000004">
      <c r="A8120"/>
    </row>
    <row r="8121" spans="1:1" x14ac:dyDescent="0.55000000000000004">
      <c r="A8121"/>
    </row>
    <row r="8122" spans="1:1" x14ac:dyDescent="0.55000000000000004">
      <c r="A8122"/>
    </row>
    <row r="8123" spans="1:1" x14ac:dyDescent="0.55000000000000004">
      <c r="A8123"/>
    </row>
    <row r="8124" spans="1:1" x14ac:dyDescent="0.55000000000000004">
      <c r="A8124"/>
    </row>
    <row r="8125" spans="1:1" x14ac:dyDescent="0.55000000000000004">
      <c r="A8125"/>
    </row>
    <row r="8126" spans="1:1" x14ac:dyDescent="0.55000000000000004">
      <c r="A8126"/>
    </row>
    <row r="8127" spans="1:1" x14ac:dyDescent="0.55000000000000004">
      <c r="A8127"/>
    </row>
    <row r="8128" spans="1:1" x14ac:dyDescent="0.55000000000000004">
      <c r="A8128"/>
    </row>
    <row r="8129" spans="1:1" x14ac:dyDescent="0.55000000000000004">
      <c r="A8129"/>
    </row>
    <row r="8130" spans="1:1" x14ac:dyDescent="0.55000000000000004">
      <c r="A8130"/>
    </row>
    <row r="8131" spans="1:1" x14ac:dyDescent="0.55000000000000004">
      <c r="A8131"/>
    </row>
    <row r="8132" spans="1:1" x14ac:dyDescent="0.55000000000000004">
      <c r="A8132"/>
    </row>
    <row r="8133" spans="1:1" x14ac:dyDescent="0.55000000000000004">
      <c r="A8133"/>
    </row>
    <row r="8134" spans="1:1" x14ac:dyDescent="0.55000000000000004">
      <c r="A8134"/>
    </row>
    <row r="8135" spans="1:1" x14ac:dyDescent="0.55000000000000004">
      <c r="A8135"/>
    </row>
    <row r="8136" spans="1:1" x14ac:dyDescent="0.55000000000000004">
      <c r="A8136"/>
    </row>
    <row r="8137" spans="1:1" x14ac:dyDescent="0.55000000000000004">
      <c r="A8137"/>
    </row>
    <row r="8138" spans="1:1" x14ac:dyDescent="0.55000000000000004">
      <c r="A8138"/>
    </row>
    <row r="8139" spans="1:1" x14ac:dyDescent="0.55000000000000004">
      <c r="A8139"/>
    </row>
    <row r="8140" spans="1:1" x14ac:dyDescent="0.55000000000000004">
      <c r="A8140"/>
    </row>
    <row r="8141" spans="1:1" x14ac:dyDescent="0.55000000000000004">
      <c r="A8141"/>
    </row>
    <row r="8142" spans="1:1" x14ac:dyDescent="0.55000000000000004">
      <c r="A8142"/>
    </row>
    <row r="8143" spans="1:1" x14ac:dyDescent="0.55000000000000004">
      <c r="A8143"/>
    </row>
    <row r="8144" spans="1:1" x14ac:dyDescent="0.55000000000000004">
      <c r="A8144"/>
    </row>
    <row r="8145" spans="1:1" x14ac:dyDescent="0.55000000000000004">
      <c r="A8145"/>
    </row>
    <row r="8146" spans="1:1" x14ac:dyDescent="0.55000000000000004">
      <c r="A8146"/>
    </row>
    <row r="8147" spans="1:1" x14ac:dyDescent="0.55000000000000004">
      <c r="A8147"/>
    </row>
    <row r="8148" spans="1:1" x14ac:dyDescent="0.55000000000000004">
      <c r="A8148"/>
    </row>
    <row r="8149" spans="1:1" x14ac:dyDescent="0.55000000000000004">
      <c r="A8149"/>
    </row>
    <row r="8150" spans="1:1" x14ac:dyDescent="0.55000000000000004">
      <c r="A8150"/>
    </row>
    <row r="8151" spans="1:1" x14ac:dyDescent="0.55000000000000004">
      <c r="A8151"/>
    </row>
    <row r="8152" spans="1:1" x14ac:dyDescent="0.55000000000000004">
      <c r="A8152"/>
    </row>
    <row r="8153" spans="1:1" x14ac:dyDescent="0.55000000000000004">
      <c r="A8153"/>
    </row>
    <row r="8154" spans="1:1" x14ac:dyDescent="0.55000000000000004">
      <c r="A8154"/>
    </row>
    <row r="8155" spans="1:1" x14ac:dyDescent="0.55000000000000004">
      <c r="A8155"/>
    </row>
    <row r="8156" spans="1:1" x14ac:dyDescent="0.55000000000000004">
      <c r="A8156"/>
    </row>
    <row r="8157" spans="1:1" x14ac:dyDescent="0.55000000000000004">
      <c r="A8157"/>
    </row>
    <row r="8158" spans="1:1" x14ac:dyDescent="0.55000000000000004">
      <c r="A8158"/>
    </row>
    <row r="8159" spans="1:1" x14ac:dyDescent="0.55000000000000004">
      <c r="A8159"/>
    </row>
    <row r="8160" spans="1:1" x14ac:dyDescent="0.55000000000000004">
      <c r="A8160"/>
    </row>
    <row r="8161" spans="1:1" x14ac:dyDescent="0.55000000000000004">
      <c r="A8161"/>
    </row>
    <row r="8162" spans="1:1" x14ac:dyDescent="0.55000000000000004">
      <c r="A8162"/>
    </row>
    <row r="8163" spans="1:1" x14ac:dyDescent="0.55000000000000004">
      <c r="A8163"/>
    </row>
    <row r="8164" spans="1:1" x14ac:dyDescent="0.55000000000000004">
      <c r="A8164"/>
    </row>
    <row r="8165" spans="1:1" x14ac:dyDescent="0.55000000000000004">
      <c r="A8165"/>
    </row>
    <row r="8166" spans="1:1" x14ac:dyDescent="0.55000000000000004">
      <c r="A8166"/>
    </row>
    <row r="8167" spans="1:1" x14ac:dyDescent="0.55000000000000004">
      <c r="A8167"/>
    </row>
    <row r="8168" spans="1:1" x14ac:dyDescent="0.55000000000000004">
      <c r="A8168"/>
    </row>
    <row r="8169" spans="1:1" x14ac:dyDescent="0.55000000000000004">
      <c r="A8169"/>
    </row>
    <row r="8170" spans="1:1" x14ac:dyDescent="0.55000000000000004">
      <c r="A8170"/>
    </row>
    <row r="8171" spans="1:1" x14ac:dyDescent="0.55000000000000004">
      <c r="A8171"/>
    </row>
    <row r="8172" spans="1:1" x14ac:dyDescent="0.55000000000000004">
      <c r="A8172"/>
    </row>
    <row r="8173" spans="1:1" x14ac:dyDescent="0.55000000000000004">
      <c r="A8173"/>
    </row>
    <row r="8174" spans="1:1" x14ac:dyDescent="0.55000000000000004">
      <c r="A8174"/>
    </row>
    <row r="8175" spans="1:1" x14ac:dyDescent="0.55000000000000004">
      <c r="A8175"/>
    </row>
    <row r="8176" spans="1:1" x14ac:dyDescent="0.55000000000000004">
      <c r="A8176"/>
    </row>
    <row r="8177" spans="1:1" x14ac:dyDescent="0.55000000000000004">
      <c r="A8177"/>
    </row>
    <row r="8178" spans="1:1" x14ac:dyDescent="0.55000000000000004">
      <c r="A8178"/>
    </row>
    <row r="8179" spans="1:1" x14ac:dyDescent="0.55000000000000004">
      <c r="A8179"/>
    </row>
    <row r="8180" spans="1:1" x14ac:dyDescent="0.55000000000000004">
      <c r="A8180"/>
    </row>
    <row r="8181" spans="1:1" x14ac:dyDescent="0.55000000000000004">
      <c r="A8181"/>
    </row>
    <row r="8182" spans="1:1" x14ac:dyDescent="0.55000000000000004">
      <c r="A8182"/>
    </row>
    <row r="8183" spans="1:1" x14ac:dyDescent="0.55000000000000004">
      <c r="A8183"/>
    </row>
    <row r="8184" spans="1:1" x14ac:dyDescent="0.55000000000000004">
      <c r="A8184"/>
    </row>
    <row r="8185" spans="1:1" x14ac:dyDescent="0.55000000000000004">
      <c r="A8185"/>
    </row>
    <row r="8186" spans="1:1" x14ac:dyDescent="0.55000000000000004">
      <c r="A8186"/>
    </row>
    <row r="8187" spans="1:1" x14ac:dyDescent="0.55000000000000004">
      <c r="A8187"/>
    </row>
    <row r="8188" spans="1:1" x14ac:dyDescent="0.55000000000000004">
      <c r="A8188"/>
    </row>
    <row r="8189" spans="1:1" x14ac:dyDescent="0.55000000000000004">
      <c r="A8189"/>
    </row>
    <row r="8190" spans="1:1" x14ac:dyDescent="0.55000000000000004">
      <c r="A8190"/>
    </row>
    <row r="8191" spans="1:1" x14ac:dyDescent="0.55000000000000004">
      <c r="A8191"/>
    </row>
    <row r="8192" spans="1:1" x14ac:dyDescent="0.55000000000000004">
      <c r="A8192"/>
    </row>
    <row r="8193" spans="1:1" x14ac:dyDescent="0.55000000000000004">
      <c r="A8193"/>
    </row>
    <row r="8194" spans="1:1" x14ac:dyDescent="0.55000000000000004">
      <c r="A8194"/>
    </row>
    <row r="8195" spans="1:1" x14ac:dyDescent="0.55000000000000004">
      <c r="A8195"/>
    </row>
    <row r="8196" spans="1:1" x14ac:dyDescent="0.55000000000000004">
      <c r="A8196"/>
    </row>
    <row r="8197" spans="1:1" x14ac:dyDescent="0.55000000000000004">
      <c r="A8197"/>
    </row>
    <row r="8198" spans="1:1" x14ac:dyDescent="0.55000000000000004">
      <c r="A8198"/>
    </row>
    <row r="8199" spans="1:1" x14ac:dyDescent="0.55000000000000004">
      <c r="A8199"/>
    </row>
    <row r="8200" spans="1:1" x14ac:dyDescent="0.55000000000000004">
      <c r="A8200"/>
    </row>
    <row r="8201" spans="1:1" x14ac:dyDescent="0.55000000000000004">
      <c r="A8201"/>
    </row>
    <row r="8202" spans="1:1" x14ac:dyDescent="0.55000000000000004">
      <c r="A8202"/>
    </row>
    <row r="8203" spans="1:1" x14ac:dyDescent="0.55000000000000004">
      <c r="A8203"/>
    </row>
    <row r="8204" spans="1:1" x14ac:dyDescent="0.55000000000000004">
      <c r="A8204"/>
    </row>
    <row r="8205" spans="1:1" x14ac:dyDescent="0.55000000000000004">
      <c r="A8205"/>
    </row>
    <row r="8206" spans="1:1" x14ac:dyDescent="0.55000000000000004">
      <c r="A8206"/>
    </row>
    <row r="8207" spans="1:1" x14ac:dyDescent="0.55000000000000004">
      <c r="A8207"/>
    </row>
    <row r="8208" spans="1:1" x14ac:dyDescent="0.55000000000000004">
      <c r="A8208"/>
    </row>
    <row r="8209" spans="1:1" x14ac:dyDescent="0.55000000000000004">
      <c r="A8209"/>
    </row>
    <row r="8210" spans="1:1" x14ac:dyDescent="0.55000000000000004">
      <c r="A8210"/>
    </row>
    <row r="8211" spans="1:1" x14ac:dyDescent="0.55000000000000004">
      <c r="A8211"/>
    </row>
    <row r="8212" spans="1:1" x14ac:dyDescent="0.55000000000000004">
      <c r="A8212"/>
    </row>
    <row r="8213" spans="1:1" x14ac:dyDescent="0.55000000000000004">
      <c r="A8213"/>
    </row>
    <row r="8214" spans="1:1" x14ac:dyDescent="0.55000000000000004">
      <c r="A8214"/>
    </row>
    <row r="8215" spans="1:1" x14ac:dyDescent="0.55000000000000004">
      <c r="A8215"/>
    </row>
    <row r="8216" spans="1:1" x14ac:dyDescent="0.55000000000000004">
      <c r="A8216"/>
    </row>
    <row r="8217" spans="1:1" x14ac:dyDescent="0.55000000000000004">
      <c r="A8217"/>
    </row>
    <row r="8218" spans="1:1" x14ac:dyDescent="0.55000000000000004">
      <c r="A8218"/>
    </row>
    <row r="8219" spans="1:1" x14ac:dyDescent="0.55000000000000004">
      <c r="A8219"/>
    </row>
    <row r="8220" spans="1:1" x14ac:dyDescent="0.55000000000000004">
      <c r="A8220"/>
    </row>
    <row r="8221" spans="1:1" x14ac:dyDescent="0.55000000000000004">
      <c r="A8221"/>
    </row>
    <row r="8222" spans="1:1" x14ac:dyDescent="0.55000000000000004">
      <c r="A8222"/>
    </row>
    <row r="8223" spans="1:1" x14ac:dyDescent="0.55000000000000004">
      <c r="A8223"/>
    </row>
    <row r="8224" spans="1:1" x14ac:dyDescent="0.55000000000000004">
      <c r="A8224"/>
    </row>
    <row r="8225" spans="1:1" x14ac:dyDescent="0.55000000000000004">
      <c r="A8225"/>
    </row>
    <row r="8226" spans="1:1" x14ac:dyDescent="0.55000000000000004">
      <c r="A8226"/>
    </row>
    <row r="8227" spans="1:1" x14ac:dyDescent="0.55000000000000004">
      <c r="A8227"/>
    </row>
    <row r="8228" spans="1:1" x14ac:dyDescent="0.55000000000000004">
      <c r="A8228"/>
    </row>
    <row r="8229" spans="1:1" x14ac:dyDescent="0.55000000000000004">
      <c r="A8229"/>
    </row>
    <row r="8230" spans="1:1" x14ac:dyDescent="0.55000000000000004">
      <c r="A8230"/>
    </row>
    <row r="8231" spans="1:1" x14ac:dyDescent="0.55000000000000004">
      <c r="A8231"/>
    </row>
    <row r="8232" spans="1:1" x14ac:dyDescent="0.55000000000000004">
      <c r="A8232"/>
    </row>
    <row r="8233" spans="1:1" x14ac:dyDescent="0.55000000000000004">
      <c r="A8233"/>
    </row>
    <row r="8234" spans="1:1" x14ac:dyDescent="0.55000000000000004">
      <c r="A8234"/>
    </row>
    <row r="8235" spans="1:1" x14ac:dyDescent="0.55000000000000004">
      <c r="A8235"/>
    </row>
    <row r="8236" spans="1:1" x14ac:dyDescent="0.55000000000000004">
      <c r="A8236"/>
    </row>
    <row r="8237" spans="1:1" x14ac:dyDescent="0.55000000000000004">
      <c r="A8237"/>
    </row>
    <row r="8238" spans="1:1" x14ac:dyDescent="0.55000000000000004">
      <c r="A8238"/>
    </row>
    <row r="8239" spans="1:1" x14ac:dyDescent="0.55000000000000004">
      <c r="A8239"/>
    </row>
    <row r="8240" spans="1:1" x14ac:dyDescent="0.55000000000000004">
      <c r="A8240"/>
    </row>
    <row r="8241" spans="1:1" x14ac:dyDescent="0.55000000000000004">
      <c r="A8241"/>
    </row>
    <row r="8242" spans="1:1" x14ac:dyDescent="0.55000000000000004">
      <c r="A8242"/>
    </row>
    <row r="8243" spans="1:1" x14ac:dyDescent="0.55000000000000004">
      <c r="A8243"/>
    </row>
    <row r="8244" spans="1:1" x14ac:dyDescent="0.55000000000000004">
      <c r="A8244"/>
    </row>
    <row r="8245" spans="1:1" x14ac:dyDescent="0.55000000000000004">
      <c r="A8245"/>
    </row>
    <row r="8246" spans="1:1" x14ac:dyDescent="0.55000000000000004">
      <c r="A8246"/>
    </row>
    <row r="8247" spans="1:1" x14ac:dyDescent="0.55000000000000004">
      <c r="A8247"/>
    </row>
    <row r="8248" spans="1:1" x14ac:dyDescent="0.55000000000000004">
      <c r="A8248"/>
    </row>
    <row r="8249" spans="1:1" x14ac:dyDescent="0.55000000000000004">
      <c r="A8249"/>
    </row>
    <row r="8250" spans="1:1" x14ac:dyDescent="0.55000000000000004">
      <c r="A8250"/>
    </row>
    <row r="8251" spans="1:1" x14ac:dyDescent="0.55000000000000004">
      <c r="A8251"/>
    </row>
    <row r="8252" spans="1:1" x14ac:dyDescent="0.55000000000000004">
      <c r="A8252"/>
    </row>
    <row r="8253" spans="1:1" x14ac:dyDescent="0.55000000000000004">
      <c r="A8253"/>
    </row>
    <row r="8254" spans="1:1" x14ac:dyDescent="0.55000000000000004">
      <c r="A8254"/>
    </row>
    <row r="8255" spans="1:1" x14ac:dyDescent="0.55000000000000004">
      <c r="A8255"/>
    </row>
    <row r="8256" spans="1:1" x14ac:dyDescent="0.55000000000000004">
      <c r="A8256"/>
    </row>
    <row r="8257" spans="1:1" x14ac:dyDescent="0.55000000000000004">
      <c r="A8257"/>
    </row>
    <row r="8258" spans="1:1" x14ac:dyDescent="0.55000000000000004">
      <c r="A8258"/>
    </row>
    <row r="8259" spans="1:1" x14ac:dyDescent="0.55000000000000004">
      <c r="A8259"/>
    </row>
    <row r="8260" spans="1:1" x14ac:dyDescent="0.55000000000000004">
      <c r="A8260"/>
    </row>
    <row r="8261" spans="1:1" x14ac:dyDescent="0.55000000000000004">
      <c r="A8261"/>
    </row>
    <row r="8262" spans="1:1" x14ac:dyDescent="0.55000000000000004">
      <c r="A8262"/>
    </row>
    <row r="8263" spans="1:1" x14ac:dyDescent="0.55000000000000004">
      <c r="A8263"/>
    </row>
    <row r="8264" spans="1:1" x14ac:dyDescent="0.55000000000000004">
      <c r="A8264"/>
    </row>
    <row r="8265" spans="1:1" x14ac:dyDescent="0.55000000000000004">
      <c r="A8265"/>
    </row>
    <row r="8266" spans="1:1" x14ac:dyDescent="0.55000000000000004">
      <c r="A8266"/>
    </row>
    <row r="8267" spans="1:1" x14ac:dyDescent="0.55000000000000004">
      <c r="A8267"/>
    </row>
    <row r="8268" spans="1:1" x14ac:dyDescent="0.55000000000000004">
      <c r="A8268"/>
    </row>
    <row r="8269" spans="1:1" x14ac:dyDescent="0.55000000000000004">
      <c r="A8269"/>
    </row>
    <row r="8270" spans="1:1" x14ac:dyDescent="0.55000000000000004">
      <c r="A8270"/>
    </row>
    <row r="8271" spans="1:1" x14ac:dyDescent="0.55000000000000004">
      <c r="A8271"/>
    </row>
    <row r="8272" spans="1:1" x14ac:dyDescent="0.55000000000000004">
      <c r="A8272"/>
    </row>
    <row r="8273" spans="1:1" x14ac:dyDescent="0.55000000000000004">
      <c r="A8273"/>
    </row>
    <row r="8274" spans="1:1" x14ac:dyDescent="0.55000000000000004">
      <c r="A8274"/>
    </row>
    <row r="8275" spans="1:1" x14ac:dyDescent="0.55000000000000004">
      <c r="A8275"/>
    </row>
    <row r="8276" spans="1:1" x14ac:dyDescent="0.55000000000000004">
      <c r="A8276"/>
    </row>
    <row r="8277" spans="1:1" x14ac:dyDescent="0.55000000000000004">
      <c r="A8277"/>
    </row>
    <row r="8278" spans="1:1" x14ac:dyDescent="0.55000000000000004">
      <c r="A8278"/>
    </row>
    <row r="8279" spans="1:1" x14ac:dyDescent="0.55000000000000004">
      <c r="A8279"/>
    </row>
    <row r="8280" spans="1:1" x14ac:dyDescent="0.55000000000000004">
      <c r="A8280"/>
    </row>
    <row r="8281" spans="1:1" x14ac:dyDescent="0.55000000000000004">
      <c r="A8281"/>
    </row>
    <row r="8282" spans="1:1" x14ac:dyDescent="0.55000000000000004">
      <c r="A8282"/>
    </row>
    <row r="8283" spans="1:1" x14ac:dyDescent="0.55000000000000004">
      <c r="A8283"/>
    </row>
    <row r="8284" spans="1:1" x14ac:dyDescent="0.55000000000000004">
      <c r="A8284"/>
    </row>
    <row r="8285" spans="1:1" x14ac:dyDescent="0.55000000000000004">
      <c r="A8285"/>
    </row>
    <row r="8286" spans="1:1" x14ac:dyDescent="0.55000000000000004">
      <c r="A8286"/>
    </row>
    <row r="8287" spans="1:1" x14ac:dyDescent="0.55000000000000004">
      <c r="A8287"/>
    </row>
    <row r="8288" spans="1:1" x14ac:dyDescent="0.55000000000000004">
      <c r="A8288"/>
    </row>
    <row r="8289" spans="1:1" x14ac:dyDescent="0.55000000000000004">
      <c r="A8289"/>
    </row>
    <row r="8290" spans="1:1" x14ac:dyDescent="0.55000000000000004">
      <c r="A8290"/>
    </row>
    <row r="8291" spans="1:1" x14ac:dyDescent="0.55000000000000004">
      <c r="A8291"/>
    </row>
    <row r="8292" spans="1:1" x14ac:dyDescent="0.55000000000000004">
      <c r="A8292"/>
    </row>
    <row r="8293" spans="1:1" x14ac:dyDescent="0.55000000000000004">
      <c r="A8293"/>
    </row>
    <row r="8294" spans="1:1" x14ac:dyDescent="0.55000000000000004">
      <c r="A8294"/>
    </row>
    <row r="8295" spans="1:1" x14ac:dyDescent="0.55000000000000004">
      <c r="A8295"/>
    </row>
    <row r="8296" spans="1:1" x14ac:dyDescent="0.55000000000000004">
      <c r="A8296"/>
    </row>
    <row r="8297" spans="1:1" x14ac:dyDescent="0.55000000000000004">
      <c r="A8297"/>
    </row>
    <row r="8298" spans="1:1" x14ac:dyDescent="0.55000000000000004">
      <c r="A8298"/>
    </row>
    <row r="8299" spans="1:1" x14ac:dyDescent="0.55000000000000004">
      <c r="A8299"/>
    </row>
    <row r="8300" spans="1:1" x14ac:dyDescent="0.55000000000000004">
      <c r="A8300"/>
    </row>
    <row r="8301" spans="1:1" x14ac:dyDescent="0.55000000000000004">
      <c r="A8301"/>
    </row>
    <row r="8302" spans="1:1" x14ac:dyDescent="0.55000000000000004">
      <c r="A8302"/>
    </row>
    <row r="8303" spans="1:1" x14ac:dyDescent="0.55000000000000004">
      <c r="A8303"/>
    </row>
    <row r="8304" spans="1:1" x14ac:dyDescent="0.55000000000000004">
      <c r="A8304"/>
    </row>
    <row r="8305" spans="1:1" x14ac:dyDescent="0.55000000000000004">
      <c r="A8305"/>
    </row>
    <row r="8306" spans="1:1" x14ac:dyDescent="0.55000000000000004">
      <c r="A8306"/>
    </row>
    <row r="8307" spans="1:1" x14ac:dyDescent="0.55000000000000004">
      <c r="A8307"/>
    </row>
    <row r="8308" spans="1:1" x14ac:dyDescent="0.55000000000000004">
      <c r="A8308"/>
    </row>
    <row r="8309" spans="1:1" x14ac:dyDescent="0.55000000000000004">
      <c r="A8309"/>
    </row>
    <row r="8310" spans="1:1" x14ac:dyDescent="0.55000000000000004">
      <c r="A8310"/>
    </row>
    <row r="8311" spans="1:1" x14ac:dyDescent="0.55000000000000004">
      <c r="A8311"/>
    </row>
    <row r="8312" spans="1:1" x14ac:dyDescent="0.55000000000000004">
      <c r="A8312"/>
    </row>
    <row r="8313" spans="1:1" x14ac:dyDescent="0.55000000000000004">
      <c r="A8313"/>
    </row>
    <row r="8314" spans="1:1" x14ac:dyDescent="0.55000000000000004">
      <c r="A8314"/>
    </row>
    <row r="8315" spans="1:1" x14ac:dyDescent="0.55000000000000004">
      <c r="A8315"/>
    </row>
    <row r="8316" spans="1:1" x14ac:dyDescent="0.55000000000000004">
      <c r="A8316"/>
    </row>
    <row r="8317" spans="1:1" x14ac:dyDescent="0.55000000000000004">
      <c r="A8317"/>
    </row>
    <row r="8318" spans="1:1" x14ac:dyDescent="0.55000000000000004">
      <c r="A8318"/>
    </row>
    <row r="8319" spans="1:1" x14ac:dyDescent="0.55000000000000004">
      <c r="A8319"/>
    </row>
    <row r="8320" spans="1:1" x14ac:dyDescent="0.55000000000000004">
      <c r="A8320"/>
    </row>
    <row r="8321" spans="1:1" x14ac:dyDescent="0.55000000000000004">
      <c r="A8321"/>
    </row>
    <row r="8322" spans="1:1" x14ac:dyDescent="0.55000000000000004">
      <c r="A8322"/>
    </row>
    <row r="8323" spans="1:1" x14ac:dyDescent="0.55000000000000004">
      <c r="A8323"/>
    </row>
    <row r="8324" spans="1:1" x14ac:dyDescent="0.55000000000000004">
      <c r="A8324"/>
    </row>
    <row r="8325" spans="1:1" x14ac:dyDescent="0.55000000000000004">
      <c r="A8325"/>
    </row>
    <row r="8326" spans="1:1" x14ac:dyDescent="0.55000000000000004">
      <c r="A8326"/>
    </row>
    <row r="8327" spans="1:1" x14ac:dyDescent="0.55000000000000004">
      <c r="A8327"/>
    </row>
    <row r="8328" spans="1:1" x14ac:dyDescent="0.55000000000000004">
      <c r="A8328"/>
    </row>
    <row r="8329" spans="1:1" x14ac:dyDescent="0.55000000000000004">
      <c r="A8329"/>
    </row>
    <row r="8330" spans="1:1" x14ac:dyDescent="0.55000000000000004">
      <c r="A8330"/>
    </row>
    <row r="8331" spans="1:1" x14ac:dyDescent="0.55000000000000004">
      <c r="A8331"/>
    </row>
    <row r="8332" spans="1:1" x14ac:dyDescent="0.55000000000000004">
      <c r="A8332"/>
    </row>
    <row r="8333" spans="1:1" x14ac:dyDescent="0.55000000000000004">
      <c r="A8333"/>
    </row>
    <row r="8334" spans="1:1" x14ac:dyDescent="0.55000000000000004">
      <c r="A8334"/>
    </row>
    <row r="8335" spans="1:1" x14ac:dyDescent="0.55000000000000004">
      <c r="A8335"/>
    </row>
    <row r="8336" spans="1:1" x14ac:dyDescent="0.55000000000000004">
      <c r="A8336"/>
    </row>
    <row r="8337" spans="1:1" x14ac:dyDescent="0.55000000000000004">
      <c r="A8337"/>
    </row>
    <row r="8338" spans="1:1" x14ac:dyDescent="0.55000000000000004">
      <c r="A8338"/>
    </row>
    <row r="8339" spans="1:1" x14ac:dyDescent="0.55000000000000004">
      <c r="A8339"/>
    </row>
    <row r="8340" spans="1:1" x14ac:dyDescent="0.55000000000000004">
      <c r="A8340"/>
    </row>
    <row r="8341" spans="1:1" x14ac:dyDescent="0.55000000000000004">
      <c r="A8341"/>
    </row>
    <row r="8342" spans="1:1" x14ac:dyDescent="0.55000000000000004">
      <c r="A8342"/>
    </row>
    <row r="8343" spans="1:1" x14ac:dyDescent="0.55000000000000004">
      <c r="A8343"/>
    </row>
    <row r="8344" spans="1:1" x14ac:dyDescent="0.55000000000000004">
      <c r="A8344"/>
    </row>
    <row r="8345" spans="1:1" x14ac:dyDescent="0.55000000000000004">
      <c r="A8345"/>
    </row>
    <row r="8346" spans="1:1" x14ac:dyDescent="0.55000000000000004">
      <c r="A8346"/>
    </row>
    <row r="8347" spans="1:1" x14ac:dyDescent="0.55000000000000004">
      <c r="A8347"/>
    </row>
    <row r="8348" spans="1:1" x14ac:dyDescent="0.55000000000000004">
      <c r="A8348"/>
    </row>
    <row r="8349" spans="1:1" x14ac:dyDescent="0.55000000000000004">
      <c r="A8349"/>
    </row>
    <row r="8350" spans="1:1" x14ac:dyDescent="0.55000000000000004">
      <c r="A8350"/>
    </row>
    <row r="8351" spans="1:1" x14ac:dyDescent="0.55000000000000004">
      <c r="A8351"/>
    </row>
    <row r="8352" spans="1:1" x14ac:dyDescent="0.55000000000000004">
      <c r="A8352"/>
    </row>
    <row r="8353" spans="1:1" x14ac:dyDescent="0.55000000000000004">
      <c r="A8353"/>
    </row>
    <row r="8354" spans="1:1" x14ac:dyDescent="0.55000000000000004">
      <c r="A8354"/>
    </row>
    <row r="8355" spans="1:1" x14ac:dyDescent="0.55000000000000004">
      <c r="A8355"/>
    </row>
    <row r="8356" spans="1:1" x14ac:dyDescent="0.55000000000000004">
      <c r="A8356"/>
    </row>
    <row r="8357" spans="1:1" x14ac:dyDescent="0.55000000000000004">
      <c r="A8357"/>
    </row>
    <row r="8358" spans="1:1" x14ac:dyDescent="0.55000000000000004">
      <c r="A8358"/>
    </row>
    <row r="8359" spans="1:1" x14ac:dyDescent="0.55000000000000004">
      <c r="A8359"/>
    </row>
    <row r="8360" spans="1:1" x14ac:dyDescent="0.55000000000000004">
      <c r="A8360"/>
    </row>
    <row r="8361" spans="1:1" x14ac:dyDescent="0.55000000000000004">
      <c r="A8361"/>
    </row>
    <row r="8362" spans="1:1" x14ac:dyDescent="0.55000000000000004">
      <c r="A8362"/>
    </row>
    <row r="8363" spans="1:1" x14ac:dyDescent="0.55000000000000004">
      <c r="A8363"/>
    </row>
    <row r="8364" spans="1:1" x14ac:dyDescent="0.55000000000000004">
      <c r="A8364"/>
    </row>
    <row r="8365" spans="1:1" x14ac:dyDescent="0.55000000000000004">
      <c r="A8365"/>
    </row>
    <row r="8366" spans="1:1" x14ac:dyDescent="0.55000000000000004">
      <c r="A8366"/>
    </row>
    <row r="8367" spans="1:1" x14ac:dyDescent="0.55000000000000004">
      <c r="A8367"/>
    </row>
    <row r="8368" spans="1:1" x14ac:dyDescent="0.55000000000000004">
      <c r="A8368"/>
    </row>
    <row r="8369" spans="1:1" x14ac:dyDescent="0.55000000000000004">
      <c r="A8369"/>
    </row>
    <row r="8370" spans="1:1" x14ac:dyDescent="0.55000000000000004">
      <c r="A8370"/>
    </row>
    <row r="8371" spans="1:1" x14ac:dyDescent="0.55000000000000004">
      <c r="A8371"/>
    </row>
    <row r="8372" spans="1:1" x14ac:dyDescent="0.55000000000000004">
      <c r="A8372"/>
    </row>
    <row r="8373" spans="1:1" x14ac:dyDescent="0.55000000000000004">
      <c r="A8373"/>
    </row>
    <row r="8374" spans="1:1" x14ac:dyDescent="0.55000000000000004">
      <c r="A8374"/>
    </row>
    <row r="8375" spans="1:1" x14ac:dyDescent="0.55000000000000004">
      <c r="A8375"/>
    </row>
    <row r="8376" spans="1:1" x14ac:dyDescent="0.55000000000000004">
      <c r="A8376"/>
    </row>
    <row r="8377" spans="1:1" x14ac:dyDescent="0.55000000000000004">
      <c r="A8377"/>
    </row>
    <row r="8378" spans="1:1" x14ac:dyDescent="0.55000000000000004">
      <c r="A8378"/>
    </row>
    <row r="8379" spans="1:1" x14ac:dyDescent="0.55000000000000004">
      <c r="A8379"/>
    </row>
    <row r="8380" spans="1:1" x14ac:dyDescent="0.55000000000000004">
      <c r="A8380"/>
    </row>
    <row r="8381" spans="1:1" x14ac:dyDescent="0.55000000000000004">
      <c r="A8381"/>
    </row>
    <row r="8382" spans="1:1" x14ac:dyDescent="0.55000000000000004">
      <c r="A8382"/>
    </row>
    <row r="8383" spans="1:1" x14ac:dyDescent="0.55000000000000004">
      <c r="A8383"/>
    </row>
    <row r="8384" spans="1:1" x14ac:dyDescent="0.55000000000000004">
      <c r="A8384"/>
    </row>
    <row r="8385" spans="1:1" x14ac:dyDescent="0.55000000000000004">
      <c r="A8385"/>
    </row>
    <row r="8386" spans="1:1" x14ac:dyDescent="0.55000000000000004">
      <c r="A8386"/>
    </row>
    <row r="8387" spans="1:1" x14ac:dyDescent="0.55000000000000004">
      <c r="A8387"/>
    </row>
    <row r="8388" spans="1:1" x14ac:dyDescent="0.55000000000000004">
      <c r="A8388"/>
    </row>
    <row r="8389" spans="1:1" x14ac:dyDescent="0.55000000000000004">
      <c r="A8389"/>
    </row>
    <row r="8390" spans="1:1" x14ac:dyDescent="0.55000000000000004">
      <c r="A8390"/>
    </row>
    <row r="8391" spans="1:1" x14ac:dyDescent="0.55000000000000004">
      <c r="A8391"/>
    </row>
    <row r="8392" spans="1:1" x14ac:dyDescent="0.55000000000000004">
      <c r="A8392"/>
    </row>
    <row r="8393" spans="1:1" x14ac:dyDescent="0.55000000000000004">
      <c r="A8393"/>
    </row>
    <row r="8394" spans="1:1" x14ac:dyDescent="0.55000000000000004">
      <c r="A8394"/>
    </row>
    <row r="8395" spans="1:1" x14ac:dyDescent="0.55000000000000004">
      <c r="A8395"/>
    </row>
    <row r="8396" spans="1:1" x14ac:dyDescent="0.55000000000000004">
      <c r="A8396"/>
    </row>
    <row r="8397" spans="1:1" x14ac:dyDescent="0.55000000000000004">
      <c r="A8397"/>
    </row>
    <row r="8398" spans="1:1" x14ac:dyDescent="0.55000000000000004">
      <c r="A8398"/>
    </row>
    <row r="8399" spans="1:1" x14ac:dyDescent="0.55000000000000004">
      <c r="A8399"/>
    </row>
    <row r="8400" spans="1:1" x14ac:dyDescent="0.55000000000000004">
      <c r="A8400"/>
    </row>
    <row r="8401" spans="1:1" x14ac:dyDescent="0.55000000000000004">
      <c r="A8401"/>
    </row>
    <row r="8402" spans="1:1" x14ac:dyDescent="0.55000000000000004">
      <c r="A8402"/>
    </row>
    <row r="8403" spans="1:1" x14ac:dyDescent="0.55000000000000004">
      <c r="A8403"/>
    </row>
    <row r="8404" spans="1:1" x14ac:dyDescent="0.55000000000000004">
      <c r="A8404"/>
    </row>
    <row r="8405" spans="1:1" x14ac:dyDescent="0.55000000000000004">
      <c r="A8405"/>
    </row>
    <row r="8406" spans="1:1" x14ac:dyDescent="0.55000000000000004">
      <c r="A8406"/>
    </row>
    <row r="8407" spans="1:1" x14ac:dyDescent="0.55000000000000004">
      <c r="A8407"/>
    </row>
    <row r="8408" spans="1:1" x14ac:dyDescent="0.55000000000000004">
      <c r="A8408"/>
    </row>
    <row r="8409" spans="1:1" x14ac:dyDescent="0.55000000000000004">
      <c r="A8409"/>
    </row>
    <row r="8410" spans="1:1" x14ac:dyDescent="0.55000000000000004">
      <c r="A8410"/>
    </row>
    <row r="8411" spans="1:1" x14ac:dyDescent="0.55000000000000004">
      <c r="A8411"/>
    </row>
    <row r="8412" spans="1:1" x14ac:dyDescent="0.55000000000000004">
      <c r="A8412"/>
    </row>
    <row r="8413" spans="1:1" x14ac:dyDescent="0.55000000000000004">
      <c r="A8413"/>
    </row>
    <row r="8414" spans="1:1" x14ac:dyDescent="0.55000000000000004">
      <c r="A8414"/>
    </row>
    <row r="8415" spans="1:1" x14ac:dyDescent="0.55000000000000004">
      <c r="A8415"/>
    </row>
    <row r="8416" spans="1:1" x14ac:dyDescent="0.55000000000000004">
      <c r="A8416"/>
    </row>
    <row r="8417" spans="1:1" x14ac:dyDescent="0.55000000000000004">
      <c r="A8417"/>
    </row>
    <row r="8418" spans="1:1" x14ac:dyDescent="0.55000000000000004">
      <c r="A8418"/>
    </row>
    <row r="8419" spans="1:1" x14ac:dyDescent="0.55000000000000004">
      <c r="A8419"/>
    </row>
    <row r="8420" spans="1:1" x14ac:dyDescent="0.55000000000000004">
      <c r="A8420"/>
    </row>
    <row r="8421" spans="1:1" x14ac:dyDescent="0.55000000000000004">
      <c r="A8421"/>
    </row>
    <row r="8422" spans="1:1" x14ac:dyDescent="0.55000000000000004">
      <c r="A8422"/>
    </row>
    <row r="8423" spans="1:1" x14ac:dyDescent="0.55000000000000004">
      <c r="A8423"/>
    </row>
    <row r="8424" spans="1:1" x14ac:dyDescent="0.55000000000000004">
      <c r="A8424"/>
    </row>
    <row r="8425" spans="1:1" x14ac:dyDescent="0.55000000000000004">
      <c r="A8425"/>
    </row>
    <row r="8426" spans="1:1" x14ac:dyDescent="0.55000000000000004">
      <c r="A8426"/>
    </row>
    <row r="8427" spans="1:1" x14ac:dyDescent="0.55000000000000004">
      <c r="A8427"/>
    </row>
    <row r="8428" spans="1:1" x14ac:dyDescent="0.55000000000000004">
      <c r="A8428"/>
    </row>
    <row r="8429" spans="1:1" x14ac:dyDescent="0.55000000000000004">
      <c r="A8429"/>
    </row>
    <row r="8430" spans="1:1" x14ac:dyDescent="0.55000000000000004">
      <c r="A8430"/>
    </row>
    <row r="8431" spans="1:1" x14ac:dyDescent="0.55000000000000004">
      <c r="A8431"/>
    </row>
    <row r="8432" spans="1:1" x14ac:dyDescent="0.55000000000000004">
      <c r="A8432"/>
    </row>
    <row r="8433" spans="1:1" x14ac:dyDescent="0.55000000000000004">
      <c r="A8433"/>
    </row>
    <row r="8434" spans="1:1" x14ac:dyDescent="0.55000000000000004">
      <c r="A8434"/>
    </row>
    <row r="8435" spans="1:1" x14ac:dyDescent="0.55000000000000004">
      <c r="A8435"/>
    </row>
    <row r="8436" spans="1:1" x14ac:dyDescent="0.55000000000000004">
      <c r="A8436"/>
    </row>
    <row r="8437" spans="1:1" x14ac:dyDescent="0.55000000000000004">
      <c r="A8437"/>
    </row>
    <row r="8438" spans="1:1" x14ac:dyDescent="0.55000000000000004">
      <c r="A8438"/>
    </row>
    <row r="8439" spans="1:1" x14ac:dyDescent="0.55000000000000004">
      <c r="A8439"/>
    </row>
    <row r="8440" spans="1:1" x14ac:dyDescent="0.55000000000000004">
      <c r="A8440"/>
    </row>
    <row r="8441" spans="1:1" x14ac:dyDescent="0.55000000000000004">
      <c r="A8441"/>
    </row>
    <row r="8442" spans="1:1" x14ac:dyDescent="0.55000000000000004">
      <c r="A8442"/>
    </row>
    <row r="8443" spans="1:1" x14ac:dyDescent="0.55000000000000004">
      <c r="A8443"/>
    </row>
    <row r="8444" spans="1:1" x14ac:dyDescent="0.55000000000000004">
      <c r="A8444"/>
    </row>
    <row r="8445" spans="1:1" x14ac:dyDescent="0.55000000000000004">
      <c r="A8445"/>
    </row>
    <row r="8446" spans="1:1" x14ac:dyDescent="0.55000000000000004">
      <c r="A8446"/>
    </row>
    <row r="8447" spans="1:1" x14ac:dyDescent="0.55000000000000004">
      <c r="A8447"/>
    </row>
    <row r="8448" spans="1:1" x14ac:dyDescent="0.55000000000000004">
      <c r="A8448"/>
    </row>
    <row r="8449" spans="1:1" x14ac:dyDescent="0.55000000000000004">
      <c r="A8449"/>
    </row>
    <row r="8450" spans="1:1" x14ac:dyDescent="0.55000000000000004">
      <c r="A8450"/>
    </row>
    <row r="8451" spans="1:1" x14ac:dyDescent="0.55000000000000004">
      <c r="A8451"/>
    </row>
    <row r="8452" spans="1:1" x14ac:dyDescent="0.55000000000000004">
      <c r="A8452"/>
    </row>
    <row r="8453" spans="1:1" x14ac:dyDescent="0.55000000000000004">
      <c r="A8453"/>
    </row>
    <row r="8454" spans="1:1" x14ac:dyDescent="0.55000000000000004">
      <c r="A8454"/>
    </row>
    <row r="8455" spans="1:1" x14ac:dyDescent="0.55000000000000004">
      <c r="A8455"/>
    </row>
    <row r="8456" spans="1:1" x14ac:dyDescent="0.55000000000000004">
      <c r="A8456"/>
    </row>
    <row r="8457" spans="1:1" x14ac:dyDescent="0.55000000000000004">
      <c r="A8457"/>
    </row>
    <row r="8458" spans="1:1" x14ac:dyDescent="0.55000000000000004">
      <c r="A8458"/>
    </row>
    <row r="8459" spans="1:1" x14ac:dyDescent="0.55000000000000004">
      <c r="A8459"/>
    </row>
    <row r="8460" spans="1:1" x14ac:dyDescent="0.55000000000000004">
      <c r="A8460"/>
    </row>
    <row r="8461" spans="1:1" x14ac:dyDescent="0.55000000000000004">
      <c r="A8461"/>
    </row>
    <row r="8462" spans="1:1" x14ac:dyDescent="0.55000000000000004">
      <c r="A8462"/>
    </row>
    <row r="8463" spans="1:1" x14ac:dyDescent="0.55000000000000004">
      <c r="A8463"/>
    </row>
    <row r="8464" spans="1:1" x14ac:dyDescent="0.55000000000000004">
      <c r="A8464"/>
    </row>
    <row r="8465" spans="1:1" x14ac:dyDescent="0.55000000000000004">
      <c r="A8465"/>
    </row>
    <row r="8466" spans="1:1" x14ac:dyDescent="0.55000000000000004">
      <c r="A8466"/>
    </row>
    <row r="8467" spans="1:1" x14ac:dyDescent="0.55000000000000004">
      <c r="A8467"/>
    </row>
    <row r="8468" spans="1:1" x14ac:dyDescent="0.55000000000000004">
      <c r="A8468"/>
    </row>
    <row r="8469" spans="1:1" x14ac:dyDescent="0.55000000000000004">
      <c r="A8469"/>
    </row>
    <row r="8470" spans="1:1" x14ac:dyDescent="0.55000000000000004">
      <c r="A8470"/>
    </row>
    <row r="8471" spans="1:1" x14ac:dyDescent="0.55000000000000004">
      <c r="A8471"/>
    </row>
    <row r="8472" spans="1:1" x14ac:dyDescent="0.55000000000000004">
      <c r="A8472"/>
    </row>
    <row r="8473" spans="1:1" x14ac:dyDescent="0.55000000000000004">
      <c r="A8473"/>
    </row>
    <row r="8474" spans="1:1" x14ac:dyDescent="0.55000000000000004">
      <c r="A8474"/>
    </row>
    <row r="8475" spans="1:1" x14ac:dyDescent="0.55000000000000004">
      <c r="A8475"/>
    </row>
    <row r="8476" spans="1:1" x14ac:dyDescent="0.55000000000000004">
      <c r="A8476"/>
    </row>
    <row r="8477" spans="1:1" x14ac:dyDescent="0.55000000000000004">
      <c r="A8477"/>
    </row>
    <row r="8478" spans="1:1" x14ac:dyDescent="0.55000000000000004">
      <c r="A8478"/>
    </row>
    <row r="8479" spans="1:1" x14ac:dyDescent="0.55000000000000004">
      <c r="A8479"/>
    </row>
    <row r="8480" spans="1:1" x14ac:dyDescent="0.55000000000000004">
      <c r="A8480"/>
    </row>
    <row r="8481" spans="1:1" x14ac:dyDescent="0.55000000000000004">
      <c r="A8481"/>
    </row>
    <row r="8482" spans="1:1" x14ac:dyDescent="0.55000000000000004">
      <c r="A8482"/>
    </row>
    <row r="8483" spans="1:1" x14ac:dyDescent="0.55000000000000004">
      <c r="A8483"/>
    </row>
    <row r="8484" spans="1:1" x14ac:dyDescent="0.55000000000000004">
      <c r="A8484"/>
    </row>
    <row r="8485" spans="1:1" x14ac:dyDescent="0.55000000000000004">
      <c r="A8485"/>
    </row>
    <row r="8486" spans="1:1" x14ac:dyDescent="0.55000000000000004">
      <c r="A8486"/>
    </row>
    <row r="8487" spans="1:1" x14ac:dyDescent="0.55000000000000004">
      <c r="A8487"/>
    </row>
    <row r="8488" spans="1:1" x14ac:dyDescent="0.55000000000000004">
      <c r="A8488"/>
    </row>
    <row r="8489" spans="1:1" x14ac:dyDescent="0.55000000000000004">
      <c r="A8489"/>
    </row>
    <row r="8490" spans="1:1" x14ac:dyDescent="0.55000000000000004">
      <c r="A8490"/>
    </row>
    <row r="8491" spans="1:1" x14ac:dyDescent="0.55000000000000004">
      <c r="A8491"/>
    </row>
    <row r="8492" spans="1:1" x14ac:dyDescent="0.55000000000000004">
      <c r="A8492"/>
    </row>
    <row r="8493" spans="1:1" x14ac:dyDescent="0.55000000000000004">
      <c r="A8493"/>
    </row>
    <row r="8494" spans="1:1" x14ac:dyDescent="0.55000000000000004">
      <c r="A8494"/>
    </row>
    <row r="8495" spans="1:1" x14ac:dyDescent="0.55000000000000004">
      <c r="A8495"/>
    </row>
    <row r="8496" spans="1:1" x14ac:dyDescent="0.55000000000000004">
      <c r="A8496"/>
    </row>
    <row r="8497" spans="1:1" x14ac:dyDescent="0.55000000000000004">
      <c r="A8497"/>
    </row>
    <row r="8498" spans="1:1" x14ac:dyDescent="0.55000000000000004">
      <c r="A8498"/>
    </row>
    <row r="8499" spans="1:1" x14ac:dyDescent="0.55000000000000004">
      <c r="A8499"/>
    </row>
    <row r="8500" spans="1:1" x14ac:dyDescent="0.55000000000000004">
      <c r="A8500"/>
    </row>
    <row r="8501" spans="1:1" x14ac:dyDescent="0.55000000000000004">
      <c r="A8501"/>
    </row>
    <row r="8502" spans="1:1" x14ac:dyDescent="0.55000000000000004">
      <c r="A8502"/>
    </row>
    <row r="8503" spans="1:1" x14ac:dyDescent="0.55000000000000004">
      <c r="A8503"/>
    </row>
    <row r="8504" spans="1:1" x14ac:dyDescent="0.55000000000000004">
      <c r="A8504"/>
    </row>
    <row r="8505" spans="1:1" x14ac:dyDescent="0.55000000000000004">
      <c r="A8505"/>
    </row>
    <row r="8506" spans="1:1" x14ac:dyDescent="0.55000000000000004">
      <c r="A8506"/>
    </row>
    <row r="8507" spans="1:1" x14ac:dyDescent="0.55000000000000004">
      <c r="A8507"/>
    </row>
    <row r="8508" spans="1:1" x14ac:dyDescent="0.55000000000000004">
      <c r="A8508"/>
    </row>
    <row r="8509" spans="1:1" x14ac:dyDescent="0.55000000000000004">
      <c r="A8509"/>
    </row>
    <row r="8510" spans="1:1" x14ac:dyDescent="0.55000000000000004">
      <c r="A8510"/>
    </row>
    <row r="8511" spans="1:1" x14ac:dyDescent="0.55000000000000004">
      <c r="A8511"/>
    </row>
    <row r="8512" spans="1:1" x14ac:dyDescent="0.55000000000000004">
      <c r="A8512"/>
    </row>
    <row r="8513" spans="1:1" x14ac:dyDescent="0.55000000000000004">
      <c r="A8513"/>
    </row>
    <row r="8514" spans="1:1" x14ac:dyDescent="0.55000000000000004">
      <c r="A8514"/>
    </row>
    <row r="8515" spans="1:1" x14ac:dyDescent="0.55000000000000004">
      <c r="A8515"/>
    </row>
    <row r="8516" spans="1:1" x14ac:dyDescent="0.55000000000000004">
      <c r="A8516"/>
    </row>
    <row r="8517" spans="1:1" x14ac:dyDescent="0.55000000000000004">
      <c r="A8517"/>
    </row>
    <row r="8518" spans="1:1" x14ac:dyDescent="0.55000000000000004">
      <c r="A8518"/>
    </row>
    <row r="8519" spans="1:1" x14ac:dyDescent="0.55000000000000004">
      <c r="A8519"/>
    </row>
    <row r="8520" spans="1:1" x14ac:dyDescent="0.55000000000000004">
      <c r="A8520"/>
    </row>
    <row r="8521" spans="1:1" x14ac:dyDescent="0.55000000000000004">
      <c r="A8521"/>
    </row>
    <row r="8522" spans="1:1" x14ac:dyDescent="0.55000000000000004">
      <c r="A8522"/>
    </row>
    <row r="8523" spans="1:1" x14ac:dyDescent="0.55000000000000004">
      <c r="A8523"/>
    </row>
    <row r="8524" spans="1:1" x14ac:dyDescent="0.55000000000000004">
      <c r="A8524"/>
    </row>
    <row r="8525" spans="1:1" x14ac:dyDescent="0.55000000000000004">
      <c r="A8525"/>
    </row>
    <row r="8526" spans="1:1" x14ac:dyDescent="0.55000000000000004">
      <c r="A8526"/>
    </row>
    <row r="8527" spans="1:1" x14ac:dyDescent="0.55000000000000004">
      <c r="A8527"/>
    </row>
    <row r="8528" spans="1:1" x14ac:dyDescent="0.55000000000000004">
      <c r="A8528"/>
    </row>
    <row r="8529" spans="1:1" x14ac:dyDescent="0.55000000000000004">
      <c r="A8529"/>
    </row>
    <row r="8530" spans="1:1" x14ac:dyDescent="0.55000000000000004">
      <c r="A8530"/>
    </row>
    <row r="8531" spans="1:1" x14ac:dyDescent="0.55000000000000004">
      <c r="A8531"/>
    </row>
    <row r="8532" spans="1:1" x14ac:dyDescent="0.55000000000000004">
      <c r="A8532"/>
    </row>
    <row r="8533" spans="1:1" x14ac:dyDescent="0.55000000000000004">
      <c r="A8533"/>
    </row>
    <row r="8534" spans="1:1" x14ac:dyDescent="0.55000000000000004">
      <c r="A8534"/>
    </row>
    <row r="8535" spans="1:1" x14ac:dyDescent="0.55000000000000004">
      <c r="A8535"/>
    </row>
    <row r="8536" spans="1:1" x14ac:dyDescent="0.55000000000000004">
      <c r="A8536"/>
    </row>
    <row r="8537" spans="1:1" x14ac:dyDescent="0.55000000000000004">
      <c r="A8537"/>
    </row>
    <row r="8538" spans="1:1" x14ac:dyDescent="0.55000000000000004">
      <c r="A8538"/>
    </row>
    <row r="8539" spans="1:1" x14ac:dyDescent="0.55000000000000004">
      <c r="A8539"/>
    </row>
    <row r="8540" spans="1:1" x14ac:dyDescent="0.55000000000000004">
      <c r="A8540"/>
    </row>
    <row r="8541" spans="1:1" x14ac:dyDescent="0.55000000000000004">
      <c r="A8541"/>
    </row>
    <row r="8542" spans="1:1" x14ac:dyDescent="0.55000000000000004">
      <c r="A8542"/>
    </row>
    <row r="8543" spans="1:1" x14ac:dyDescent="0.55000000000000004">
      <c r="A8543"/>
    </row>
    <row r="8544" spans="1:1" x14ac:dyDescent="0.55000000000000004">
      <c r="A8544"/>
    </row>
    <row r="8545" spans="1:1" x14ac:dyDescent="0.55000000000000004">
      <c r="A8545"/>
    </row>
    <row r="8546" spans="1:1" x14ac:dyDescent="0.55000000000000004">
      <c r="A8546"/>
    </row>
    <row r="8547" spans="1:1" x14ac:dyDescent="0.55000000000000004">
      <c r="A8547"/>
    </row>
    <row r="8548" spans="1:1" x14ac:dyDescent="0.55000000000000004">
      <c r="A8548"/>
    </row>
    <row r="8549" spans="1:1" x14ac:dyDescent="0.55000000000000004">
      <c r="A8549"/>
    </row>
    <row r="8550" spans="1:1" x14ac:dyDescent="0.55000000000000004">
      <c r="A8550"/>
    </row>
    <row r="8551" spans="1:1" x14ac:dyDescent="0.55000000000000004">
      <c r="A8551"/>
    </row>
    <row r="8552" spans="1:1" x14ac:dyDescent="0.55000000000000004">
      <c r="A8552"/>
    </row>
    <row r="8553" spans="1:1" x14ac:dyDescent="0.55000000000000004">
      <c r="A8553"/>
    </row>
    <row r="8554" spans="1:1" x14ac:dyDescent="0.55000000000000004">
      <c r="A8554"/>
    </row>
    <row r="8555" spans="1:1" x14ac:dyDescent="0.55000000000000004">
      <c r="A8555"/>
    </row>
    <row r="8556" spans="1:1" x14ac:dyDescent="0.55000000000000004">
      <c r="A8556"/>
    </row>
    <row r="8557" spans="1:1" x14ac:dyDescent="0.55000000000000004">
      <c r="A8557"/>
    </row>
    <row r="8558" spans="1:1" x14ac:dyDescent="0.55000000000000004">
      <c r="A8558"/>
    </row>
    <row r="8559" spans="1:1" x14ac:dyDescent="0.55000000000000004">
      <c r="A8559"/>
    </row>
    <row r="8560" spans="1:1" x14ac:dyDescent="0.55000000000000004">
      <c r="A8560"/>
    </row>
    <row r="8561" spans="1:1" x14ac:dyDescent="0.55000000000000004">
      <c r="A8561"/>
    </row>
    <row r="8562" spans="1:1" x14ac:dyDescent="0.55000000000000004">
      <c r="A8562"/>
    </row>
    <row r="8563" spans="1:1" x14ac:dyDescent="0.55000000000000004">
      <c r="A8563"/>
    </row>
    <row r="8564" spans="1:1" x14ac:dyDescent="0.55000000000000004">
      <c r="A8564"/>
    </row>
    <row r="8565" spans="1:1" x14ac:dyDescent="0.55000000000000004">
      <c r="A8565"/>
    </row>
    <row r="8566" spans="1:1" x14ac:dyDescent="0.55000000000000004">
      <c r="A8566"/>
    </row>
    <row r="8567" spans="1:1" x14ac:dyDescent="0.55000000000000004">
      <c r="A8567"/>
    </row>
    <row r="8568" spans="1:1" x14ac:dyDescent="0.55000000000000004">
      <c r="A8568"/>
    </row>
    <row r="8569" spans="1:1" x14ac:dyDescent="0.55000000000000004">
      <c r="A8569"/>
    </row>
    <row r="8570" spans="1:1" x14ac:dyDescent="0.55000000000000004">
      <c r="A8570"/>
    </row>
    <row r="8571" spans="1:1" x14ac:dyDescent="0.55000000000000004">
      <c r="A8571"/>
    </row>
    <row r="8572" spans="1:1" x14ac:dyDescent="0.55000000000000004">
      <c r="A8572"/>
    </row>
    <row r="8573" spans="1:1" x14ac:dyDescent="0.55000000000000004">
      <c r="A8573"/>
    </row>
    <row r="8574" spans="1:1" x14ac:dyDescent="0.55000000000000004">
      <c r="A8574"/>
    </row>
    <row r="8575" spans="1:1" x14ac:dyDescent="0.55000000000000004">
      <c r="A8575"/>
    </row>
    <row r="8576" spans="1:1" x14ac:dyDescent="0.55000000000000004">
      <c r="A8576"/>
    </row>
    <row r="8577" spans="1:1" x14ac:dyDescent="0.55000000000000004">
      <c r="A8577"/>
    </row>
    <row r="8578" spans="1:1" x14ac:dyDescent="0.55000000000000004">
      <c r="A8578"/>
    </row>
    <row r="8579" spans="1:1" x14ac:dyDescent="0.55000000000000004">
      <c r="A8579"/>
    </row>
    <row r="8580" spans="1:1" x14ac:dyDescent="0.55000000000000004">
      <c r="A8580"/>
    </row>
    <row r="8581" spans="1:1" x14ac:dyDescent="0.55000000000000004">
      <c r="A8581"/>
    </row>
    <row r="8582" spans="1:1" x14ac:dyDescent="0.55000000000000004">
      <c r="A8582"/>
    </row>
    <row r="8583" spans="1:1" x14ac:dyDescent="0.55000000000000004">
      <c r="A8583"/>
    </row>
    <row r="8584" spans="1:1" x14ac:dyDescent="0.55000000000000004">
      <c r="A8584"/>
    </row>
    <row r="8585" spans="1:1" x14ac:dyDescent="0.55000000000000004">
      <c r="A8585"/>
    </row>
    <row r="8586" spans="1:1" x14ac:dyDescent="0.55000000000000004">
      <c r="A8586"/>
    </row>
    <row r="8587" spans="1:1" x14ac:dyDescent="0.55000000000000004">
      <c r="A8587"/>
    </row>
    <row r="8588" spans="1:1" x14ac:dyDescent="0.55000000000000004">
      <c r="A8588"/>
    </row>
    <row r="8589" spans="1:1" x14ac:dyDescent="0.55000000000000004">
      <c r="A8589"/>
    </row>
    <row r="8590" spans="1:1" x14ac:dyDescent="0.55000000000000004">
      <c r="A8590"/>
    </row>
    <row r="8591" spans="1:1" x14ac:dyDescent="0.55000000000000004">
      <c r="A8591"/>
    </row>
    <row r="8592" spans="1:1" x14ac:dyDescent="0.55000000000000004">
      <c r="A8592"/>
    </row>
    <row r="8593" spans="1:1" x14ac:dyDescent="0.55000000000000004">
      <c r="A8593"/>
    </row>
    <row r="8594" spans="1:1" x14ac:dyDescent="0.55000000000000004">
      <c r="A8594"/>
    </row>
    <row r="8595" spans="1:1" x14ac:dyDescent="0.55000000000000004">
      <c r="A8595"/>
    </row>
    <row r="8596" spans="1:1" x14ac:dyDescent="0.55000000000000004">
      <c r="A8596"/>
    </row>
    <row r="8597" spans="1:1" x14ac:dyDescent="0.55000000000000004">
      <c r="A8597"/>
    </row>
    <row r="8598" spans="1:1" x14ac:dyDescent="0.55000000000000004">
      <c r="A8598"/>
    </row>
    <row r="8599" spans="1:1" x14ac:dyDescent="0.55000000000000004">
      <c r="A8599"/>
    </row>
    <row r="8600" spans="1:1" x14ac:dyDescent="0.55000000000000004">
      <c r="A8600"/>
    </row>
    <row r="8601" spans="1:1" x14ac:dyDescent="0.55000000000000004">
      <c r="A8601"/>
    </row>
    <row r="8602" spans="1:1" x14ac:dyDescent="0.55000000000000004">
      <c r="A8602"/>
    </row>
    <row r="8603" spans="1:1" x14ac:dyDescent="0.55000000000000004">
      <c r="A8603"/>
    </row>
    <row r="8604" spans="1:1" x14ac:dyDescent="0.55000000000000004">
      <c r="A8604"/>
    </row>
    <row r="8605" spans="1:1" x14ac:dyDescent="0.55000000000000004">
      <c r="A8605"/>
    </row>
    <row r="8606" spans="1:1" x14ac:dyDescent="0.55000000000000004">
      <c r="A8606"/>
    </row>
    <row r="8607" spans="1:1" x14ac:dyDescent="0.55000000000000004">
      <c r="A8607"/>
    </row>
    <row r="8608" spans="1:1" x14ac:dyDescent="0.55000000000000004">
      <c r="A8608"/>
    </row>
    <row r="8609" spans="1:1" x14ac:dyDescent="0.55000000000000004">
      <c r="A8609"/>
    </row>
    <row r="8610" spans="1:1" x14ac:dyDescent="0.55000000000000004">
      <c r="A8610"/>
    </row>
    <row r="8611" spans="1:1" x14ac:dyDescent="0.55000000000000004">
      <c r="A8611"/>
    </row>
    <row r="8612" spans="1:1" x14ac:dyDescent="0.55000000000000004">
      <c r="A8612"/>
    </row>
    <row r="8613" spans="1:1" x14ac:dyDescent="0.55000000000000004">
      <c r="A8613"/>
    </row>
    <row r="8614" spans="1:1" x14ac:dyDescent="0.55000000000000004">
      <c r="A8614"/>
    </row>
    <row r="8615" spans="1:1" x14ac:dyDescent="0.55000000000000004">
      <c r="A8615"/>
    </row>
    <row r="8616" spans="1:1" x14ac:dyDescent="0.55000000000000004">
      <c r="A8616"/>
    </row>
    <row r="8617" spans="1:1" x14ac:dyDescent="0.55000000000000004">
      <c r="A8617"/>
    </row>
    <row r="8618" spans="1:1" x14ac:dyDescent="0.55000000000000004">
      <c r="A8618"/>
    </row>
    <row r="8619" spans="1:1" x14ac:dyDescent="0.55000000000000004">
      <c r="A8619"/>
    </row>
    <row r="8620" spans="1:1" x14ac:dyDescent="0.55000000000000004">
      <c r="A8620"/>
    </row>
    <row r="8621" spans="1:1" x14ac:dyDescent="0.55000000000000004">
      <c r="A8621"/>
    </row>
    <row r="8622" spans="1:1" x14ac:dyDescent="0.55000000000000004">
      <c r="A8622"/>
    </row>
    <row r="8623" spans="1:1" x14ac:dyDescent="0.55000000000000004">
      <c r="A8623"/>
    </row>
    <row r="8624" spans="1:1" x14ac:dyDescent="0.55000000000000004">
      <c r="A8624"/>
    </row>
    <row r="8625" spans="1:1" x14ac:dyDescent="0.55000000000000004">
      <c r="A8625"/>
    </row>
    <row r="8626" spans="1:1" x14ac:dyDescent="0.55000000000000004">
      <c r="A8626"/>
    </row>
    <row r="8627" spans="1:1" x14ac:dyDescent="0.55000000000000004">
      <c r="A8627"/>
    </row>
    <row r="8628" spans="1:1" x14ac:dyDescent="0.55000000000000004">
      <c r="A8628"/>
    </row>
    <row r="8629" spans="1:1" x14ac:dyDescent="0.55000000000000004">
      <c r="A8629"/>
    </row>
    <row r="8630" spans="1:1" x14ac:dyDescent="0.55000000000000004">
      <c r="A8630"/>
    </row>
    <row r="8631" spans="1:1" x14ac:dyDescent="0.55000000000000004">
      <c r="A8631"/>
    </row>
    <row r="8632" spans="1:1" x14ac:dyDescent="0.55000000000000004">
      <c r="A8632"/>
    </row>
    <row r="8633" spans="1:1" x14ac:dyDescent="0.55000000000000004">
      <c r="A8633"/>
    </row>
    <row r="8634" spans="1:1" x14ac:dyDescent="0.55000000000000004">
      <c r="A8634"/>
    </row>
    <row r="8635" spans="1:1" x14ac:dyDescent="0.55000000000000004">
      <c r="A8635"/>
    </row>
    <row r="8636" spans="1:1" x14ac:dyDescent="0.55000000000000004">
      <c r="A8636"/>
    </row>
    <row r="8637" spans="1:1" x14ac:dyDescent="0.55000000000000004">
      <c r="A8637"/>
    </row>
    <row r="8638" spans="1:1" x14ac:dyDescent="0.55000000000000004">
      <c r="A8638"/>
    </row>
    <row r="8639" spans="1:1" x14ac:dyDescent="0.55000000000000004">
      <c r="A8639"/>
    </row>
    <row r="8640" spans="1:1" x14ac:dyDescent="0.55000000000000004">
      <c r="A8640"/>
    </row>
    <row r="8641" spans="1:1" x14ac:dyDescent="0.55000000000000004">
      <c r="A8641"/>
    </row>
    <row r="8642" spans="1:1" x14ac:dyDescent="0.55000000000000004">
      <c r="A8642"/>
    </row>
    <row r="8643" spans="1:1" x14ac:dyDescent="0.55000000000000004">
      <c r="A8643"/>
    </row>
    <row r="8644" spans="1:1" x14ac:dyDescent="0.55000000000000004">
      <c r="A8644"/>
    </row>
    <row r="8645" spans="1:1" x14ac:dyDescent="0.55000000000000004">
      <c r="A8645"/>
    </row>
    <row r="8646" spans="1:1" x14ac:dyDescent="0.55000000000000004">
      <c r="A8646"/>
    </row>
    <row r="8647" spans="1:1" x14ac:dyDescent="0.55000000000000004">
      <c r="A8647"/>
    </row>
    <row r="8648" spans="1:1" x14ac:dyDescent="0.55000000000000004">
      <c r="A8648"/>
    </row>
    <row r="8649" spans="1:1" x14ac:dyDescent="0.55000000000000004">
      <c r="A8649"/>
    </row>
    <row r="8650" spans="1:1" x14ac:dyDescent="0.55000000000000004">
      <c r="A8650"/>
    </row>
    <row r="8651" spans="1:1" x14ac:dyDescent="0.55000000000000004">
      <c r="A8651"/>
    </row>
    <row r="8652" spans="1:1" x14ac:dyDescent="0.55000000000000004">
      <c r="A8652"/>
    </row>
    <row r="8653" spans="1:1" x14ac:dyDescent="0.55000000000000004">
      <c r="A8653"/>
    </row>
    <row r="8654" spans="1:1" x14ac:dyDescent="0.55000000000000004">
      <c r="A8654"/>
    </row>
    <row r="8655" spans="1:1" x14ac:dyDescent="0.55000000000000004">
      <c r="A8655"/>
    </row>
    <row r="8656" spans="1:1" x14ac:dyDescent="0.55000000000000004">
      <c r="A8656"/>
    </row>
    <row r="8657" spans="1:1" x14ac:dyDescent="0.55000000000000004">
      <c r="A8657"/>
    </row>
    <row r="8658" spans="1:1" x14ac:dyDescent="0.55000000000000004">
      <c r="A8658"/>
    </row>
    <row r="8659" spans="1:1" x14ac:dyDescent="0.55000000000000004">
      <c r="A8659"/>
    </row>
    <row r="8660" spans="1:1" x14ac:dyDescent="0.55000000000000004">
      <c r="A8660"/>
    </row>
    <row r="8661" spans="1:1" x14ac:dyDescent="0.55000000000000004">
      <c r="A8661"/>
    </row>
    <row r="8662" spans="1:1" x14ac:dyDescent="0.55000000000000004">
      <c r="A8662"/>
    </row>
    <row r="8663" spans="1:1" x14ac:dyDescent="0.55000000000000004">
      <c r="A8663"/>
    </row>
    <row r="8664" spans="1:1" x14ac:dyDescent="0.55000000000000004">
      <c r="A8664"/>
    </row>
    <row r="8665" spans="1:1" x14ac:dyDescent="0.55000000000000004">
      <c r="A8665"/>
    </row>
    <row r="8666" spans="1:1" x14ac:dyDescent="0.55000000000000004">
      <c r="A8666"/>
    </row>
    <row r="8667" spans="1:1" x14ac:dyDescent="0.55000000000000004">
      <c r="A8667"/>
    </row>
    <row r="8668" spans="1:1" x14ac:dyDescent="0.55000000000000004">
      <c r="A8668"/>
    </row>
    <row r="8669" spans="1:1" x14ac:dyDescent="0.55000000000000004">
      <c r="A8669"/>
    </row>
    <row r="8670" spans="1:1" x14ac:dyDescent="0.55000000000000004">
      <c r="A8670"/>
    </row>
    <row r="8671" spans="1:1" x14ac:dyDescent="0.55000000000000004">
      <c r="A8671"/>
    </row>
    <row r="8672" spans="1:1" x14ac:dyDescent="0.55000000000000004">
      <c r="A8672"/>
    </row>
    <row r="8673" spans="1:1" x14ac:dyDescent="0.55000000000000004">
      <c r="A8673"/>
    </row>
    <row r="8674" spans="1:1" x14ac:dyDescent="0.55000000000000004">
      <c r="A8674"/>
    </row>
    <row r="8675" spans="1:1" x14ac:dyDescent="0.55000000000000004">
      <c r="A8675"/>
    </row>
    <row r="8676" spans="1:1" x14ac:dyDescent="0.55000000000000004">
      <c r="A8676"/>
    </row>
    <row r="8677" spans="1:1" x14ac:dyDescent="0.55000000000000004">
      <c r="A8677"/>
    </row>
    <row r="8678" spans="1:1" x14ac:dyDescent="0.55000000000000004">
      <c r="A8678"/>
    </row>
    <row r="8679" spans="1:1" x14ac:dyDescent="0.55000000000000004">
      <c r="A8679"/>
    </row>
    <row r="8680" spans="1:1" x14ac:dyDescent="0.55000000000000004">
      <c r="A8680"/>
    </row>
    <row r="8681" spans="1:1" x14ac:dyDescent="0.55000000000000004">
      <c r="A8681"/>
    </row>
    <row r="8682" spans="1:1" x14ac:dyDescent="0.55000000000000004">
      <c r="A8682"/>
    </row>
    <row r="8683" spans="1:1" x14ac:dyDescent="0.55000000000000004">
      <c r="A8683"/>
    </row>
    <row r="8684" spans="1:1" x14ac:dyDescent="0.55000000000000004">
      <c r="A8684"/>
    </row>
    <row r="8685" spans="1:1" x14ac:dyDescent="0.55000000000000004">
      <c r="A8685"/>
    </row>
    <row r="8686" spans="1:1" x14ac:dyDescent="0.55000000000000004">
      <c r="A8686"/>
    </row>
    <row r="8687" spans="1:1" x14ac:dyDescent="0.55000000000000004">
      <c r="A8687"/>
    </row>
    <row r="8688" spans="1:1" x14ac:dyDescent="0.55000000000000004">
      <c r="A8688"/>
    </row>
    <row r="8689" spans="1:1" x14ac:dyDescent="0.55000000000000004">
      <c r="A8689"/>
    </row>
    <row r="8690" spans="1:1" x14ac:dyDescent="0.55000000000000004">
      <c r="A8690"/>
    </row>
    <row r="8691" spans="1:1" x14ac:dyDescent="0.55000000000000004">
      <c r="A8691"/>
    </row>
    <row r="8692" spans="1:1" x14ac:dyDescent="0.55000000000000004">
      <c r="A8692"/>
    </row>
    <row r="8693" spans="1:1" x14ac:dyDescent="0.55000000000000004">
      <c r="A8693"/>
    </row>
    <row r="8694" spans="1:1" x14ac:dyDescent="0.55000000000000004">
      <c r="A8694"/>
    </row>
    <row r="8695" spans="1:1" x14ac:dyDescent="0.55000000000000004">
      <c r="A8695"/>
    </row>
    <row r="8696" spans="1:1" x14ac:dyDescent="0.55000000000000004">
      <c r="A8696"/>
    </row>
    <row r="8697" spans="1:1" x14ac:dyDescent="0.55000000000000004">
      <c r="A8697"/>
    </row>
    <row r="8698" spans="1:1" x14ac:dyDescent="0.55000000000000004">
      <c r="A8698"/>
    </row>
    <row r="8699" spans="1:1" x14ac:dyDescent="0.55000000000000004">
      <c r="A8699"/>
    </row>
    <row r="8700" spans="1:1" x14ac:dyDescent="0.55000000000000004">
      <c r="A8700"/>
    </row>
    <row r="8701" spans="1:1" x14ac:dyDescent="0.55000000000000004">
      <c r="A8701"/>
    </row>
    <row r="8702" spans="1:1" x14ac:dyDescent="0.55000000000000004">
      <c r="A8702"/>
    </row>
    <row r="8703" spans="1:1" x14ac:dyDescent="0.55000000000000004">
      <c r="A8703"/>
    </row>
    <row r="8704" spans="1:1" x14ac:dyDescent="0.55000000000000004">
      <c r="A8704"/>
    </row>
    <row r="8705" spans="1:1" x14ac:dyDescent="0.55000000000000004">
      <c r="A8705"/>
    </row>
    <row r="8706" spans="1:1" x14ac:dyDescent="0.55000000000000004">
      <c r="A8706"/>
    </row>
    <row r="8707" spans="1:1" x14ac:dyDescent="0.55000000000000004">
      <c r="A8707"/>
    </row>
    <row r="8708" spans="1:1" x14ac:dyDescent="0.55000000000000004">
      <c r="A8708"/>
    </row>
    <row r="8709" spans="1:1" x14ac:dyDescent="0.55000000000000004">
      <c r="A8709"/>
    </row>
    <row r="8710" spans="1:1" x14ac:dyDescent="0.55000000000000004">
      <c r="A8710"/>
    </row>
    <row r="8711" spans="1:1" x14ac:dyDescent="0.55000000000000004">
      <c r="A8711"/>
    </row>
    <row r="8712" spans="1:1" x14ac:dyDescent="0.55000000000000004">
      <c r="A8712"/>
    </row>
    <row r="8713" spans="1:1" x14ac:dyDescent="0.55000000000000004">
      <c r="A8713"/>
    </row>
    <row r="8714" spans="1:1" x14ac:dyDescent="0.55000000000000004">
      <c r="A8714"/>
    </row>
    <row r="8715" spans="1:1" x14ac:dyDescent="0.55000000000000004">
      <c r="A8715"/>
    </row>
    <row r="8716" spans="1:1" x14ac:dyDescent="0.55000000000000004">
      <c r="A8716"/>
    </row>
    <row r="8717" spans="1:1" x14ac:dyDescent="0.55000000000000004">
      <c r="A8717"/>
    </row>
    <row r="8718" spans="1:1" x14ac:dyDescent="0.55000000000000004">
      <c r="A8718"/>
    </row>
    <row r="8719" spans="1:1" x14ac:dyDescent="0.55000000000000004">
      <c r="A8719"/>
    </row>
    <row r="8720" spans="1:1" x14ac:dyDescent="0.55000000000000004">
      <c r="A8720"/>
    </row>
    <row r="8721" spans="1:1" x14ac:dyDescent="0.55000000000000004">
      <c r="A8721"/>
    </row>
    <row r="8722" spans="1:1" x14ac:dyDescent="0.55000000000000004">
      <c r="A8722"/>
    </row>
    <row r="8723" spans="1:1" x14ac:dyDescent="0.55000000000000004">
      <c r="A8723"/>
    </row>
    <row r="8724" spans="1:1" x14ac:dyDescent="0.55000000000000004">
      <c r="A8724"/>
    </row>
    <row r="8725" spans="1:1" x14ac:dyDescent="0.55000000000000004">
      <c r="A8725"/>
    </row>
    <row r="8726" spans="1:1" x14ac:dyDescent="0.55000000000000004">
      <c r="A8726"/>
    </row>
    <row r="8727" spans="1:1" x14ac:dyDescent="0.55000000000000004">
      <c r="A8727"/>
    </row>
    <row r="8728" spans="1:1" x14ac:dyDescent="0.55000000000000004">
      <c r="A8728"/>
    </row>
    <row r="8729" spans="1:1" x14ac:dyDescent="0.55000000000000004">
      <c r="A8729"/>
    </row>
    <row r="8730" spans="1:1" x14ac:dyDescent="0.55000000000000004">
      <c r="A8730"/>
    </row>
    <row r="8731" spans="1:1" x14ac:dyDescent="0.55000000000000004">
      <c r="A8731"/>
    </row>
    <row r="8732" spans="1:1" x14ac:dyDescent="0.55000000000000004">
      <c r="A8732"/>
    </row>
    <row r="8733" spans="1:1" x14ac:dyDescent="0.55000000000000004">
      <c r="A8733"/>
    </row>
    <row r="8734" spans="1:1" x14ac:dyDescent="0.55000000000000004">
      <c r="A8734"/>
    </row>
    <row r="8735" spans="1:1" x14ac:dyDescent="0.55000000000000004">
      <c r="A8735"/>
    </row>
    <row r="8736" spans="1:1" x14ac:dyDescent="0.55000000000000004">
      <c r="A8736"/>
    </row>
    <row r="8737" spans="1:1" x14ac:dyDescent="0.55000000000000004">
      <c r="A8737"/>
    </row>
    <row r="8738" spans="1:1" x14ac:dyDescent="0.55000000000000004">
      <c r="A8738"/>
    </row>
    <row r="8739" spans="1:1" x14ac:dyDescent="0.55000000000000004">
      <c r="A8739"/>
    </row>
    <row r="8740" spans="1:1" x14ac:dyDescent="0.55000000000000004">
      <c r="A8740"/>
    </row>
    <row r="8741" spans="1:1" x14ac:dyDescent="0.55000000000000004">
      <c r="A8741"/>
    </row>
    <row r="8742" spans="1:1" x14ac:dyDescent="0.55000000000000004">
      <c r="A8742"/>
    </row>
    <row r="8743" spans="1:1" x14ac:dyDescent="0.55000000000000004">
      <c r="A8743"/>
    </row>
    <row r="8744" spans="1:1" x14ac:dyDescent="0.55000000000000004">
      <c r="A8744"/>
    </row>
    <row r="8745" spans="1:1" x14ac:dyDescent="0.55000000000000004">
      <c r="A8745"/>
    </row>
    <row r="8746" spans="1:1" x14ac:dyDescent="0.55000000000000004">
      <c r="A8746"/>
    </row>
    <row r="8747" spans="1:1" x14ac:dyDescent="0.55000000000000004">
      <c r="A8747"/>
    </row>
    <row r="8748" spans="1:1" x14ac:dyDescent="0.55000000000000004">
      <c r="A8748"/>
    </row>
    <row r="8749" spans="1:1" x14ac:dyDescent="0.55000000000000004">
      <c r="A8749"/>
    </row>
    <row r="8750" spans="1:1" x14ac:dyDescent="0.55000000000000004">
      <c r="A8750"/>
    </row>
    <row r="8751" spans="1:1" x14ac:dyDescent="0.55000000000000004">
      <c r="A8751"/>
    </row>
    <row r="8752" spans="1:1" x14ac:dyDescent="0.55000000000000004">
      <c r="A8752"/>
    </row>
    <row r="8753" spans="1:1" x14ac:dyDescent="0.55000000000000004">
      <c r="A8753"/>
    </row>
    <row r="8754" spans="1:1" x14ac:dyDescent="0.55000000000000004">
      <c r="A8754"/>
    </row>
    <row r="8755" spans="1:1" x14ac:dyDescent="0.55000000000000004">
      <c r="A8755"/>
    </row>
    <row r="8756" spans="1:1" x14ac:dyDescent="0.55000000000000004">
      <c r="A8756"/>
    </row>
    <row r="8757" spans="1:1" x14ac:dyDescent="0.55000000000000004">
      <c r="A8757"/>
    </row>
    <row r="8758" spans="1:1" x14ac:dyDescent="0.55000000000000004">
      <c r="A8758"/>
    </row>
    <row r="8759" spans="1:1" x14ac:dyDescent="0.55000000000000004">
      <c r="A8759"/>
    </row>
    <row r="8760" spans="1:1" x14ac:dyDescent="0.55000000000000004">
      <c r="A8760"/>
    </row>
    <row r="8761" spans="1:1" x14ac:dyDescent="0.55000000000000004">
      <c r="A8761"/>
    </row>
    <row r="8762" spans="1:1" x14ac:dyDescent="0.55000000000000004">
      <c r="A8762"/>
    </row>
    <row r="8763" spans="1:1" x14ac:dyDescent="0.55000000000000004">
      <c r="A8763"/>
    </row>
    <row r="8764" spans="1:1" x14ac:dyDescent="0.55000000000000004">
      <c r="A8764"/>
    </row>
    <row r="8765" spans="1:1" x14ac:dyDescent="0.55000000000000004">
      <c r="A8765"/>
    </row>
    <row r="8766" spans="1:1" x14ac:dyDescent="0.55000000000000004">
      <c r="A8766"/>
    </row>
    <row r="8767" spans="1:1" x14ac:dyDescent="0.55000000000000004">
      <c r="A8767"/>
    </row>
    <row r="8768" spans="1:1" x14ac:dyDescent="0.55000000000000004">
      <c r="A8768"/>
    </row>
    <row r="8769" spans="1:1" x14ac:dyDescent="0.55000000000000004">
      <c r="A8769"/>
    </row>
    <row r="8770" spans="1:1" x14ac:dyDescent="0.55000000000000004">
      <c r="A8770"/>
    </row>
    <row r="8771" spans="1:1" x14ac:dyDescent="0.55000000000000004">
      <c r="A8771"/>
    </row>
    <row r="8772" spans="1:1" x14ac:dyDescent="0.55000000000000004">
      <c r="A8772"/>
    </row>
    <row r="8773" spans="1:1" x14ac:dyDescent="0.55000000000000004">
      <c r="A8773"/>
    </row>
    <row r="8774" spans="1:1" x14ac:dyDescent="0.55000000000000004">
      <c r="A8774"/>
    </row>
    <row r="8775" spans="1:1" x14ac:dyDescent="0.55000000000000004">
      <c r="A8775"/>
    </row>
    <row r="8776" spans="1:1" x14ac:dyDescent="0.55000000000000004">
      <c r="A8776"/>
    </row>
    <row r="8777" spans="1:1" x14ac:dyDescent="0.55000000000000004">
      <c r="A8777"/>
    </row>
    <row r="8778" spans="1:1" x14ac:dyDescent="0.55000000000000004">
      <c r="A8778"/>
    </row>
    <row r="8779" spans="1:1" x14ac:dyDescent="0.55000000000000004">
      <c r="A8779"/>
    </row>
    <row r="8780" spans="1:1" x14ac:dyDescent="0.55000000000000004">
      <c r="A8780"/>
    </row>
    <row r="8781" spans="1:1" x14ac:dyDescent="0.55000000000000004">
      <c r="A8781"/>
    </row>
    <row r="8782" spans="1:1" x14ac:dyDescent="0.55000000000000004">
      <c r="A8782"/>
    </row>
    <row r="8783" spans="1:1" x14ac:dyDescent="0.55000000000000004">
      <c r="A8783"/>
    </row>
    <row r="8784" spans="1:1" x14ac:dyDescent="0.55000000000000004">
      <c r="A8784"/>
    </row>
    <row r="8785" spans="1:1" x14ac:dyDescent="0.55000000000000004">
      <c r="A8785"/>
    </row>
    <row r="8786" spans="1:1" x14ac:dyDescent="0.55000000000000004">
      <c r="A8786"/>
    </row>
    <row r="8787" spans="1:1" x14ac:dyDescent="0.55000000000000004">
      <c r="A8787"/>
    </row>
    <row r="8788" spans="1:1" x14ac:dyDescent="0.55000000000000004">
      <c r="A8788"/>
    </row>
  </sheetData>
  <mergeCells count="1">
    <mergeCell ref="A2:B2"/>
  </mergeCells>
  <pageMargins left="0.25" right="0.25" top="0.75" bottom="0.75" header="0.3" footer="0.3"/>
  <pageSetup orientation="portrait" r:id="rId2"/>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A2"/>
  <sheetViews>
    <sheetView workbookViewId="0">
      <selection activeCell="L24" sqref="L24"/>
    </sheetView>
  </sheetViews>
  <sheetFormatPr defaultRowHeight="14.4" x14ac:dyDescent="0.55000000000000004"/>
  <sheetData>
    <row r="1" spans="1:1" x14ac:dyDescent="0.55000000000000004">
      <c r="A1" s="123" t="s">
        <v>238</v>
      </c>
    </row>
    <row r="2" spans="1:1" x14ac:dyDescent="0.55000000000000004">
      <c r="A2" s="123" t="s">
        <v>239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vt:i4>
      </vt:variant>
    </vt:vector>
  </HeadingPairs>
  <TitlesOfParts>
    <vt:vector size="27" baseType="lpstr">
      <vt:lpstr>Variables</vt:lpstr>
      <vt:lpstr>Tracking Template</vt:lpstr>
      <vt:lpstr>2015 Grievance Tracking</vt:lpstr>
      <vt:lpstr>Resident Names</vt:lpstr>
      <vt:lpstr>Staff Names</vt:lpstr>
      <vt:lpstr>Grievance Follow-up Form</vt:lpstr>
      <vt:lpstr>Issue Communication</vt:lpstr>
      <vt:lpstr>Investigation Debriefing</vt:lpstr>
      <vt:lpstr>Report w-o Names</vt:lpstr>
      <vt:lpstr>General Stats</vt:lpstr>
      <vt:lpstr>Times per unit</vt:lpstr>
      <vt:lpstr>Shift Breakdown</vt:lpstr>
      <vt:lpstr>Unit Stats</vt:lpstr>
      <vt:lpstr>Population %</vt:lpstr>
      <vt:lpstr>Quarterly &amp; Yearly Stats</vt:lpstr>
      <vt:lpstr>For SR Reports</vt:lpstr>
      <vt:lpstr>Unit Report Generator</vt:lpstr>
      <vt:lpstr>Grievances in Circulation</vt:lpstr>
      <vt:lpstr>Resident Receipt Table</vt:lpstr>
      <vt:lpstr>Scrap</vt:lpstr>
      <vt:lpstr>'Grievance Follow-up Form'!Print_Area</vt:lpstr>
      <vt:lpstr>'Investigation Debriefing'!Print_Area</vt:lpstr>
      <vt:lpstr>'Issue Communication'!Print_Area</vt:lpstr>
      <vt:lpstr>'Report w-o Names'!Print_Area</vt:lpstr>
      <vt:lpstr>'Resident Names'!Print_Area</vt:lpstr>
      <vt:lpstr>'Resident Receipt Table'!Print_Area</vt:lpstr>
      <vt:lpstr>'Shift Breakdown'!Print_Area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Coker, Eve</dc:creator>
  <cp:lastModifiedBy>Eve Coker</cp:lastModifiedBy>
  <cp:lastPrinted>2015-07-17T14:30:24Z</cp:lastPrinted>
  <dcterms:created xsi:type="dcterms:W3CDTF">2015-01-05T20:20:20Z</dcterms:created>
  <dcterms:modified xsi:type="dcterms:W3CDTF">2025-04-16T20:24:01Z</dcterms:modified>
</cp:coreProperties>
</file>